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LB_Statistik\Hausarbeitsthemen\"/>
    </mc:Choice>
  </mc:AlternateContent>
  <xr:revisionPtr revIDLastSave="0" documentId="13_ncr:1_{F274EFB3-1E7B-4E4B-984C-8931A10B387B}" xr6:coauthVersionLast="47" xr6:coauthVersionMax="47" xr10:uidLastSave="{00000000-0000-0000-0000-000000000000}"/>
  <bookViews>
    <workbookView xWindow="-110" yWindow="-110" windowWidth="19420" windowHeight="10300" firstSheet="3" activeTab="5" xr2:uid="{00000000-000D-0000-FFFF-FFFF00000000}"/>
  </bookViews>
  <sheets>
    <sheet name="Stammumfang" sheetId="1" r:id="rId1"/>
    <sheet name="Baumhöhe" sheetId="2" r:id="rId2"/>
    <sheet name="Kronendurchmeser" sheetId="3" r:id="rId3"/>
    <sheet name="Gesamteindruck 2021" sheetId="4" r:id="rId4"/>
    <sheet name="Gesamteindruck 2023" sheetId="5" r:id="rId5"/>
    <sheet name="Gesamteindruck Änderung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6" l="1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3" i="1"/>
  <c r="E15" i="1"/>
  <c r="E16" i="1"/>
  <c r="E13" i="1"/>
  <c r="E12" i="1"/>
  <c r="E4" i="1"/>
  <c r="E5" i="1"/>
  <c r="E6" i="1"/>
  <c r="E17" i="1"/>
  <c r="E14" i="1"/>
  <c r="E18" i="1"/>
  <c r="E7" i="1"/>
  <c r="E8" i="1"/>
  <c r="E9" i="1"/>
  <c r="E10" i="1"/>
  <c r="E2" i="1"/>
  <c r="E11" i="1"/>
  <c r="H14" i="2" l="1"/>
  <c r="G14" i="2"/>
  <c r="H18" i="2"/>
  <c r="G18" i="2"/>
  <c r="G18" i="1"/>
  <c r="F18" i="1"/>
  <c r="G14" i="1"/>
  <c r="F14" i="1"/>
  <c r="G10" i="1"/>
  <c r="F10" i="1"/>
  <c r="G10" i="2"/>
  <c r="H10" i="2"/>
</calcChain>
</file>

<file path=xl/sharedStrings.xml><?xml version="1.0" encoding="utf-8"?>
<sst xmlns="http://schemas.openxmlformats.org/spreadsheetml/2006/main" count="252" uniqueCount="41">
  <si>
    <t>Variante</t>
  </si>
  <si>
    <t>StU 2021</t>
  </si>
  <si>
    <t>StU 2023</t>
  </si>
  <si>
    <t>1.1</t>
  </si>
  <si>
    <t>0.1</t>
  </si>
  <si>
    <t>Beschriftung</t>
  </si>
  <si>
    <t>Variante 1</t>
  </si>
  <si>
    <t>Variante 0</t>
  </si>
  <si>
    <t>0.2</t>
  </si>
  <si>
    <t>2.1</t>
  </si>
  <si>
    <t>2.2</t>
  </si>
  <si>
    <t>1.3</t>
  </si>
  <si>
    <t>1.2</t>
  </si>
  <si>
    <t>0.3</t>
  </si>
  <si>
    <t>0.4</t>
  </si>
  <si>
    <t>0.5</t>
  </si>
  <si>
    <t>2.3</t>
  </si>
  <si>
    <t>1.4</t>
  </si>
  <si>
    <t>2.4</t>
  </si>
  <si>
    <t>0.6</t>
  </si>
  <si>
    <t>0.7</t>
  </si>
  <si>
    <t>0.8</t>
  </si>
  <si>
    <t>0.9</t>
  </si>
  <si>
    <t>Variante 2</t>
  </si>
  <si>
    <t>Baumhöhe 2021 [cm]</t>
  </si>
  <si>
    <t>Baumhöhe 2023 [cm]</t>
  </si>
  <si>
    <t>StU Änderung 2021-2023 [cm]</t>
  </si>
  <si>
    <t>Höhe Änderung 2021-2023 [m]</t>
  </si>
  <si>
    <t>Durchmesser Änderung 2021-2023 [cm]</t>
  </si>
  <si>
    <t>Durchmesser 2021 [cm]</t>
  </si>
  <si>
    <t>Durchmesser 2023 [cm]</t>
  </si>
  <si>
    <t>Gesamteindruck 2021</t>
  </si>
  <si>
    <t>Gesamteindruck 2023</t>
  </si>
  <si>
    <t>Austrieb 2023</t>
  </si>
  <si>
    <t>(I+)II</t>
  </si>
  <si>
    <t>II</t>
  </si>
  <si>
    <t>I+II</t>
  </si>
  <si>
    <t>I</t>
  </si>
  <si>
    <t>Mittel</t>
  </si>
  <si>
    <t>Median</t>
  </si>
  <si>
    <t>Mittelwert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</si>
</sst>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1" fillId="2" borderId="0" xfId="0" applyNumberFormat="1" applyFont="1" applyFill="1"/>
    <xf numFmtId="0" fontId="1" fillId="2" borderId="0" xfId="0" applyFont="1" applyFill="1"/>
    <xf numFmtId="164" fontId="1" fillId="0" borderId="0" xfId="0" applyNumberFormat="1" applyFont="1"/>
    <xf numFmtId="0" fontId="1" fillId="0" borderId="0" xfId="0" applyFon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J16" sqref="J16"/>
    </sheetView>
  </sheetViews>
  <sheetFormatPr baseColWidth="10" defaultColWidth="11.453125" defaultRowHeight="14" x14ac:dyDescent="0.3"/>
  <cols>
    <col min="1" max="1" width="11.453125" style="1"/>
    <col min="2" max="4" width="11.453125" style="2"/>
    <col min="5" max="5" width="22.7265625" style="2" customWidth="1"/>
    <col min="6" max="16384" width="11.453125" style="2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5</v>
      </c>
      <c r="E1" s="2" t="s">
        <v>26</v>
      </c>
    </row>
    <row r="2" spans="1:7" x14ac:dyDescent="0.3">
      <c r="A2" s="1" t="s">
        <v>4</v>
      </c>
      <c r="B2" s="2">
        <v>23.5</v>
      </c>
      <c r="C2" s="2">
        <v>24.5</v>
      </c>
      <c r="D2" s="2" t="s">
        <v>7</v>
      </c>
      <c r="E2" s="2">
        <f t="shared" ref="E2:E18" si="0">C2-B2</f>
        <v>1</v>
      </c>
    </row>
    <row r="3" spans="1:7" x14ac:dyDescent="0.3">
      <c r="A3" s="1" t="s">
        <v>8</v>
      </c>
      <c r="B3" s="2">
        <v>24.6</v>
      </c>
      <c r="C3" s="2">
        <v>25.5</v>
      </c>
      <c r="D3" s="2" t="s">
        <v>7</v>
      </c>
      <c r="E3" s="2">
        <f t="shared" si="0"/>
        <v>0.89999999999999858</v>
      </c>
    </row>
    <row r="4" spans="1:7" x14ac:dyDescent="0.3">
      <c r="A4" s="1" t="s">
        <v>13</v>
      </c>
      <c r="B4" s="2">
        <v>21</v>
      </c>
      <c r="C4" s="2">
        <v>24.7</v>
      </c>
      <c r="D4" s="2" t="s">
        <v>7</v>
      </c>
      <c r="E4" s="2">
        <f t="shared" si="0"/>
        <v>3.6999999999999993</v>
      </c>
    </row>
    <row r="5" spans="1:7" x14ac:dyDescent="0.3">
      <c r="A5" s="1" t="s">
        <v>14</v>
      </c>
      <c r="B5" s="2">
        <v>21.9</v>
      </c>
      <c r="C5" s="2">
        <v>26</v>
      </c>
      <c r="D5" s="2" t="s">
        <v>7</v>
      </c>
      <c r="E5" s="2">
        <f t="shared" si="0"/>
        <v>4.1000000000000014</v>
      </c>
    </row>
    <row r="6" spans="1:7" x14ac:dyDescent="0.3">
      <c r="A6" s="1" t="s">
        <v>15</v>
      </c>
      <c r="B6" s="2">
        <v>24.7</v>
      </c>
      <c r="C6" s="2">
        <v>27.3</v>
      </c>
      <c r="D6" s="2" t="s">
        <v>7</v>
      </c>
      <c r="E6" s="2">
        <f t="shared" si="0"/>
        <v>2.6000000000000014</v>
      </c>
    </row>
    <row r="7" spans="1:7" x14ac:dyDescent="0.3">
      <c r="A7" s="1" t="s">
        <v>19</v>
      </c>
      <c r="B7" s="2">
        <v>22.6</v>
      </c>
      <c r="C7" s="2">
        <v>24</v>
      </c>
      <c r="D7" s="2" t="s">
        <v>7</v>
      </c>
      <c r="E7" s="2">
        <f t="shared" si="0"/>
        <v>1.3999999999999986</v>
      </c>
    </row>
    <row r="8" spans="1:7" x14ac:dyDescent="0.3">
      <c r="A8" s="1" t="s">
        <v>20</v>
      </c>
      <c r="B8" s="2">
        <v>23.8</v>
      </c>
      <c r="C8" s="2">
        <v>25</v>
      </c>
      <c r="D8" s="2" t="s">
        <v>7</v>
      </c>
      <c r="E8" s="2">
        <f t="shared" si="0"/>
        <v>1.1999999999999993</v>
      </c>
    </row>
    <row r="9" spans="1:7" x14ac:dyDescent="0.3">
      <c r="A9" s="1" t="s">
        <v>21</v>
      </c>
      <c r="B9" s="2">
        <v>21.2</v>
      </c>
      <c r="C9" s="2">
        <v>23</v>
      </c>
      <c r="D9" s="2" t="s">
        <v>7</v>
      </c>
      <c r="E9" s="2">
        <f t="shared" si="0"/>
        <v>1.8000000000000007</v>
      </c>
      <c r="F9" s="6" t="s">
        <v>38</v>
      </c>
      <c r="G9" s="6" t="s">
        <v>39</v>
      </c>
    </row>
    <row r="10" spans="1:7" x14ac:dyDescent="0.3">
      <c r="A10" s="1" t="s">
        <v>22</v>
      </c>
      <c r="B10" s="2">
        <v>25</v>
      </c>
      <c r="C10" s="2">
        <v>26.5</v>
      </c>
      <c r="D10" s="2" t="s">
        <v>7</v>
      </c>
      <c r="E10" s="2">
        <f t="shared" si="0"/>
        <v>1.5</v>
      </c>
      <c r="F10" s="5">
        <f>AVERAGE(E2:E10)</f>
        <v>2.0222222222222221</v>
      </c>
      <c r="G10" s="2">
        <f>MEDIAN(E2:E10)</f>
        <v>1.5</v>
      </c>
    </row>
    <row r="11" spans="1:7" x14ac:dyDescent="0.3">
      <c r="A11" s="3" t="s">
        <v>3</v>
      </c>
      <c r="B11" s="4">
        <v>22.1</v>
      </c>
      <c r="C11" s="4">
        <v>25.8</v>
      </c>
      <c r="D11" s="4" t="s">
        <v>6</v>
      </c>
      <c r="E11" s="4">
        <f t="shared" si="0"/>
        <v>3.6999999999999993</v>
      </c>
      <c r="F11" s="5"/>
    </row>
    <row r="12" spans="1:7" x14ac:dyDescent="0.3">
      <c r="A12" s="3" t="s">
        <v>12</v>
      </c>
      <c r="B12" s="4">
        <v>22.7</v>
      </c>
      <c r="C12" s="4">
        <v>26.3</v>
      </c>
      <c r="D12" s="4" t="s">
        <v>6</v>
      </c>
      <c r="E12" s="4">
        <f t="shared" si="0"/>
        <v>3.6000000000000014</v>
      </c>
      <c r="F12" s="5"/>
    </row>
    <row r="13" spans="1:7" x14ac:dyDescent="0.3">
      <c r="A13" s="3" t="s">
        <v>11</v>
      </c>
      <c r="B13" s="4">
        <v>27.5</v>
      </c>
      <c r="C13" s="4">
        <v>29.9</v>
      </c>
      <c r="D13" s="4" t="s">
        <v>6</v>
      </c>
      <c r="E13" s="4">
        <f t="shared" si="0"/>
        <v>2.3999999999999986</v>
      </c>
      <c r="F13" s="5"/>
    </row>
    <row r="14" spans="1:7" x14ac:dyDescent="0.3">
      <c r="A14" s="3" t="s">
        <v>17</v>
      </c>
      <c r="B14" s="4">
        <v>25.2</v>
      </c>
      <c r="C14" s="4">
        <v>27.6</v>
      </c>
      <c r="D14" s="4" t="s">
        <v>6</v>
      </c>
      <c r="E14" s="4">
        <f t="shared" si="0"/>
        <v>2.4000000000000021</v>
      </c>
      <c r="F14" s="5">
        <f>AVERAGE(E11:E14)</f>
        <v>3.0250000000000004</v>
      </c>
      <c r="G14" s="5">
        <f>MEDIAN(E11:E14)</f>
        <v>3.0000000000000018</v>
      </c>
    </row>
    <row r="15" spans="1:7" x14ac:dyDescent="0.3">
      <c r="A15" s="1" t="s">
        <v>9</v>
      </c>
      <c r="B15" s="2">
        <v>23</v>
      </c>
      <c r="C15" s="2">
        <v>25.8</v>
      </c>
      <c r="D15" s="2" t="s">
        <v>23</v>
      </c>
      <c r="E15" s="2">
        <f t="shared" si="0"/>
        <v>2.8000000000000007</v>
      </c>
      <c r="F15" s="5"/>
    </row>
    <row r="16" spans="1:7" x14ac:dyDescent="0.3">
      <c r="A16" s="1" t="s">
        <v>10</v>
      </c>
      <c r="B16" s="2">
        <v>25.8</v>
      </c>
      <c r="C16" s="2">
        <v>28.6</v>
      </c>
      <c r="D16" s="2" t="s">
        <v>23</v>
      </c>
      <c r="E16" s="2">
        <f t="shared" si="0"/>
        <v>2.8000000000000007</v>
      </c>
      <c r="F16" s="5"/>
    </row>
    <row r="17" spans="1:7" x14ac:dyDescent="0.3">
      <c r="A17" s="1" t="s">
        <v>16</v>
      </c>
      <c r="B17" s="2">
        <v>24.3</v>
      </c>
      <c r="C17" s="2">
        <v>27.3</v>
      </c>
      <c r="D17" s="2" t="s">
        <v>23</v>
      </c>
      <c r="E17" s="2">
        <f t="shared" si="0"/>
        <v>3</v>
      </c>
      <c r="F17" s="5"/>
    </row>
    <row r="18" spans="1:7" x14ac:dyDescent="0.3">
      <c r="A18" s="1" t="s">
        <v>18</v>
      </c>
      <c r="B18" s="2">
        <v>23.5</v>
      </c>
      <c r="C18" s="2">
        <v>27.5</v>
      </c>
      <c r="D18" s="2" t="s">
        <v>23</v>
      </c>
      <c r="E18" s="2">
        <f t="shared" si="0"/>
        <v>4</v>
      </c>
      <c r="F18" s="5">
        <f>AVERAGE(E15:E18)</f>
        <v>3.1500000000000004</v>
      </c>
      <c r="G18" s="2">
        <f>MEDIAN(E15:E18)</f>
        <v>2.9000000000000004</v>
      </c>
    </row>
  </sheetData>
  <sortState xmlns:xlrd2="http://schemas.microsoft.com/office/spreadsheetml/2017/richdata2" ref="A2:E18">
    <sortCondition ref="A2:A18"/>
  </sortState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>
      <selection activeCell="E12" sqref="E12"/>
    </sheetView>
  </sheetViews>
  <sheetFormatPr baseColWidth="10" defaultColWidth="11.453125" defaultRowHeight="14" x14ac:dyDescent="0.3"/>
  <cols>
    <col min="1" max="1" width="11.453125" style="1"/>
    <col min="2" max="4" width="11.453125" style="2"/>
    <col min="5" max="5" width="22.7265625" style="2" customWidth="1"/>
    <col min="6" max="16384" width="11.453125" style="2"/>
  </cols>
  <sheetData>
    <row r="1" spans="1:8" x14ac:dyDescent="0.3">
      <c r="A1" s="1" t="s">
        <v>0</v>
      </c>
      <c r="B1" s="2" t="s">
        <v>24</v>
      </c>
      <c r="C1" s="2" t="s">
        <v>25</v>
      </c>
      <c r="D1" s="2" t="s">
        <v>5</v>
      </c>
      <c r="E1" s="2" t="s">
        <v>27</v>
      </c>
      <c r="F1" s="2" t="s">
        <v>33</v>
      </c>
    </row>
    <row r="2" spans="1:8" x14ac:dyDescent="0.3">
      <c r="A2" s="1" t="s">
        <v>4</v>
      </c>
      <c r="B2" s="2">
        <v>6.7</v>
      </c>
      <c r="C2" s="2">
        <v>4.5</v>
      </c>
      <c r="D2" s="2" t="s">
        <v>7</v>
      </c>
      <c r="E2" s="2">
        <f t="shared" ref="E2:E18" si="0">C2-B2</f>
        <v>-2.2000000000000002</v>
      </c>
      <c r="F2" s="1" t="s">
        <v>34</v>
      </c>
    </row>
    <row r="3" spans="1:8" x14ac:dyDescent="0.3">
      <c r="A3" s="1" t="s">
        <v>8</v>
      </c>
      <c r="B3" s="2">
        <v>7</v>
      </c>
      <c r="C3" s="2">
        <v>4.8</v>
      </c>
      <c r="D3" s="2" t="s">
        <v>7</v>
      </c>
      <c r="E3" s="2">
        <f t="shared" si="0"/>
        <v>-2.2000000000000002</v>
      </c>
      <c r="F3" s="1" t="s">
        <v>35</v>
      </c>
    </row>
    <row r="4" spans="1:8" x14ac:dyDescent="0.3">
      <c r="A4" s="1" t="s">
        <v>13</v>
      </c>
      <c r="B4" s="2">
        <v>6.4</v>
      </c>
      <c r="C4" s="2">
        <v>6.2</v>
      </c>
      <c r="D4" s="2" t="s">
        <v>7</v>
      </c>
      <c r="E4" s="2">
        <f t="shared" si="0"/>
        <v>-0.20000000000000018</v>
      </c>
      <c r="F4" s="1" t="s">
        <v>37</v>
      </c>
    </row>
    <row r="5" spans="1:8" x14ac:dyDescent="0.3">
      <c r="A5" s="1" t="s">
        <v>14</v>
      </c>
      <c r="B5" s="2">
        <v>6</v>
      </c>
      <c r="C5" s="2">
        <v>6.2</v>
      </c>
      <c r="D5" s="2" t="s">
        <v>7</v>
      </c>
      <c r="E5" s="2">
        <f t="shared" si="0"/>
        <v>0.20000000000000018</v>
      </c>
      <c r="F5" s="1" t="s">
        <v>37</v>
      </c>
    </row>
    <row r="6" spans="1:8" x14ac:dyDescent="0.3">
      <c r="A6" s="1" t="s">
        <v>15</v>
      </c>
      <c r="B6" s="2">
        <v>7</v>
      </c>
      <c r="C6" s="2">
        <v>7</v>
      </c>
      <c r="D6" s="2" t="s">
        <v>7</v>
      </c>
      <c r="E6" s="2">
        <f t="shared" si="0"/>
        <v>0</v>
      </c>
      <c r="F6" s="1" t="s">
        <v>37</v>
      </c>
    </row>
    <row r="7" spans="1:8" x14ac:dyDescent="0.3">
      <c r="A7" s="1" t="s">
        <v>19</v>
      </c>
      <c r="B7" s="2">
        <v>6.7</v>
      </c>
      <c r="C7" s="2">
        <v>4.8</v>
      </c>
      <c r="D7" s="2" t="s">
        <v>7</v>
      </c>
      <c r="E7" s="2">
        <f t="shared" si="0"/>
        <v>-1.9000000000000004</v>
      </c>
      <c r="F7" s="1" t="s">
        <v>35</v>
      </c>
    </row>
    <row r="8" spans="1:8" x14ac:dyDescent="0.3">
      <c r="A8" s="1" t="s">
        <v>20</v>
      </c>
      <c r="B8" s="2">
        <v>6.1</v>
      </c>
      <c r="C8" s="2">
        <v>5</v>
      </c>
      <c r="D8" s="2" t="s">
        <v>7</v>
      </c>
      <c r="E8" s="2">
        <f t="shared" si="0"/>
        <v>-1.0999999999999996</v>
      </c>
      <c r="F8" s="1" t="s">
        <v>36</v>
      </c>
    </row>
    <row r="9" spans="1:8" x14ac:dyDescent="0.3">
      <c r="A9" s="1" t="s">
        <v>21</v>
      </c>
      <c r="B9" s="2">
        <v>6.4</v>
      </c>
      <c r="C9" s="2">
        <v>6.6</v>
      </c>
      <c r="D9" s="2" t="s">
        <v>7</v>
      </c>
      <c r="E9" s="2">
        <f t="shared" si="0"/>
        <v>0.19999999999999929</v>
      </c>
      <c r="F9" s="1" t="s">
        <v>37</v>
      </c>
      <c r="G9" s="6" t="s">
        <v>40</v>
      </c>
      <c r="H9" s="6" t="s">
        <v>39</v>
      </c>
    </row>
    <row r="10" spans="1:8" x14ac:dyDescent="0.3">
      <c r="A10" s="1" t="s">
        <v>22</v>
      </c>
      <c r="B10" s="2">
        <v>7.3</v>
      </c>
      <c r="C10" s="2">
        <v>4.5999999999999996</v>
      </c>
      <c r="D10" s="2" t="s">
        <v>7</v>
      </c>
      <c r="E10" s="2">
        <f t="shared" si="0"/>
        <v>-2.7</v>
      </c>
      <c r="F10" s="1" t="s">
        <v>36</v>
      </c>
      <c r="G10" s="2">
        <f>AVERAGE(E2:E10)</f>
        <v>-1.1000000000000003</v>
      </c>
      <c r="H10" s="2">
        <f>MEDIAN(E2:E10)</f>
        <v>-1.0999999999999996</v>
      </c>
    </row>
    <row r="11" spans="1:8" x14ac:dyDescent="0.3">
      <c r="A11" s="3" t="s">
        <v>3</v>
      </c>
      <c r="B11" s="4">
        <v>6.6</v>
      </c>
      <c r="C11" s="4">
        <v>6.8</v>
      </c>
      <c r="D11" s="4" t="s">
        <v>6</v>
      </c>
      <c r="E11" s="4">
        <f t="shared" si="0"/>
        <v>0.20000000000000018</v>
      </c>
      <c r="F11" s="3" t="s">
        <v>36</v>
      </c>
    </row>
    <row r="12" spans="1:8" x14ac:dyDescent="0.3">
      <c r="A12" s="3" t="s">
        <v>12</v>
      </c>
      <c r="B12" s="4">
        <v>6.2</v>
      </c>
      <c r="C12" s="4">
        <v>6.6</v>
      </c>
      <c r="D12" s="4" t="s">
        <v>6</v>
      </c>
      <c r="E12" s="4">
        <f t="shared" si="0"/>
        <v>0.39999999999999947</v>
      </c>
      <c r="F12" s="3" t="s">
        <v>36</v>
      </c>
    </row>
    <row r="13" spans="1:8" x14ac:dyDescent="0.3">
      <c r="A13" s="3" t="s">
        <v>11</v>
      </c>
      <c r="B13" s="4">
        <v>6.6</v>
      </c>
      <c r="C13" s="4">
        <v>6.3</v>
      </c>
      <c r="D13" s="4" t="s">
        <v>6</v>
      </c>
      <c r="E13" s="4">
        <f t="shared" si="0"/>
        <v>-0.29999999999999982</v>
      </c>
      <c r="F13" s="3" t="s">
        <v>37</v>
      </c>
    </row>
    <row r="14" spans="1:8" x14ac:dyDescent="0.3">
      <c r="A14" s="3" t="s">
        <v>17</v>
      </c>
      <c r="B14" s="4">
        <v>7</v>
      </c>
      <c r="C14" s="4">
        <v>6.8</v>
      </c>
      <c r="D14" s="4" t="s">
        <v>6</v>
      </c>
      <c r="E14" s="4">
        <f t="shared" si="0"/>
        <v>-0.20000000000000018</v>
      </c>
      <c r="F14" s="3" t="s">
        <v>37</v>
      </c>
      <c r="G14" s="5">
        <f>AVERAGE(E11:E14)</f>
        <v>2.4999999999999911E-2</v>
      </c>
      <c r="H14" s="5">
        <f>MEDIAN(E11:E14)</f>
        <v>0</v>
      </c>
    </row>
    <row r="15" spans="1:8" x14ac:dyDescent="0.3">
      <c r="A15" s="1" t="s">
        <v>9</v>
      </c>
      <c r="B15" s="2">
        <v>7</v>
      </c>
      <c r="C15" s="2">
        <v>7.1</v>
      </c>
      <c r="D15" s="2" t="s">
        <v>23</v>
      </c>
      <c r="E15" s="2">
        <f t="shared" si="0"/>
        <v>9.9999999999999645E-2</v>
      </c>
      <c r="F15" s="1" t="s">
        <v>37</v>
      </c>
    </row>
    <row r="16" spans="1:8" x14ac:dyDescent="0.3">
      <c r="A16" s="1" t="s">
        <v>10</v>
      </c>
      <c r="B16" s="2">
        <v>7</v>
      </c>
      <c r="C16" s="2">
        <v>7</v>
      </c>
      <c r="D16" s="2" t="s">
        <v>23</v>
      </c>
      <c r="E16" s="2">
        <f t="shared" si="0"/>
        <v>0</v>
      </c>
      <c r="F16" s="1" t="s">
        <v>37</v>
      </c>
    </row>
    <row r="17" spans="1:8" x14ac:dyDescent="0.3">
      <c r="A17" s="1" t="s">
        <v>16</v>
      </c>
      <c r="B17" s="2">
        <v>6</v>
      </c>
      <c r="C17" s="2">
        <v>6</v>
      </c>
      <c r="D17" s="2" t="s">
        <v>23</v>
      </c>
      <c r="E17" s="2">
        <f t="shared" si="0"/>
        <v>0</v>
      </c>
      <c r="F17" s="1" t="s">
        <v>37</v>
      </c>
    </row>
    <row r="18" spans="1:8" x14ac:dyDescent="0.3">
      <c r="A18" s="1" t="s">
        <v>18</v>
      </c>
      <c r="B18" s="2">
        <v>7</v>
      </c>
      <c r="C18" s="2">
        <v>7.2</v>
      </c>
      <c r="D18" s="2" t="s">
        <v>23</v>
      </c>
      <c r="E18" s="2">
        <f t="shared" si="0"/>
        <v>0.20000000000000018</v>
      </c>
      <c r="F18" s="1" t="s">
        <v>36</v>
      </c>
      <c r="G18" s="5">
        <f>AVERAGE(E15:E18)</f>
        <v>7.4999999999999956E-2</v>
      </c>
      <c r="H18" s="5">
        <f>MEDIAN(E15:E18)</f>
        <v>4.9999999999999822E-2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workbookViewId="0">
      <selection activeCell="G8" sqref="G8"/>
    </sheetView>
  </sheetViews>
  <sheetFormatPr baseColWidth="10" defaultColWidth="11.453125" defaultRowHeight="14" x14ac:dyDescent="0.3"/>
  <cols>
    <col min="1" max="1" width="11.453125" style="1"/>
    <col min="2" max="4" width="11.453125" style="2"/>
    <col min="5" max="5" width="22.7265625" style="2" customWidth="1"/>
    <col min="6" max="16384" width="11.453125" style="2"/>
  </cols>
  <sheetData>
    <row r="1" spans="1:5" x14ac:dyDescent="0.3">
      <c r="A1" s="1" t="s">
        <v>0</v>
      </c>
      <c r="B1" s="2" t="s">
        <v>29</v>
      </c>
      <c r="C1" s="2" t="s">
        <v>30</v>
      </c>
      <c r="D1" s="2" t="s">
        <v>5</v>
      </c>
      <c r="E1" s="2" t="s">
        <v>28</v>
      </c>
    </row>
    <row r="2" spans="1:5" x14ac:dyDescent="0.3">
      <c r="A2" s="1" t="s">
        <v>4</v>
      </c>
      <c r="B2" s="2">
        <v>150</v>
      </c>
      <c r="C2" s="2">
        <v>170</v>
      </c>
      <c r="D2" s="2" t="s">
        <v>7</v>
      </c>
      <c r="E2" s="2">
        <f t="shared" ref="E2:E18" si="0">C2-B2</f>
        <v>20</v>
      </c>
    </row>
    <row r="3" spans="1:5" x14ac:dyDescent="0.3">
      <c r="A3" s="1" t="s">
        <v>8</v>
      </c>
      <c r="B3" s="2">
        <v>130</v>
      </c>
      <c r="C3" s="2">
        <v>210</v>
      </c>
      <c r="D3" s="2" t="s">
        <v>7</v>
      </c>
      <c r="E3" s="2">
        <f t="shared" si="0"/>
        <v>80</v>
      </c>
    </row>
    <row r="4" spans="1:5" x14ac:dyDescent="0.3">
      <c r="A4" s="1" t="s">
        <v>13</v>
      </c>
      <c r="B4" s="2">
        <v>120</v>
      </c>
      <c r="C4" s="2">
        <v>140</v>
      </c>
      <c r="D4" s="2" t="s">
        <v>7</v>
      </c>
      <c r="E4" s="2">
        <f t="shared" si="0"/>
        <v>20</v>
      </c>
    </row>
    <row r="5" spans="1:5" x14ac:dyDescent="0.3">
      <c r="A5" s="1" t="s">
        <v>14</v>
      </c>
      <c r="B5" s="2">
        <v>140</v>
      </c>
      <c r="C5" s="2">
        <v>170</v>
      </c>
      <c r="D5" s="2" t="s">
        <v>7</v>
      </c>
      <c r="E5" s="2">
        <f t="shared" si="0"/>
        <v>30</v>
      </c>
    </row>
    <row r="6" spans="1:5" x14ac:dyDescent="0.3">
      <c r="A6" s="1" t="s">
        <v>15</v>
      </c>
      <c r="B6" s="2">
        <v>140</v>
      </c>
      <c r="C6" s="2">
        <v>140</v>
      </c>
      <c r="D6" s="2" t="s">
        <v>7</v>
      </c>
      <c r="E6" s="2">
        <f t="shared" si="0"/>
        <v>0</v>
      </c>
    </row>
    <row r="7" spans="1:5" x14ac:dyDescent="0.3">
      <c r="A7" s="1" t="s">
        <v>19</v>
      </c>
      <c r="B7" s="2">
        <v>120</v>
      </c>
      <c r="C7" s="2">
        <v>100</v>
      </c>
      <c r="D7" s="2" t="s">
        <v>7</v>
      </c>
      <c r="E7" s="2">
        <f t="shared" si="0"/>
        <v>-20</v>
      </c>
    </row>
    <row r="8" spans="1:5" x14ac:dyDescent="0.3">
      <c r="A8" s="1" t="s">
        <v>20</v>
      </c>
      <c r="B8" s="2">
        <v>140</v>
      </c>
      <c r="C8" s="2">
        <v>140</v>
      </c>
      <c r="D8" s="2" t="s">
        <v>7</v>
      </c>
      <c r="E8" s="2">
        <f t="shared" si="0"/>
        <v>0</v>
      </c>
    </row>
    <row r="9" spans="1:5" x14ac:dyDescent="0.3">
      <c r="A9" s="1" t="s">
        <v>21</v>
      </c>
      <c r="B9" s="2">
        <v>120</v>
      </c>
      <c r="C9" s="2">
        <v>120</v>
      </c>
      <c r="D9" s="2" t="s">
        <v>7</v>
      </c>
      <c r="E9" s="2">
        <f t="shared" si="0"/>
        <v>0</v>
      </c>
    </row>
    <row r="10" spans="1:5" x14ac:dyDescent="0.3">
      <c r="A10" s="1" t="s">
        <v>22</v>
      </c>
      <c r="B10" s="2">
        <v>120</v>
      </c>
      <c r="C10" s="2">
        <v>120</v>
      </c>
      <c r="D10" s="2" t="s">
        <v>7</v>
      </c>
      <c r="E10" s="2">
        <f t="shared" si="0"/>
        <v>0</v>
      </c>
    </row>
    <row r="11" spans="1:5" x14ac:dyDescent="0.3">
      <c r="A11" s="3" t="s">
        <v>3</v>
      </c>
      <c r="B11" s="4">
        <v>130</v>
      </c>
      <c r="C11" s="4">
        <v>160</v>
      </c>
      <c r="D11" s="4" t="s">
        <v>6</v>
      </c>
      <c r="E11" s="4">
        <f t="shared" si="0"/>
        <v>30</v>
      </c>
    </row>
    <row r="12" spans="1:5" x14ac:dyDescent="0.3">
      <c r="A12" s="3" t="s">
        <v>12</v>
      </c>
      <c r="B12" s="4">
        <v>140</v>
      </c>
      <c r="C12" s="4">
        <v>140</v>
      </c>
      <c r="D12" s="4" t="s">
        <v>6</v>
      </c>
      <c r="E12" s="4">
        <f t="shared" si="0"/>
        <v>0</v>
      </c>
    </row>
    <row r="13" spans="1:5" x14ac:dyDescent="0.3">
      <c r="A13" s="3" t="s">
        <v>11</v>
      </c>
      <c r="B13" s="4">
        <v>120</v>
      </c>
      <c r="C13" s="4">
        <v>150</v>
      </c>
      <c r="D13" s="4" t="s">
        <v>6</v>
      </c>
      <c r="E13" s="4">
        <f t="shared" si="0"/>
        <v>30</v>
      </c>
    </row>
    <row r="14" spans="1:5" x14ac:dyDescent="0.3">
      <c r="A14" s="3" t="s">
        <v>17</v>
      </c>
      <c r="B14" s="4">
        <v>130</v>
      </c>
      <c r="C14" s="4">
        <v>140</v>
      </c>
      <c r="D14" s="4" t="s">
        <v>6</v>
      </c>
      <c r="E14" s="4">
        <f t="shared" si="0"/>
        <v>10</v>
      </c>
    </row>
    <row r="15" spans="1:5" x14ac:dyDescent="0.3">
      <c r="A15" s="1" t="s">
        <v>9</v>
      </c>
      <c r="B15" s="2">
        <v>140</v>
      </c>
      <c r="C15" s="2">
        <v>150</v>
      </c>
      <c r="D15" s="2" t="s">
        <v>23</v>
      </c>
      <c r="E15" s="2">
        <f t="shared" si="0"/>
        <v>10</v>
      </c>
    </row>
    <row r="16" spans="1:5" x14ac:dyDescent="0.3">
      <c r="A16" s="1" t="s">
        <v>10</v>
      </c>
      <c r="B16" s="2">
        <v>130</v>
      </c>
      <c r="C16" s="2">
        <v>150</v>
      </c>
      <c r="D16" s="2" t="s">
        <v>23</v>
      </c>
      <c r="E16" s="2">
        <f t="shared" si="0"/>
        <v>20</v>
      </c>
    </row>
    <row r="17" spans="1:5" x14ac:dyDescent="0.3">
      <c r="A17" s="1" t="s">
        <v>16</v>
      </c>
      <c r="B17" s="2">
        <v>120</v>
      </c>
      <c r="C17" s="2">
        <v>150</v>
      </c>
      <c r="D17" s="2" t="s">
        <v>23</v>
      </c>
      <c r="E17" s="2">
        <f t="shared" si="0"/>
        <v>30</v>
      </c>
    </row>
    <row r="18" spans="1:5" x14ac:dyDescent="0.3">
      <c r="A18" s="1" t="s">
        <v>18</v>
      </c>
      <c r="B18" s="2">
        <v>130</v>
      </c>
      <c r="C18" s="2">
        <v>130</v>
      </c>
      <c r="D18" s="2" t="s">
        <v>23</v>
      </c>
      <c r="E18" s="2">
        <f t="shared" si="0"/>
        <v>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workbookViewId="0">
      <selection activeCell="D1" sqref="D1:D1048576"/>
    </sheetView>
  </sheetViews>
  <sheetFormatPr baseColWidth="10" defaultColWidth="11.453125" defaultRowHeight="14" x14ac:dyDescent="0.3"/>
  <cols>
    <col min="1" max="1" width="11.453125" style="1"/>
    <col min="2" max="2" width="25.36328125" style="2" customWidth="1"/>
    <col min="3" max="3" width="12.36328125" style="2" customWidth="1"/>
    <col min="4" max="16384" width="11.453125" style="2"/>
  </cols>
  <sheetData>
    <row r="1" spans="1:3" x14ac:dyDescent="0.3">
      <c r="A1" s="1" t="s">
        <v>0</v>
      </c>
      <c r="B1" s="2" t="s">
        <v>31</v>
      </c>
      <c r="C1" s="2" t="s">
        <v>5</v>
      </c>
    </row>
    <row r="2" spans="1:3" x14ac:dyDescent="0.3">
      <c r="A2" s="1" t="s">
        <v>4</v>
      </c>
      <c r="B2" s="2">
        <v>7</v>
      </c>
      <c r="C2" s="2" t="s">
        <v>7</v>
      </c>
    </row>
    <row r="3" spans="1:3" x14ac:dyDescent="0.3">
      <c r="A3" s="1" t="s">
        <v>8</v>
      </c>
      <c r="B3" s="2">
        <v>7</v>
      </c>
      <c r="C3" s="2" t="s">
        <v>7</v>
      </c>
    </row>
    <row r="4" spans="1:3" x14ac:dyDescent="0.3">
      <c r="A4" s="1" t="s">
        <v>13</v>
      </c>
      <c r="B4" s="2">
        <v>5</v>
      </c>
      <c r="C4" s="2" t="s">
        <v>7</v>
      </c>
    </row>
    <row r="5" spans="1:3" x14ac:dyDescent="0.3">
      <c r="A5" s="1" t="s">
        <v>14</v>
      </c>
      <c r="B5" s="2">
        <v>7</v>
      </c>
      <c r="C5" s="2" t="s">
        <v>7</v>
      </c>
    </row>
    <row r="6" spans="1:3" x14ac:dyDescent="0.3">
      <c r="A6" s="1" t="s">
        <v>15</v>
      </c>
      <c r="B6" s="2">
        <v>5</v>
      </c>
      <c r="C6" s="2" t="s">
        <v>7</v>
      </c>
    </row>
    <row r="7" spans="1:3" x14ac:dyDescent="0.3">
      <c r="A7" s="1" t="s">
        <v>19</v>
      </c>
      <c r="B7" s="2">
        <v>7</v>
      </c>
      <c r="C7" s="2" t="s">
        <v>7</v>
      </c>
    </row>
    <row r="8" spans="1:3" x14ac:dyDescent="0.3">
      <c r="A8" s="1" t="s">
        <v>20</v>
      </c>
      <c r="B8" s="2">
        <v>7</v>
      </c>
      <c r="C8" s="2" t="s">
        <v>7</v>
      </c>
    </row>
    <row r="9" spans="1:3" x14ac:dyDescent="0.3">
      <c r="A9" s="1" t="s">
        <v>21</v>
      </c>
      <c r="B9" s="2">
        <v>5</v>
      </c>
      <c r="C9" s="2" t="s">
        <v>7</v>
      </c>
    </row>
    <row r="10" spans="1:3" x14ac:dyDescent="0.3">
      <c r="A10" s="1" t="s">
        <v>22</v>
      </c>
      <c r="B10" s="2">
        <v>5</v>
      </c>
      <c r="C10" s="2" t="s">
        <v>7</v>
      </c>
    </row>
    <row r="11" spans="1:3" x14ac:dyDescent="0.3">
      <c r="A11" s="3" t="s">
        <v>3</v>
      </c>
      <c r="B11" s="4">
        <v>7</v>
      </c>
      <c r="C11" s="4" t="s">
        <v>6</v>
      </c>
    </row>
    <row r="12" spans="1:3" x14ac:dyDescent="0.3">
      <c r="A12" s="3" t="s">
        <v>12</v>
      </c>
      <c r="B12" s="4">
        <v>7</v>
      </c>
      <c r="C12" s="4" t="s">
        <v>6</v>
      </c>
    </row>
    <row r="13" spans="1:3" x14ac:dyDescent="0.3">
      <c r="A13" s="3" t="s">
        <v>11</v>
      </c>
      <c r="B13" s="4">
        <v>7</v>
      </c>
      <c r="C13" s="4" t="s">
        <v>6</v>
      </c>
    </row>
    <row r="14" spans="1:3" x14ac:dyDescent="0.3">
      <c r="A14" s="3" t="s">
        <v>17</v>
      </c>
      <c r="B14" s="4">
        <v>7</v>
      </c>
      <c r="C14" s="4" t="s">
        <v>6</v>
      </c>
    </row>
    <row r="15" spans="1:3" x14ac:dyDescent="0.3">
      <c r="A15" s="1" t="s">
        <v>9</v>
      </c>
      <c r="B15" s="2">
        <v>7</v>
      </c>
      <c r="C15" s="2" t="s">
        <v>23</v>
      </c>
    </row>
    <row r="16" spans="1:3" x14ac:dyDescent="0.3">
      <c r="A16" s="1" t="s">
        <v>10</v>
      </c>
      <c r="B16" s="2">
        <v>7</v>
      </c>
      <c r="C16" s="2" t="s">
        <v>23</v>
      </c>
    </row>
    <row r="17" spans="1:3" x14ac:dyDescent="0.3">
      <c r="A17" s="1" t="s">
        <v>16</v>
      </c>
      <c r="B17" s="2">
        <v>7</v>
      </c>
      <c r="C17" s="2" t="s">
        <v>23</v>
      </c>
    </row>
    <row r="18" spans="1:3" x14ac:dyDescent="0.3">
      <c r="A18" s="1" t="s">
        <v>18</v>
      </c>
      <c r="B18" s="2">
        <v>9</v>
      </c>
      <c r="C18" s="2" t="s">
        <v>23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>
      <selection activeCell="F9" sqref="F9"/>
    </sheetView>
  </sheetViews>
  <sheetFormatPr baseColWidth="10" defaultColWidth="11.453125" defaultRowHeight="14" x14ac:dyDescent="0.3"/>
  <cols>
    <col min="1" max="1" width="11.453125" style="1"/>
    <col min="2" max="2" width="20.08984375" style="2" customWidth="1"/>
    <col min="3" max="3" width="15.36328125" style="2" customWidth="1"/>
    <col min="4" max="16384" width="11.453125" style="2"/>
  </cols>
  <sheetData>
    <row r="1" spans="1:3" x14ac:dyDescent="0.3">
      <c r="A1" s="1" t="s">
        <v>0</v>
      </c>
      <c r="B1" s="2" t="s">
        <v>32</v>
      </c>
      <c r="C1" s="2" t="s">
        <v>5</v>
      </c>
    </row>
    <row r="2" spans="1:3" x14ac:dyDescent="0.3">
      <c r="A2" s="1" t="s">
        <v>4</v>
      </c>
      <c r="B2" s="2">
        <v>5</v>
      </c>
      <c r="C2" s="2" t="s">
        <v>7</v>
      </c>
    </row>
    <row r="3" spans="1:3" x14ac:dyDescent="0.3">
      <c r="A3" s="1" t="s">
        <v>8</v>
      </c>
      <c r="B3" s="2">
        <v>5</v>
      </c>
      <c r="C3" s="2" t="s">
        <v>7</v>
      </c>
    </row>
    <row r="4" spans="1:3" x14ac:dyDescent="0.3">
      <c r="A4" s="1" t="s">
        <v>13</v>
      </c>
      <c r="B4" s="2">
        <v>8</v>
      </c>
      <c r="C4" s="2" t="s">
        <v>7</v>
      </c>
    </row>
    <row r="5" spans="1:3" x14ac:dyDescent="0.3">
      <c r="A5" s="1" t="s">
        <v>14</v>
      </c>
      <c r="B5" s="2">
        <v>8</v>
      </c>
      <c r="C5" s="2" t="s">
        <v>7</v>
      </c>
    </row>
    <row r="6" spans="1:3" x14ac:dyDescent="0.3">
      <c r="A6" s="1" t="s">
        <v>15</v>
      </c>
      <c r="B6" s="2">
        <v>6</v>
      </c>
      <c r="C6" s="2" t="s">
        <v>7</v>
      </c>
    </row>
    <row r="7" spans="1:3" x14ac:dyDescent="0.3">
      <c r="A7" s="1" t="s">
        <v>19</v>
      </c>
      <c r="B7" s="2">
        <v>3</v>
      </c>
      <c r="C7" s="2" t="s">
        <v>7</v>
      </c>
    </row>
    <row r="8" spans="1:3" x14ac:dyDescent="0.3">
      <c r="A8" s="1" t="s">
        <v>20</v>
      </c>
      <c r="B8" s="2">
        <v>5</v>
      </c>
      <c r="C8" s="2" t="s">
        <v>7</v>
      </c>
    </row>
    <row r="9" spans="1:3" x14ac:dyDescent="0.3">
      <c r="A9" s="1" t="s">
        <v>21</v>
      </c>
      <c r="B9" s="2">
        <v>5</v>
      </c>
      <c r="C9" s="2" t="s">
        <v>7</v>
      </c>
    </row>
    <row r="10" spans="1:3" x14ac:dyDescent="0.3">
      <c r="A10" s="1" t="s">
        <v>22</v>
      </c>
      <c r="B10" s="2">
        <v>4</v>
      </c>
      <c r="C10" s="2" t="s">
        <v>7</v>
      </c>
    </row>
    <row r="11" spans="1:3" x14ac:dyDescent="0.3">
      <c r="A11" s="3" t="s">
        <v>3</v>
      </c>
      <c r="B11" s="4">
        <v>6</v>
      </c>
      <c r="C11" s="4" t="s">
        <v>6</v>
      </c>
    </row>
    <row r="12" spans="1:3" x14ac:dyDescent="0.3">
      <c r="A12" s="3" t="s">
        <v>12</v>
      </c>
      <c r="B12" s="4">
        <v>9</v>
      </c>
      <c r="C12" s="4" t="s">
        <v>6</v>
      </c>
    </row>
    <row r="13" spans="1:3" x14ac:dyDescent="0.3">
      <c r="A13" s="3" t="s">
        <v>11</v>
      </c>
      <c r="B13" s="4">
        <v>7</v>
      </c>
      <c r="C13" s="4" t="s">
        <v>6</v>
      </c>
    </row>
    <row r="14" spans="1:3" x14ac:dyDescent="0.3">
      <c r="A14" s="3" t="s">
        <v>17</v>
      </c>
      <c r="B14" s="4">
        <v>6</v>
      </c>
      <c r="C14" s="4" t="s">
        <v>6</v>
      </c>
    </row>
    <row r="15" spans="1:3" x14ac:dyDescent="0.3">
      <c r="A15" s="1" t="s">
        <v>9</v>
      </c>
      <c r="B15" s="2">
        <v>6</v>
      </c>
      <c r="C15" s="2" t="s">
        <v>23</v>
      </c>
    </row>
    <row r="16" spans="1:3" x14ac:dyDescent="0.3">
      <c r="A16" s="1" t="s">
        <v>10</v>
      </c>
      <c r="B16" s="2">
        <v>6</v>
      </c>
      <c r="C16" s="2" t="s">
        <v>23</v>
      </c>
    </row>
    <row r="17" spans="1:3" x14ac:dyDescent="0.3">
      <c r="A17" s="1" t="s">
        <v>16</v>
      </c>
      <c r="B17" s="2">
        <v>6</v>
      </c>
      <c r="C17" s="2" t="s">
        <v>23</v>
      </c>
    </row>
    <row r="18" spans="1:3" x14ac:dyDescent="0.3">
      <c r="A18" s="1" t="s">
        <v>18</v>
      </c>
      <c r="B18" s="2">
        <v>7</v>
      </c>
      <c r="C18" s="2" t="s">
        <v>23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tabSelected="1" workbookViewId="0">
      <selection activeCell="A36" sqref="A36"/>
    </sheetView>
  </sheetViews>
  <sheetFormatPr baseColWidth="10" defaultColWidth="11.453125" defaultRowHeight="14" x14ac:dyDescent="0.3"/>
  <cols>
    <col min="1" max="1" width="11.453125" style="1"/>
    <col min="2" max="2" width="24.81640625" style="2" customWidth="1"/>
    <col min="3" max="3" width="22.1796875" style="2" customWidth="1"/>
    <col min="4" max="4" width="11.453125" style="2"/>
    <col min="5" max="5" width="22.7265625" style="2" customWidth="1"/>
    <col min="6" max="16384" width="11.453125" style="2"/>
  </cols>
  <sheetData>
    <row r="1" spans="1:5" x14ac:dyDescent="0.3">
      <c r="A1" s="1" t="s">
        <v>0</v>
      </c>
      <c r="B1" s="2" t="s">
        <v>31</v>
      </c>
      <c r="C1" s="2" t="s">
        <v>32</v>
      </c>
      <c r="D1" s="2" t="s">
        <v>5</v>
      </c>
      <c r="E1" s="2" t="s">
        <v>32</v>
      </c>
    </row>
    <row r="2" spans="1:5" x14ac:dyDescent="0.3">
      <c r="A2" s="1" t="s">
        <v>4</v>
      </c>
      <c r="B2" s="2">
        <v>7</v>
      </c>
      <c r="C2" s="2">
        <v>5</v>
      </c>
      <c r="D2" s="2" t="s">
        <v>7</v>
      </c>
      <c r="E2" s="2">
        <f t="shared" ref="E2:E18" si="0">C2-B2</f>
        <v>-2</v>
      </c>
    </row>
    <row r="3" spans="1:5" x14ac:dyDescent="0.3">
      <c r="A3" s="1" t="s">
        <v>8</v>
      </c>
      <c r="B3" s="2">
        <v>7</v>
      </c>
      <c r="C3" s="2">
        <v>5</v>
      </c>
      <c r="D3" s="2" t="s">
        <v>7</v>
      </c>
      <c r="E3" s="2">
        <f t="shared" si="0"/>
        <v>-2</v>
      </c>
    </row>
    <row r="4" spans="1:5" x14ac:dyDescent="0.3">
      <c r="A4" s="1" t="s">
        <v>13</v>
      </c>
      <c r="B4" s="2">
        <v>5</v>
      </c>
      <c r="C4" s="2">
        <v>8</v>
      </c>
      <c r="D4" s="2" t="s">
        <v>7</v>
      </c>
      <c r="E4" s="2">
        <f t="shared" si="0"/>
        <v>3</v>
      </c>
    </row>
    <row r="5" spans="1:5" x14ac:dyDescent="0.3">
      <c r="A5" s="1" t="s">
        <v>14</v>
      </c>
      <c r="B5" s="2">
        <v>7</v>
      </c>
      <c r="C5" s="2">
        <v>8</v>
      </c>
      <c r="D5" s="2" t="s">
        <v>7</v>
      </c>
      <c r="E5" s="2">
        <f t="shared" si="0"/>
        <v>1</v>
      </c>
    </row>
    <row r="6" spans="1:5" x14ac:dyDescent="0.3">
      <c r="A6" s="1" t="s">
        <v>15</v>
      </c>
      <c r="B6" s="2">
        <v>5</v>
      </c>
      <c r="C6" s="2">
        <v>6</v>
      </c>
      <c r="D6" s="2" t="s">
        <v>7</v>
      </c>
      <c r="E6" s="2">
        <f t="shared" si="0"/>
        <v>1</v>
      </c>
    </row>
    <row r="7" spans="1:5" x14ac:dyDescent="0.3">
      <c r="A7" s="1" t="s">
        <v>19</v>
      </c>
      <c r="B7" s="2">
        <v>7</v>
      </c>
      <c r="C7" s="2">
        <v>3</v>
      </c>
      <c r="D7" s="2" t="s">
        <v>7</v>
      </c>
      <c r="E7" s="2">
        <f t="shared" si="0"/>
        <v>-4</v>
      </c>
    </row>
    <row r="8" spans="1:5" x14ac:dyDescent="0.3">
      <c r="A8" s="1" t="s">
        <v>20</v>
      </c>
      <c r="B8" s="2">
        <v>7</v>
      </c>
      <c r="C8" s="2">
        <v>5</v>
      </c>
      <c r="D8" s="2" t="s">
        <v>7</v>
      </c>
      <c r="E8" s="2">
        <f t="shared" si="0"/>
        <v>-2</v>
      </c>
    </row>
    <row r="9" spans="1:5" x14ac:dyDescent="0.3">
      <c r="A9" s="1" t="s">
        <v>21</v>
      </c>
      <c r="B9" s="2">
        <v>5</v>
      </c>
      <c r="C9" s="2">
        <v>5</v>
      </c>
      <c r="D9" s="2" t="s">
        <v>7</v>
      </c>
      <c r="E9" s="2">
        <f t="shared" si="0"/>
        <v>0</v>
      </c>
    </row>
    <row r="10" spans="1:5" x14ac:dyDescent="0.3">
      <c r="A10" s="1" t="s">
        <v>22</v>
      </c>
      <c r="B10" s="2">
        <v>5</v>
      </c>
      <c r="C10" s="2">
        <v>4</v>
      </c>
      <c r="D10" s="2" t="s">
        <v>7</v>
      </c>
      <c r="E10" s="2">
        <f t="shared" si="0"/>
        <v>-1</v>
      </c>
    </row>
    <row r="11" spans="1:5" x14ac:dyDescent="0.3">
      <c r="A11" s="3" t="s">
        <v>3</v>
      </c>
      <c r="B11" s="4">
        <v>7</v>
      </c>
      <c r="C11" s="4">
        <v>6</v>
      </c>
      <c r="D11" s="4" t="s">
        <v>6</v>
      </c>
      <c r="E11" s="4">
        <f t="shared" si="0"/>
        <v>-1</v>
      </c>
    </row>
    <row r="12" spans="1:5" x14ac:dyDescent="0.3">
      <c r="A12" s="3" t="s">
        <v>12</v>
      </c>
      <c r="B12" s="4">
        <v>7</v>
      </c>
      <c r="C12" s="4">
        <v>9</v>
      </c>
      <c r="D12" s="4" t="s">
        <v>6</v>
      </c>
      <c r="E12" s="4">
        <f t="shared" si="0"/>
        <v>2</v>
      </c>
    </row>
    <row r="13" spans="1:5" x14ac:dyDescent="0.3">
      <c r="A13" s="3" t="s">
        <v>11</v>
      </c>
      <c r="B13" s="4">
        <v>7</v>
      </c>
      <c r="C13" s="4">
        <v>7</v>
      </c>
      <c r="D13" s="4" t="s">
        <v>6</v>
      </c>
      <c r="E13" s="4">
        <f t="shared" si="0"/>
        <v>0</v>
      </c>
    </row>
    <row r="14" spans="1:5" x14ac:dyDescent="0.3">
      <c r="A14" s="3" t="s">
        <v>17</v>
      </c>
      <c r="B14" s="4">
        <v>7</v>
      </c>
      <c r="C14" s="4">
        <v>6</v>
      </c>
      <c r="D14" s="4" t="s">
        <v>6</v>
      </c>
      <c r="E14" s="4">
        <f t="shared" si="0"/>
        <v>-1</v>
      </c>
    </row>
    <row r="15" spans="1:5" x14ac:dyDescent="0.3">
      <c r="A15" s="1" t="s">
        <v>9</v>
      </c>
      <c r="B15" s="2">
        <v>7</v>
      </c>
      <c r="C15" s="2">
        <v>6</v>
      </c>
      <c r="D15" s="2" t="s">
        <v>23</v>
      </c>
      <c r="E15" s="2">
        <f t="shared" si="0"/>
        <v>-1</v>
      </c>
    </row>
    <row r="16" spans="1:5" x14ac:dyDescent="0.3">
      <c r="A16" s="1" t="s">
        <v>10</v>
      </c>
      <c r="B16" s="2">
        <v>7</v>
      </c>
      <c r="C16" s="2">
        <v>6</v>
      </c>
      <c r="D16" s="2" t="s">
        <v>23</v>
      </c>
      <c r="E16" s="2">
        <f t="shared" si="0"/>
        <v>-1</v>
      </c>
    </row>
    <row r="17" spans="1:5" x14ac:dyDescent="0.3">
      <c r="A17" s="1" t="s">
        <v>16</v>
      </c>
      <c r="B17" s="2">
        <v>7</v>
      </c>
      <c r="C17" s="2">
        <v>6</v>
      </c>
      <c r="D17" s="2" t="s">
        <v>23</v>
      </c>
      <c r="E17" s="2">
        <f t="shared" si="0"/>
        <v>-1</v>
      </c>
    </row>
    <row r="18" spans="1:5" x14ac:dyDescent="0.3">
      <c r="A18" s="1" t="s">
        <v>18</v>
      </c>
      <c r="B18" s="2">
        <v>9</v>
      </c>
      <c r="C18" s="2">
        <v>7</v>
      </c>
      <c r="D18" s="2" t="s">
        <v>23</v>
      </c>
      <c r="E18" s="2">
        <f t="shared" si="0"/>
        <v>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Stammumfang</vt:lpstr>
      <vt:lpstr>Baumhöhe</vt:lpstr>
      <vt:lpstr>Kronendurchmeser</vt:lpstr>
      <vt:lpstr>Gesamteindruck 2021</vt:lpstr>
      <vt:lpstr>Gesamteindruck 2023</vt:lpstr>
      <vt:lpstr>Gesamteindruck Änderung</vt:lpstr>
    </vt:vector>
  </TitlesOfParts>
  <Company>Hochschule Osnabrück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Bouillon, Jürgen</dc:creator>
  <cp:lastModifiedBy>Hans-Georg Schön</cp:lastModifiedBy>
  <dcterms:created xsi:type="dcterms:W3CDTF">2023-12-15T14:32:30Z</dcterms:created>
  <dcterms:modified xsi:type="dcterms:W3CDTF">2025-11-18T10:20:22Z</dcterms:modified>
</cp:coreProperties>
</file>