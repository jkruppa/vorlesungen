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783D66FC-7C41-44A0-B299-ECB3BABB4E5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rgebnisse" sheetId="1" r:id="rId1"/>
    <sheet name="Versuchsbeschreibu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N31" i="1" l="1"/>
  <c r="N30" i="1"/>
  <c r="M30" i="1"/>
  <c r="N29" i="1"/>
  <c r="M29" i="1"/>
  <c r="L29" i="1"/>
  <c r="L28" i="1"/>
  <c r="M28" i="1"/>
  <c r="N28" i="1"/>
  <c r="K28" i="1"/>
  <c r="N27" i="1"/>
  <c r="M27" i="1"/>
  <c r="L27" i="1"/>
  <c r="K20" i="1" l="1"/>
  <c r="B13" i="1"/>
  <c r="I21" i="1"/>
  <c r="J20" i="1"/>
  <c r="I20" i="1"/>
  <c r="K16" i="1"/>
  <c r="J17" i="1"/>
  <c r="J22" i="1" s="1"/>
  <c r="I17" i="1"/>
  <c r="I22" i="1" s="1"/>
  <c r="J16" i="1"/>
  <c r="J21" i="1" s="1"/>
  <c r="I16" i="1"/>
  <c r="J15" i="1"/>
  <c r="J18" i="1" s="1"/>
  <c r="I15" i="1"/>
  <c r="I18" i="1" s="1"/>
  <c r="B15" i="1" s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D32" i="1"/>
  <c r="E32" i="1"/>
  <c r="B27" i="1"/>
  <c r="C27" i="1"/>
  <c r="D27" i="1"/>
  <c r="E27" i="1"/>
  <c r="A27" i="1"/>
  <c r="J3" i="1"/>
  <c r="J4" i="1"/>
  <c r="J5" i="1"/>
  <c r="J6" i="1"/>
  <c r="J7" i="1"/>
  <c r="J2" i="1"/>
  <c r="K22" i="1" l="1"/>
  <c r="I23" i="1"/>
  <c r="D15" i="1"/>
  <c r="J23" i="1"/>
  <c r="K21" i="1"/>
  <c r="K15" i="1"/>
  <c r="K17" i="1"/>
  <c r="B19" i="1"/>
  <c r="B16" i="1" l="1"/>
  <c r="D16" i="1" l="1"/>
  <c r="B17" i="1"/>
  <c r="E16" i="1" l="1"/>
  <c r="D17" i="1"/>
  <c r="B18" i="1"/>
  <c r="D18" i="1" s="1"/>
  <c r="K33" i="1" l="1"/>
  <c r="E15" i="1"/>
  <c r="E17" i="1"/>
</calcChain>
</file>

<file path=xl/sharedStrings.xml><?xml version="1.0" encoding="utf-8"?>
<sst xmlns="http://schemas.openxmlformats.org/spreadsheetml/2006/main" count="82" uniqueCount="54">
  <si>
    <t>Fungizidstufe</t>
  </si>
  <si>
    <t>Insektizidstufe</t>
  </si>
  <si>
    <t>Wdh 1</t>
  </si>
  <si>
    <t>Wdh 2</t>
  </si>
  <si>
    <t>Wdh 3</t>
  </si>
  <si>
    <t>Wdh 4</t>
  </si>
  <si>
    <t>Wdh 5</t>
  </si>
  <si>
    <t>Summe</t>
  </si>
  <si>
    <t>Mittel</t>
  </si>
  <si>
    <t>F0</t>
  </si>
  <si>
    <t>I0</t>
  </si>
  <si>
    <t>I1</t>
  </si>
  <si>
    <t>I2</t>
  </si>
  <si>
    <t>F1</t>
  </si>
  <si>
    <t>Varianz</t>
  </si>
  <si>
    <t>SG</t>
  </si>
  <si>
    <t>WW F*I</t>
  </si>
  <si>
    <t xml:space="preserve"> Fungizid</t>
  </si>
  <si>
    <t xml:space="preserve"> Insektizid</t>
  </si>
  <si>
    <t xml:space="preserve"> Rest</t>
  </si>
  <si>
    <t>Gesamt</t>
  </si>
  <si>
    <t>SQ</t>
  </si>
  <si>
    <t>FG</t>
  </si>
  <si>
    <t>MQ</t>
  </si>
  <si>
    <t>Fvers</t>
  </si>
  <si>
    <t>Ftab 5%</t>
  </si>
  <si>
    <t>Summen</t>
  </si>
  <si>
    <t>H1</t>
  </si>
  <si>
    <t>F1I2</t>
  </si>
  <si>
    <t>F1I1</t>
  </si>
  <si>
    <t>F1I0</t>
  </si>
  <si>
    <t>F0I0</t>
  </si>
  <si>
    <t>F0I1</t>
  </si>
  <si>
    <t>F0I2</t>
  </si>
  <si>
    <t>GV</t>
  </si>
  <si>
    <t>Behandlungen:</t>
  </si>
  <si>
    <t>Faktor Fungizidbeizung mit 2 Faktorstufen ( ohne Fungizid, 150 g/ 100 kg Saatgut)</t>
  </si>
  <si>
    <t>Faktor Insektizidbehandlung mit 3 Faktorstufen ( ohne Insektizid, 9 g/ 100 kg Saatgut, 18 g/ 100 kg Saatgut)</t>
  </si>
  <si>
    <t>Anzahl gekeimter Limabohnen von 100 gesäten Samen (T. M. Little und F. J. Hills, 1977). Gibt es einen signifikanten Einfluss der Insektizid-und Fungizidbehandlung und existiert eine Wechselwirkung zwischen den beiden Versuchsfaktoren. Vollständig randomisierter Schalenversuch</t>
  </si>
  <si>
    <t>Es wurde mit 5 Wiederholungen gearbeitet</t>
  </si>
  <si>
    <t>Für jede Faktorstufenkombination wurden somit 5 Petrischalen benutzt. In jede Petrischale wurden jeweils 100 Samen ausgelegt</t>
  </si>
  <si>
    <t>Die Faktorstufenkombinationen:</t>
  </si>
  <si>
    <t>F0 I1</t>
  </si>
  <si>
    <t>F0 I2</t>
  </si>
  <si>
    <t>F1 I0</t>
  </si>
  <si>
    <t>F1 I2</t>
  </si>
  <si>
    <t>F1 I1</t>
  </si>
  <si>
    <t xml:space="preserve">F0 I0 </t>
  </si>
  <si>
    <t>(unbehandelt)</t>
  </si>
  <si>
    <t>nur geringe Dosis Insektizidbeize</t>
  </si>
  <si>
    <t>nur hohe Dosis Insektizidbeize</t>
  </si>
  <si>
    <t>nur Fungizidbeize</t>
  </si>
  <si>
    <t>Fungizid + gerineg Insektiziddosis</t>
  </si>
  <si>
    <t>Fungizid + hohe Insektiziddosis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</si>
</sst>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name val="Arial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164" fontId="0" fillId="0" borderId="0" xfId="0" applyNumberFormat="1"/>
    <xf numFmtId="0" fontId="0" fillId="2" borderId="0" xfId="0" applyFill="1"/>
    <xf numFmtId="0" fontId="3" fillId="2" borderId="0" xfId="0" applyFont="1" applyFill="1" applyAlignment="1">
      <alignment horizontal="left" vertical="center" wrapText="1" readingOrder="1"/>
    </xf>
    <xf numFmtId="0" fontId="0" fillId="3" borderId="0" xfId="0" applyFill="1"/>
    <xf numFmtId="0" fontId="3" fillId="3" borderId="0" xfId="0" applyFont="1" applyFill="1" applyAlignment="1">
      <alignment horizontal="left" vertical="center" wrapText="1" readingOrder="1"/>
    </xf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7" borderId="0" xfId="0" applyNumberFormat="1" applyFill="1"/>
    <xf numFmtId="0" fontId="0" fillId="8" borderId="0" xfId="0" applyFill="1"/>
    <xf numFmtId="0" fontId="2" fillId="0" borderId="0" xfId="0" applyFont="1" applyAlignment="1">
      <alignment vertical="top" wrapText="1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Ergebnisse!$H$20:$H$22</c:f>
              <c:strCache>
                <c:ptCount val="3"/>
                <c:pt idx="0">
                  <c:v>I0</c:v>
                </c:pt>
                <c:pt idx="1">
                  <c:v>I1</c:v>
                </c:pt>
                <c:pt idx="2">
                  <c:v>I2</c:v>
                </c:pt>
              </c:strCache>
            </c:strRef>
          </c:xVal>
          <c:yVal>
            <c:numRef>
              <c:f>Ergebnisse!$I$20:$I$22</c:f>
              <c:numCache>
                <c:formatCode>General</c:formatCode>
                <c:ptCount val="3"/>
                <c:pt idx="0">
                  <c:v>68.2</c:v>
                </c:pt>
                <c:pt idx="1">
                  <c:v>58</c:v>
                </c:pt>
                <c:pt idx="2">
                  <c:v>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0-4BB6-93B9-D300D24CCE1C}"/>
            </c:ext>
          </c:extLst>
        </c:ser>
        <c:ser>
          <c:idx val="1"/>
          <c:order val="1"/>
          <c:tx>
            <c:v>F1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Ergebnisse!$H$20:$H$22</c:f>
              <c:strCache>
                <c:ptCount val="3"/>
                <c:pt idx="0">
                  <c:v>I0</c:v>
                </c:pt>
                <c:pt idx="1">
                  <c:v>I1</c:v>
                </c:pt>
                <c:pt idx="2">
                  <c:v>I2</c:v>
                </c:pt>
              </c:strCache>
            </c:strRef>
          </c:xVal>
          <c:yVal>
            <c:numRef>
              <c:f>Ergebnisse!$J$20:$J$22</c:f>
              <c:numCache>
                <c:formatCode>General</c:formatCode>
                <c:ptCount val="3"/>
                <c:pt idx="0">
                  <c:v>89.2</c:v>
                </c:pt>
                <c:pt idx="1">
                  <c:v>91.8</c:v>
                </c:pt>
                <c:pt idx="2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0-4BB6-93B9-D300D24CC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89760"/>
        <c:axId val="211290320"/>
      </c:scatterChart>
      <c:valAx>
        <c:axId val="211289760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Insektizid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290320"/>
        <c:crosses val="autoZero"/>
        <c:crossBetween val="midCat"/>
        <c:majorUnit val="1"/>
      </c:valAx>
      <c:valAx>
        <c:axId val="2112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289760"/>
        <c:crossesAt val="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211950</xdr:colOff>
      <xdr:row>37</xdr:row>
      <xdr:rowOff>48506</xdr:rowOff>
    </xdr:from>
    <xdr:to>
      <xdr:col>14</xdr:col>
      <xdr:colOff>300317</xdr:colOff>
      <xdr:row>52</xdr:row>
      <xdr:rowOff>17129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0.04875</cdr:x>
      <cdr:y>0.80457</cdr:y>
    </cdr:from>
    <cdr:to>
      <cdr:x>0.11346</cdr:x>
      <cdr:y>0.90654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222838" y="2192671"/>
          <a:ext cx="295835" cy="27790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100"/>
            <a:t>I0</a:t>
          </a:r>
        </a:p>
      </cdr:txBody>
    </cdr:sp>
  </cdr:relSizeAnchor>
  <cdr:relSizeAnchor xmlns:cdr="http://schemas.openxmlformats.org/drawingml/2006/chartDrawing">
    <cdr:from>
      <cdr:x>0.8436</cdr:x>
      <cdr:y>0.81798</cdr:y>
    </cdr:from>
    <cdr:to>
      <cdr:x>0.90832</cdr:x>
      <cdr:y>0.91995</cdr:y>
    </cdr:to>
    <cdr:sp macro="" textlink="">
      <cdr:nvSpPr>
        <cdr:cNvPr id="3" name="Textfeld 1"/>
        <cdr:cNvSpPr txBox="1"/>
      </cdr:nvSpPr>
      <cdr:spPr>
        <a:xfrm xmlns:a="http://schemas.openxmlformats.org/drawingml/2006/main">
          <a:off x="4661301" y="2229225"/>
          <a:ext cx="357608" cy="2778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I2</a:t>
          </a:r>
        </a:p>
      </cdr:txBody>
    </cdr:sp>
  </cdr:relSizeAnchor>
  <cdr:relSizeAnchor xmlns:cdr="http://schemas.openxmlformats.org/drawingml/2006/chartDrawing">
    <cdr:from>
      <cdr:x>0.44023</cdr:x>
      <cdr:y>0.80811</cdr:y>
    </cdr:from>
    <cdr:to>
      <cdr:x>0.50494</cdr:x>
      <cdr:y>0.88023</cdr:y>
    </cdr:to>
    <cdr:sp macro="" textlink="">
      <cdr:nvSpPr>
        <cdr:cNvPr id="4" name="Textfeld 1"/>
        <cdr:cNvSpPr txBox="1"/>
      </cdr:nvSpPr>
      <cdr:spPr>
        <a:xfrm xmlns:a="http://schemas.openxmlformats.org/drawingml/2006/main">
          <a:off x="2432469" y="2202318"/>
          <a:ext cx="357553" cy="196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I1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zoomScale="170" zoomScaleNormal="170" workbookViewId="0">
      <selection activeCell="A12" sqref="A12"/>
    </sheetView>
  </sheetViews>
  <sheetFormatPr baseColWidth="10" defaultRowHeight="14.5" x14ac:dyDescent="0.35"/>
  <cols>
    <col min="1" max="1" width="13.81640625" customWidth="1"/>
    <col min="2" max="2" width="14.36328125" customWidth="1"/>
    <col min="4" max="4" width="12.81640625" bestFit="1" customWidth="1"/>
    <col min="5" max="5" width="11.6328125" bestFit="1" customWidth="1"/>
    <col min="9" max="10" width="8.36328125" customWidth="1"/>
    <col min="13" max="13" width="8.6328125" customWidth="1"/>
    <col min="14" max="14" width="7.54296875" customWidth="1"/>
  </cols>
  <sheetData>
    <row r="1" spans="1:1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14</v>
      </c>
    </row>
    <row r="2" spans="1:11" ht="15" thickBot="1" x14ac:dyDescent="0.4">
      <c r="A2" s="1" t="s">
        <v>9</v>
      </c>
      <c r="B2" s="1" t="s">
        <v>10</v>
      </c>
      <c r="C2" s="1">
        <v>55</v>
      </c>
      <c r="D2" s="1">
        <v>69</v>
      </c>
      <c r="E2" s="1">
        <v>71</v>
      </c>
      <c r="F2" s="1">
        <v>78</v>
      </c>
      <c r="G2" s="1">
        <v>68</v>
      </c>
      <c r="H2" s="1">
        <v>341</v>
      </c>
      <c r="I2" s="1">
        <v>68.2</v>
      </c>
      <c r="J2">
        <f>VAR(C2:G2)</f>
        <v>69.699999999999818</v>
      </c>
    </row>
    <row r="3" spans="1:11" ht="15" thickBot="1" x14ac:dyDescent="0.4">
      <c r="A3" s="1" t="s">
        <v>9</v>
      </c>
      <c r="B3" s="1" t="s">
        <v>11</v>
      </c>
      <c r="C3" s="1">
        <v>65</v>
      </c>
      <c r="D3" s="1">
        <v>47</v>
      </c>
      <c r="E3" s="1">
        <v>55</v>
      </c>
      <c r="F3" s="1">
        <v>64</v>
      </c>
      <c r="G3" s="1">
        <v>59</v>
      </c>
      <c r="H3" s="1">
        <v>290</v>
      </c>
      <c r="I3" s="1">
        <v>58</v>
      </c>
      <c r="J3">
        <f t="shared" ref="J3:J7" si="0">VAR(C3:G3)</f>
        <v>54</v>
      </c>
    </row>
    <row r="4" spans="1:11" ht="15" thickBot="1" x14ac:dyDescent="0.4">
      <c r="A4" s="1" t="s">
        <v>9</v>
      </c>
      <c r="B4" s="1" t="s">
        <v>12</v>
      </c>
      <c r="C4" s="1">
        <v>47</v>
      </c>
      <c r="D4" s="1">
        <v>37</v>
      </c>
      <c r="E4" s="1">
        <v>58</v>
      </c>
      <c r="F4" s="1">
        <v>48</v>
      </c>
      <c r="G4" s="1">
        <v>54</v>
      </c>
      <c r="H4" s="1">
        <v>244</v>
      </c>
      <c r="I4" s="1">
        <v>48.8</v>
      </c>
      <c r="J4">
        <f t="shared" si="0"/>
        <v>63.699999999999818</v>
      </c>
    </row>
    <row r="5" spans="1:11" ht="15" thickBot="1" x14ac:dyDescent="0.4">
      <c r="A5" s="1" t="s">
        <v>13</v>
      </c>
      <c r="B5" s="1" t="s">
        <v>10</v>
      </c>
      <c r="C5" s="1">
        <v>91</v>
      </c>
      <c r="D5" s="1">
        <v>76</v>
      </c>
      <c r="E5" s="1">
        <v>92</v>
      </c>
      <c r="F5" s="1">
        <v>92</v>
      </c>
      <c r="G5" s="1">
        <v>95</v>
      </c>
      <c r="H5" s="1">
        <v>446</v>
      </c>
      <c r="I5" s="1">
        <v>89.2</v>
      </c>
      <c r="J5">
        <f t="shared" si="0"/>
        <v>56.699999999999989</v>
      </c>
    </row>
    <row r="6" spans="1:11" ht="15" thickBot="1" x14ac:dyDescent="0.4">
      <c r="A6" s="1" t="s">
        <v>13</v>
      </c>
      <c r="B6" s="1" t="s">
        <v>11</v>
      </c>
      <c r="C6" s="1">
        <v>85</v>
      </c>
      <c r="D6" s="1">
        <v>93</v>
      </c>
      <c r="E6" s="1">
        <v>97</v>
      </c>
      <c r="F6" s="1">
        <v>88</v>
      </c>
      <c r="G6" s="1">
        <v>96</v>
      </c>
      <c r="H6" s="1">
        <v>459</v>
      </c>
      <c r="I6" s="1">
        <v>91.8</v>
      </c>
      <c r="J6">
        <f t="shared" si="0"/>
        <v>26.700000000000003</v>
      </c>
    </row>
    <row r="7" spans="1:11" ht="15" thickBot="1" x14ac:dyDescent="0.4">
      <c r="A7" s="1" t="s">
        <v>13</v>
      </c>
      <c r="B7" s="1" t="s">
        <v>12</v>
      </c>
      <c r="C7" s="1">
        <v>84</v>
      </c>
      <c r="D7" s="1">
        <v>94</v>
      </c>
      <c r="E7" s="1">
        <v>94</v>
      </c>
      <c r="F7" s="1">
        <v>96</v>
      </c>
      <c r="G7" s="1">
        <v>92</v>
      </c>
      <c r="H7" s="1">
        <v>460</v>
      </c>
      <c r="I7" s="1">
        <v>92</v>
      </c>
      <c r="J7">
        <f t="shared" si="0"/>
        <v>22</v>
      </c>
    </row>
    <row r="8" spans="1:11" ht="23" thickBot="1" x14ac:dyDescent="0.4">
      <c r="A8" s="1"/>
      <c r="B8" s="2"/>
      <c r="C8" s="1"/>
      <c r="D8" s="1"/>
      <c r="E8" s="1"/>
      <c r="F8" s="1"/>
      <c r="G8" s="1"/>
      <c r="H8" s="1">
        <v>2240</v>
      </c>
      <c r="I8" s="1">
        <v>74.7</v>
      </c>
    </row>
    <row r="9" spans="1:11" ht="22.5" x14ac:dyDescent="0.35">
      <c r="A9" s="4"/>
      <c r="B9" s="16"/>
      <c r="C9" s="4"/>
      <c r="D9" s="4"/>
      <c r="E9" s="4"/>
      <c r="F9" s="4"/>
      <c r="G9" s="4"/>
      <c r="H9" s="4"/>
      <c r="I9" s="4"/>
    </row>
    <row r="10" spans="1:11" ht="22.5" x14ac:dyDescent="0.35">
      <c r="A10" s="4"/>
      <c r="B10" s="16"/>
      <c r="C10" s="4"/>
      <c r="D10" s="4"/>
      <c r="E10" s="4"/>
      <c r="F10" s="4"/>
      <c r="G10" s="4"/>
      <c r="H10" s="4"/>
      <c r="I10" s="4"/>
    </row>
    <row r="11" spans="1:11" ht="22.5" x14ac:dyDescent="0.35">
      <c r="A11" s="4"/>
      <c r="B11" s="16"/>
      <c r="C11" s="4"/>
      <c r="D11" s="4"/>
      <c r="E11" s="4"/>
      <c r="F11" s="4"/>
      <c r="G11" s="4"/>
      <c r="H11" s="4"/>
      <c r="I11" s="4"/>
    </row>
    <row r="12" spans="1:11" ht="22.5" x14ac:dyDescent="0.35">
      <c r="A12" s="4"/>
      <c r="B12" s="16"/>
      <c r="C12" s="4"/>
      <c r="D12" s="4"/>
      <c r="E12" s="4"/>
      <c r="F12" s="4"/>
      <c r="G12" s="4"/>
      <c r="H12" s="4"/>
      <c r="I12" s="4"/>
    </row>
    <row r="13" spans="1:11" x14ac:dyDescent="0.35">
      <c r="A13" s="4" t="s">
        <v>15</v>
      </c>
      <c r="B13">
        <f>2240^2/30</f>
        <v>167253.33333333334</v>
      </c>
    </row>
    <row r="14" spans="1:11" x14ac:dyDescent="0.35">
      <c r="A14" s="6"/>
      <c r="B14" s="7" t="s">
        <v>21</v>
      </c>
      <c r="C14" s="6" t="s">
        <v>22</v>
      </c>
      <c r="D14" s="6" t="s">
        <v>23</v>
      </c>
      <c r="E14" s="6" t="s">
        <v>24</v>
      </c>
      <c r="F14" s="6" t="s">
        <v>25</v>
      </c>
      <c r="H14" s="6" t="s">
        <v>26</v>
      </c>
      <c r="I14" t="s">
        <v>9</v>
      </c>
      <c r="J14" t="s">
        <v>13</v>
      </c>
      <c r="K14" t="s">
        <v>7</v>
      </c>
    </row>
    <row r="15" spans="1:11" x14ac:dyDescent="0.35">
      <c r="A15" s="9" t="s">
        <v>17</v>
      </c>
      <c r="B15" s="5">
        <f>((I18^2+J18^2)/15)-B13</f>
        <v>8003.3333333333139</v>
      </c>
      <c r="C15">
        <v>1</v>
      </c>
      <c r="D15" s="5">
        <f>B15/C15</f>
        <v>8003.3333333333139</v>
      </c>
      <c r="E15" s="5">
        <f>D15/D18</f>
        <v>164.00273224043514</v>
      </c>
      <c r="F15">
        <v>4.26</v>
      </c>
      <c r="G15" s="10" t="s">
        <v>27</v>
      </c>
      <c r="H15" t="s">
        <v>10</v>
      </c>
      <c r="I15">
        <f>SUM(C2:G2)</f>
        <v>341</v>
      </c>
      <c r="J15">
        <f>SUM(C5:G5)</f>
        <v>446</v>
      </c>
      <c r="K15">
        <f>SUM(I15:J15)</f>
        <v>787</v>
      </c>
    </row>
    <row r="16" spans="1:11" x14ac:dyDescent="0.35">
      <c r="A16" s="9" t="s">
        <v>18</v>
      </c>
      <c r="B16" s="5">
        <f>((K15^2+K16^2+K17^2)/10)-B13</f>
        <v>345.26666666666279</v>
      </c>
      <c r="C16">
        <v>2</v>
      </c>
      <c r="D16" s="5">
        <f t="shared" ref="D16:D17" si="1">B16/C16</f>
        <v>172.63333333333139</v>
      </c>
      <c r="E16" s="5">
        <f>D16/D18</f>
        <v>3.5375683060108538</v>
      </c>
      <c r="F16">
        <v>3.4</v>
      </c>
      <c r="G16" s="10" t="s">
        <v>27</v>
      </c>
      <c r="H16" t="s">
        <v>11</v>
      </c>
      <c r="I16">
        <f>SUM(C3:G3)</f>
        <v>290</v>
      </c>
      <c r="J16">
        <f>SUM(C6:G6)</f>
        <v>459</v>
      </c>
      <c r="K16">
        <f>SUM(I16:J16)</f>
        <v>749</v>
      </c>
    </row>
    <row r="17" spans="1:14" x14ac:dyDescent="0.35">
      <c r="A17" s="9" t="s">
        <v>16</v>
      </c>
      <c r="B17" s="5">
        <f>((H2^2+H3^2+H4^2+H5^2+H6^2+H7^2)/5)-B13-B15-B16</f>
        <v>620.86666666666861</v>
      </c>
      <c r="C17">
        <v>2</v>
      </c>
      <c r="D17" s="5">
        <f t="shared" si="1"/>
        <v>310.4333333333343</v>
      </c>
      <c r="E17" s="5">
        <f>D17/D18</f>
        <v>6.361338797814164</v>
      </c>
      <c r="F17">
        <v>3.4</v>
      </c>
      <c r="G17" s="10" t="s">
        <v>27</v>
      </c>
      <c r="H17" t="s">
        <v>12</v>
      </c>
      <c r="I17">
        <f>SUM(C4:G4)</f>
        <v>244</v>
      </c>
      <c r="J17">
        <f>SUM(C7:G7)</f>
        <v>460</v>
      </c>
      <c r="K17">
        <f>SUM(I17:J17)</f>
        <v>704</v>
      </c>
    </row>
    <row r="18" spans="1:14" x14ac:dyDescent="0.35">
      <c r="A18" s="9" t="s">
        <v>19</v>
      </c>
      <c r="B18" s="5">
        <f>B19-B15-B16-B17</f>
        <v>1171.2000000000116</v>
      </c>
      <c r="C18">
        <v>24</v>
      </c>
      <c r="D18" s="5">
        <f>B18/C18</f>
        <v>48.800000000000487</v>
      </c>
      <c r="E18" s="5"/>
      <c r="I18">
        <f>SUM(I15:I17)</f>
        <v>875</v>
      </c>
      <c r="J18">
        <f>SUM(J15:J17)</f>
        <v>1365</v>
      </c>
    </row>
    <row r="19" spans="1:14" x14ac:dyDescent="0.35">
      <c r="A19" s="8" t="s">
        <v>20</v>
      </c>
      <c r="B19" s="5">
        <f>SUM(A27:E32)-B13</f>
        <v>10140.666666666657</v>
      </c>
      <c r="C19">
        <v>29</v>
      </c>
      <c r="H19" t="s">
        <v>8</v>
      </c>
      <c r="I19" s="11" t="s">
        <v>9</v>
      </c>
      <c r="J19" s="11" t="s">
        <v>13</v>
      </c>
    </row>
    <row r="20" spans="1:14" x14ac:dyDescent="0.35">
      <c r="H20" s="12" t="s">
        <v>10</v>
      </c>
      <c r="I20" s="13">
        <f>I15/5</f>
        <v>68.2</v>
      </c>
      <c r="J20" s="13">
        <f>J15/5</f>
        <v>89.2</v>
      </c>
      <c r="K20" s="15">
        <f>AVERAGE(I20:J20)</f>
        <v>78.7</v>
      </c>
      <c r="M20" t="s">
        <v>34</v>
      </c>
      <c r="N20" s="17">
        <f>3.53*SQRT(48.8/10)</f>
        <v>7.7980248781342052</v>
      </c>
    </row>
    <row r="21" spans="1:14" x14ac:dyDescent="0.35">
      <c r="H21" s="12" t="s">
        <v>11</v>
      </c>
      <c r="I21" s="13">
        <f t="shared" ref="I21:J21" si="2">I16/5</f>
        <v>58</v>
      </c>
      <c r="J21" s="13">
        <f t="shared" si="2"/>
        <v>91.8</v>
      </c>
      <c r="K21" s="15">
        <f t="shared" ref="K21:K22" si="3">AVERAGE(I21:J21)</f>
        <v>74.900000000000006</v>
      </c>
    </row>
    <row r="22" spans="1:14" x14ac:dyDescent="0.35">
      <c r="H22" s="12" t="s">
        <v>12</v>
      </c>
      <c r="I22" s="13">
        <f t="shared" ref="I22:J22" si="4">I17/5</f>
        <v>48.8</v>
      </c>
      <c r="J22" s="13">
        <f t="shared" si="4"/>
        <v>92</v>
      </c>
      <c r="K22" s="15">
        <f t="shared" si="3"/>
        <v>70.400000000000006</v>
      </c>
    </row>
    <row r="23" spans="1:14" x14ac:dyDescent="0.35">
      <c r="I23">
        <f>AVERAGE(I20:I22)</f>
        <v>58.333333333333336</v>
      </c>
      <c r="J23">
        <f>AVERAGE(J20:J22)</f>
        <v>91</v>
      </c>
    </row>
    <row r="25" spans="1:14" x14ac:dyDescent="0.35">
      <c r="I25" s="12" t="s">
        <v>28</v>
      </c>
      <c r="J25" s="12" t="s">
        <v>29</v>
      </c>
      <c r="K25" s="12" t="s">
        <v>30</v>
      </c>
      <c r="L25" s="12" t="s">
        <v>31</v>
      </c>
      <c r="M25" s="12" t="s">
        <v>32</v>
      </c>
      <c r="N25" s="12" t="s">
        <v>33</v>
      </c>
    </row>
    <row r="26" spans="1:14" x14ac:dyDescent="0.35">
      <c r="I26" s="13">
        <v>92</v>
      </c>
      <c r="J26" s="13">
        <v>91.8</v>
      </c>
      <c r="K26" s="13">
        <v>89.2</v>
      </c>
      <c r="L26" s="13">
        <v>68.2</v>
      </c>
      <c r="M26" s="13">
        <v>58</v>
      </c>
      <c r="N26" s="13">
        <v>48.8</v>
      </c>
    </row>
    <row r="27" spans="1:14" x14ac:dyDescent="0.35">
      <c r="A27">
        <f t="shared" ref="A27:E32" si="5">C2^2</f>
        <v>3025</v>
      </c>
      <c r="B27">
        <f t="shared" si="5"/>
        <v>4761</v>
      </c>
      <c r="C27">
        <f t="shared" si="5"/>
        <v>5041</v>
      </c>
      <c r="D27">
        <f t="shared" si="5"/>
        <v>6084</v>
      </c>
      <c r="E27">
        <f t="shared" si="5"/>
        <v>4624</v>
      </c>
      <c r="G27" s="12" t="s">
        <v>28</v>
      </c>
      <c r="H27" s="13">
        <v>92</v>
      </c>
      <c r="J27">
        <v>0.2</v>
      </c>
      <c r="K27">
        <v>2.8</v>
      </c>
      <c r="L27" s="10">
        <f>H27-L26</f>
        <v>23.799999999999997</v>
      </c>
      <c r="M27" s="10">
        <f>H27-M26</f>
        <v>34</v>
      </c>
      <c r="N27" s="10">
        <f>H27-N26</f>
        <v>43.2</v>
      </c>
    </row>
    <row r="28" spans="1:14" x14ac:dyDescent="0.35">
      <c r="A28">
        <f t="shared" si="5"/>
        <v>4225</v>
      </c>
      <c r="B28">
        <f t="shared" si="5"/>
        <v>2209</v>
      </c>
      <c r="C28">
        <f t="shared" si="5"/>
        <v>3025</v>
      </c>
      <c r="D28">
        <f t="shared" si="5"/>
        <v>4096</v>
      </c>
      <c r="E28">
        <f t="shared" si="5"/>
        <v>3481</v>
      </c>
      <c r="G28" s="12" t="s">
        <v>29</v>
      </c>
      <c r="H28" s="13">
        <v>91.8</v>
      </c>
      <c r="K28">
        <f>$H$28-K26</f>
        <v>2.5999999999999943</v>
      </c>
      <c r="L28" s="10">
        <f t="shared" ref="L28:N28" si="6">$H$28-L26</f>
        <v>23.599999999999994</v>
      </c>
      <c r="M28" s="10">
        <f t="shared" si="6"/>
        <v>33.799999999999997</v>
      </c>
      <c r="N28" s="10">
        <f t="shared" si="6"/>
        <v>43</v>
      </c>
    </row>
    <row r="29" spans="1:14" x14ac:dyDescent="0.35">
      <c r="A29">
        <f t="shared" si="5"/>
        <v>2209</v>
      </c>
      <c r="B29">
        <f t="shared" si="5"/>
        <v>1369</v>
      </c>
      <c r="C29">
        <f t="shared" si="5"/>
        <v>3364</v>
      </c>
      <c r="D29">
        <f t="shared" si="5"/>
        <v>2304</v>
      </c>
      <c r="E29">
        <f t="shared" si="5"/>
        <v>2916</v>
      </c>
      <c r="G29" s="12" t="s">
        <v>30</v>
      </c>
      <c r="H29" s="13">
        <v>89.2</v>
      </c>
      <c r="L29" s="10">
        <f>H29-L26</f>
        <v>21</v>
      </c>
      <c r="M29" s="10">
        <f>H29-M26</f>
        <v>31.200000000000003</v>
      </c>
      <c r="N29" s="10">
        <f>H29-N26</f>
        <v>40.400000000000006</v>
      </c>
    </row>
    <row r="30" spans="1:14" x14ac:dyDescent="0.35">
      <c r="A30">
        <f t="shared" si="5"/>
        <v>8281</v>
      </c>
      <c r="B30">
        <f t="shared" si="5"/>
        <v>5776</v>
      </c>
      <c r="C30">
        <f t="shared" si="5"/>
        <v>8464</v>
      </c>
      <c r="D30">
        <f t="shared" si="5"/>
        <v>8464</v>
      </c>
      <c r="E30">
        <f t="shared" si="5"/>
        <v>9025</v>
      </c>
      <c r="G30" s="12" t="s">
        <v>31</v>
      </c>
      <c r="H30" s="13">
        <v>68.2</v>
      </c>
      <c r="M30">
        <f>H30-M26</f>
        <v>10.200000000000003</v>
      </c>
      <c r="N30" s="10">
        <f>H30-N26</f>
        <v>19.400000000000006</v>
      </c>
    </row>
    <row r="31" spans="1:14" x14ac:dyDescent="0.35">
      <c r="A31">
        <f t="shared" si="5"/>
        <v>7225</v>
      </c>
      <c r="B31">
        <f t="shared" si="5"/>
        <v>8649</v>
      </c>
      <c r="C31">
        <f t="shared" si="5"/>
        <v>9409</v>
      </c>
      <c r="D31">
        <f t="shared" si="5"/>
        <v>7744</v>
      </c>
      <c r="E31">
        <f t="shared" si="5"/>
        <v>9216</v>
      </c>
      <c r="G31" s="12" t="s">
        <v>32</v>
      </c>
      <c r="H31" s="13">
        <v>58</v>
      </c>
      <c r="N31">
        <f>H31-N26</f>
        <v>9.2000000000000028</v>
      </c>
    </row>
    <row r="32" spans="1:14" x14ac:dyDescent="0.35">
      <c r="A32">
        <f t="shared" si="5"/>
        <v>7056</v>
      </c>
      <c r="B32">
        <f t="shared" si="5"/>
        <v>8836</v>
      </c>
      <c r="C32">
        <f t="shared" si="5"/>
        <v>8836</v>
      </c>
      <c r="D32">
        <f t="shared" si="5"/>
        <v>9216</v>
      </c>
      <c r="E32">
        <f t="shared" si="5"/>
        <v>8464</v>
      </c>
      <c r="G32" s="12" t="s">
        <v>33</v>
      </c>
      <c r="H32" s="13">
        <v>48.8</v>
      </c>
    </row>
    <row r="33" spans="10:11" x14ac:dyDescent="0.35">
      <c r="J33" s="11" t="s">
        <v>34</v>
      </c>
      <c r="K33" s="14">
        <f>4.37*SQRT(D18/5)</f>
        <v>13.6523164334849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7"/>
  <sheetViews>
    <sheetView tabSelected="1" workbookViewId="0">
      <selection activeCell="B17" sqref="B17"/>
    </sheetView>
  </sheetViews>
  <sheetFormatPr baseColWidth="10" defaultRowHeight="14.5" x14ac:dyDescent="0.35"/>
  <sheetData>
    <row r="3" spans="1:2" x14ac:dyDescent="0.35">
      <c r="A3" t="s">
        <v>35</v>
      </c>
    </row>
    <row r="4" spans="1:2" x14ac:dyDescent="0.35">
      <c r="A4" t="s">
        <v>36</v>
      </c>
    </row>
    <row r="5" spans="1:2" x14ac:dyDescent="0.35">
      <c r="A5" t="s">
        <v>37</v>
      </c>
    </row>
    <row r="6" spans="1:2" x14ac:dyDescent="0.35">
      <c r="A6" t="s">
        <v>38</v>
      </c>
    </row>
    <row r="7" spans="1:2" x14ac:dyDescent="0.35">
      <c r="A7" t="s">
        <v>39</v>
      </c>
    </row>
    <row r="8" spans="1:2" x14ac:dyDescent="0.35">
      <c r="A8" t="s">
        <v>40</v>
      </c>
    </row>
    <row r="10" spans="1:2" x14ac:dyDescent="0.35">
      <c r="A10" t="s">
        <v>41</v>
      </c>
    </row>
    <row r="12" spans="1:2" x14ac:dyDescent="0.35">
      <c r="A12" t="s">
        <v>47</v>
      </c>
      <c r="B12" t="s">
        <v>48</v>
      </c>
    </row>
    <row r="13" spans="1:2" x14ac:dyDescent="0.35">
      <c r="A13" t="s">
        <v>42</v>
      </c>
      <c r="B13" t="s">
        <v>49</v>
      </c>
    </row>
    <row r="14" spans="1:2" x14ac:dyDescent="0.35">
      <c r="A14" t="s">
        <v>43</v>
      </c>
      <c r="B14" t="s">
        <v>50</v>
      </c>
    </row>
    <row r="15" spans="1:2" x14ac:dyDescent="0.35">
      <c r="A15" t="s">
        <v>44</v>
      </c>
      <c r="B15" t="s">
        <v>51</v>
      </c>
    </row>
    <row r="16" spans="1:2" x14ac:dyDescent="0.35">
      <c r="A16" t="s">
        <v>46</v>
      </c>
      <c r="B16" t="s">
        <v>52</v>
      </c>
    </row>
    <row r="17" spans="1:2" x14ac:dyDescent="0.35">
      <c r="A17" t="s">
        <v>45</v>
      </c>
      <c r="B17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Ergebnisse</vt:lpstr>
      <vt:lpstr>Versuchsbeschreibung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Hans-Georg Schön</cp:lastModifiedBy>
  <dcterms:created xsi:type="dcterms:W3CDTF">2018-03-14T16:14:23Z</dcterms:created>
  <dcterms:modified xsi:type="dcterms:W3CDTF">2025-10-22T16:50:11Z</dcterms:modified>
</cp:coreProperties>
</file>