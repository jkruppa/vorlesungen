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praemas\Documents\ILOS\Projekte\Syngenta\2022\Dollarspot_Syngenta_2022\"/>
    </mc:Choice>
  </mc:AlternateContent>
  <bookViews>
    <workbookView xWindow="0" yWindow="410" windowWidth="15290" windowHeight="14370" activeTab="5"/>
  </bookViews>
  <sheets>
    <sheet name="Parzellenplan" sheetId="1" r:id="rId1"/>
    <sheet name="Deckungsgrad" sheetId="2" r:id="rId2"/>
    <sheet name="Krankheitsbefall" sheetId="3" r:id="rId3"/>
    <sheet name="Qualität" sheetId="4" r:id="rId4"/>
    <sheet name="Dichte" sheetId="5" r:id="rId5"/>
    <sheet name="Farbe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5" i="2" l="1"/>
  <c r="L15" i="2"/>
  <c r="M15" i="2"/>
  <c r="K16" i="2"/>
  <c r="L16" i="2"/>
  <c r="M16" i="2"/>
  <c r="K17" i="2"/>
  <c r="L17" i="2"/>
  <c r="M17" i="2"/>
  <c r="M20" i="6" l="1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19" i="5"/>
  <c r="L19" i="5"/>
  <c r="K19" i="5"/>
  <c r="M18" i="5"/>
  <c r="L18" i="5"/>
  <c r="K18" i="5"/>
  <c r="M17" i="5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L22" i="4" l="1"/>
  <c r="M22" i="4"/>
  <c r="K22" i="4"/>
  <c r="L21" i="4"/>
  <c r="M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23" i="3" l="1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</calcChain>
</file>

<file path=xl/sharedStrings.xml><?xml version="1.0" encoding="utf-8"?>
<sst xmlns="http://schemas.openxmlformats.org/spreadsheetml/2006/main" count="882" uniqueCount="73">
  <si>
    <t>Parzellenplan</t>
  </si>
  <si>
    <t>A1</t>
  </si>
  <si>
    <t>C4</t>
  </si>
  <si>
    <t>C2</t>
  </si>
  <si>
    <t>A2</t>
  </si>
  <si>
    <t>B1</t>
  </si>
  <si>
    <t>C3</t>
  </si>
  <si>
    <t>A3</t>
  </si>
  <si>
    <t>B3</t>
  </si>
  <si>
    <t>A4</t>
  </si>
  <si>
    <t>B2</t>
  </si>
  <si>
    <t>B4</t>
  </si>
  <si>
    <t>C1</t>
  </si>
  <si>
    <t>Parzellengröße 4 m² (2x2 m)</t>
  </si>
  <si>
    <t>Datum</t>
  </si>
  <si>
    <t xml:space="preserve">Krankheitsbefall in % </t>
  </si>
  <si>
    <t>Farbe Boniturnote</t>
  </si>
  <si>
    <t xml:space="preserve">Taegro B </t>
  </si>
  <si>
    <t>Taegro B und C</t>
  </si>
  <si>
    <t>Gräserbestand Grün: 70 % Agostis, 30 % P.annua</t>
  </si>
  <si>
    <t>Revystar appliziert auf C</t>
  </si>
  <si>
    <t>Projektive Bodendeckung mit Schätzrahmen in %</t>
  </si>
  <si>
    <t>Termine</t>
  </si>
  <si>
    <t>A</t>
  </si>
  <si>
    <t>B</t>
  </si>
  <si>
    <t>C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</si>
  <si>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</si>
  <si>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</si>
  <si>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</si>
  <si>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</si>
  <si>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</si>
  <si>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</si>
  <si>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</si>
  <si>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</si>
  <si>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</si>
  <si>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</si>
  <si>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Datum 1</t>
  </si>
  <si>
    <t>Datum 2</t>
  </si>
  <si>
    <t>Datum 3</t>
  </si>
  <si>
    <t>Datum 4</t>
  </si>
  <si>
    <t>Datum 5</t>
  </si>
  <si>
    <t>Datum 6</t>
  </si>
  <si>
    <t>Datum 7</t>
  </si>
  <si>
    <t>Datum 8</t>
  </si>
  <si>
    <t>Datum 9</t>
  </si>
  <si>
    <t>Datum 10</t>
  </si>
  <si>
    <t>A - Wasser/Kontrolle                       mit 400 l/ha</t>
  </si>
  <si>
    <t>B -  biolog. Fungizid A20570A,               Aufwandmenge 0,370 kg/ha</t>
  </si>
  <si>
    <t>C - Integrierte Lösung Chemisch/Biologisch</t>
  </si>
  <si>
    <t>chem. Fungizid                 Revystar mit 1,5 l/ha</t>
  </si>
  <si>
    <t>biolog. Fungizid                           A20570A, mit 0,370kg/ha</t>
  </si>
  <si>
    <t>MW</t>
  </si>
  <si>
    <t>Sum</t>
  </si>
  <si>
    <t>Stabw</t>
  </si>
  <si>
    <r>
      <t>Versuchsvarianten mit</t>
    </r>
    <r>
      <rPr>
        <sz val="11"/>
        <color theme="1"/>
        <rFont val="Arial"/>
        <family val="2"/>
      </rPr>
      <t xml:space="preserve"> 4-facher Wiederholung</t>
    </r>
  </si>
  <si>
    <t>Applikationsplan/Bonitur</t>
  </si>
  <si>
    <t>Kalenderwoche</t>
  </si>
  <si>
    <t>Wassermenge Spritzbrühe             400 l/ha</t>
  </si>
  <si>
    <t>X</t>
  </si>
  <si>
    <t>Düsentyp 04</t>
  </si>
  <si>
    <t>Variante A</t>
  </si>
  <si>
    <r>
      <rPr>
        <b/>
        <sz val="9"/>
        <color theme="1"/>
        <rFont val="Arial"/>
        <family val="2"/>
      </rPr>
      <t xml:space="preserve">A </t>
    </r>
    <r>
      <rPr>
        <sz val="9"/>
        <color theme="1"/>
        <rFont val="Arial"/>
        <family val="2"/>
      </rPr>
      <t>- Wasser/Kontrolle                       mit 400 l/ha</t>
    </r>
  </si>
  <si>
    <t>Variante B</t>
  </si>
  <si>
    <r>
      <rPr>
        <b/>
        <sz val="9"/>
        <color theme="1"/>
        <rFont val="Arial"/>
        <family val="2"/>
      </rPr>
      <t>B</t>
    </r>
    <r>
      <rPr>
        <sz val="9"/>
        <color theme="1"/>
        <rFont val="Arial"/>
        <family val="2"/>
      </rPr>
      <t xml:space="preserve"> -  biolog. Fungizid A20570A,               Aufwandmenge 0,370 kg/ha</t>
    </r>
  </si>
  <si>
    <t>Variante C</t>
  </si>
  <si>
    <r>
      <rPr>
        <b/>
        <sz val="9"/>
        <color theme="1"/>
        <rFont val="Arial"/>
        <family val="2"/>
      </rPr>
      <t>C</t>
    </r>
    <r>
      <rPr>
        <sz val="9"/>
        <color theme="1"/>
        <rFont val="Arial"/>
        <family val="2"/>
      </rPr>
      <t xml:space="preserve"> - Integrierte Lösung Chemisch/Biologisch</t>
    </r>
  </si>
  <si>
    <t>X *</t>
  </si>
  <si>
    <t>(X) **</t>
  </si>
  <si>
    <t xml:space="preserve">* Applikation Revystar bei Befallsbeginn Dollarflecken </t>
  </si>
  <si>
    <t>** Zweite Applikation Revystar nur wenn Befallsdruck zu groß wird. Wenn nicht, nur biolog. Fungizid A20570A wöchentlich weiter applizieren.</t>
  </si>
  <si>
    <t>MW der Varianten aus 4-facher Wdh</t>
  </si>
  <si>
    <t>Qualität Boniturnote 1-9</t>
  </si>
  <si>
    <t>Dichte Boniturnote 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</si>
</sst>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0" xfId="0" applyBorder="1"/>
    <xf numFmtId="14" fontId="0" fillId="0" borderId="0" xfId="0" applyNumberFormat="1"/>
    <xf numFmtId="0" fontId="0" fillId="0" borderId="2" xfId="0" applyBorder="1"/>
    <xf numFmtId="0" fontId="1" fillId="0" borderId="0" xfId="0" applyFont="1"/>
    <xf numFmtId="0" fontId="0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14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0" xfId="0" applyFill="1"/>
    <xf numFmtId="0" fontId="0" fillId="0" borderId="5" xfId="0" applyBorder="1"/>
    <xf numFmtId="0" fontId="0" fillId="0" borderId="6" xfId="0" applyBorder="1"/>
    <xf numFmtId="0" fontId="0" fillId="4" borderId="5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0" xfId="0" applyFill="1" applyBorder="1"/>
    <xf numFmtId="0" fontId="0" fillId="4" borderId="10" xfId="0" applyFill="1" applyBorder="1"/>
    <xf numFmtId="0" fontId="0" fillId="4" borderId="11" xfId="0" applyFill="1" applyBorder="1"/>
    <xf numFmtId="0" fontId="3" fillId="0" borderId="15" xfId="0" applyFont="1" applyBorder="1" applyAlignment="1"/>
    <xf numFmtId="0" fontId="0" fillId="0" borderId="16" xfId="0" applyBorder="1" applyAlignment="1"/>
    <xf numFmtId="0" fontId="0" fillId="0" borderId="17" xfId="0" applyBorder="1" applyAlignme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0" borderId="3" xfId="0" applyFont="1" applyBorder="1"/>
    <xf numFmtId="0" fontId="2" fillId="0" borderId="1" xfId="0" applyFont="1" applyBorder="1" applyAlignment="1">
      <alignment horizontal="center"/>
    </xf>
    <xf numFmtId="0" fontId="4" fillId="2" borderId="18" xfId="0" applyFont="1" applyFill="1" applyBorder="1" applyAlignment="1">
      <alignment wrapText="1"/>
    </xf>
    <xf numFmtId="0" fontId="2" fillId="0" borderId="17" xfId="0" applyFont="1" applyBorder="1" applyAlignment="1">
      <alignment horizontal="center"/>
    </xf>
    <xf numFmtId="0" fontId="4" fillId="2" borderId="19" xfId="0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20" xfId="0" applyFont="1" applyFill="1" applyBorder="1" applyAlignment="1">
      <alignment wrapText="1"/>
    </xf>
    <xf numFmtId="0" fontId="5" fillId="0" borderId="17" xfId="0" applyFont="1" applyBorder="1" applyAlignment="1">
      <alignment horizontal="center"/>
    </xf>
    <xf numFmtId="0" fontId="2" fillId="0" borderId="0" xfId="0" applyFont="1"/>
    <xf numFmtId="0" fontId="10" fillId="0" borderId="0" xfId="1" applyFont="1" applyFill="1"/>
    <xf numFmtId="0" fontId="11" fillId="0" borderId="0" xfId="1" applyFont="1" applyFill="1"/>
    <xf numFmtId="0" fontId="1" fillId="0" borderId="1" xfId="0" applyFont="1" applyBorder="1"/>
    <xf numFmtId="0" fontId="12" fillId="4" borderId="5" xfId="0" applyFont="1" applyFill="1" applyBorder="1"/>
    <xf numFmtId="0" fontId="12" fillId="4" borderId="6" xfId="0" applyFont="1" applyFill="1" applyBorder="1"/>
    <xf numFmtId="0" fontId="12" fillId="4" borderId="8" xfId="0" applyFont="1" applyFill="1" applyBorder="1"/>
    <xf numFmtId="0" fontId="12" fillId="4" borderId="0" xfId="0" applyFont="1" applyFill="1" applyBorder="1"/>
    <xf numFmtId="0" fontId="12" fillId="4" borderId="10" xfId="0" applyFont="1" applyFill="1" applyBorder="1"/>
    <xf numFmtId="0" fontId="12" fillId="4" borderId="11" xfId="0" applyFont="1" applyFill="1" applyBorder="1"/>
  </cellXfs>
  <cellStyles count="2">
    <cellStyle name="Normal 2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C7" workbookViewId="0">
      <selection activeCell="J20" sqref="J20"/>
    </sheetView>
  </sheetViews>
  <sheetFormatPr baseColWidth="10" defaultColWidth="11.75" defaultRowHeight="14" x14ac:dyDescent="0.3"/>
  <sheetData>
    <row r="1" spans="1:8" x14ac:dyDescent="0.3">
      <c r="A1" t="s">
        <v>10</v>
      </c>
      <c r="B1" s="1">
        <v>84.69259758185926</v>
      </c>
    </row>
    <row r="2" spans="1:8" x14ac:dyDescent="0.3">
      <c r="A2" t="s">
        <v>8</v>
      </c>
      <c r="B2" s="1">
        <v>74.635565124349469</v>
      </c>
    </row>
    <row r="3" spans="1:8" x14ac:dyDescent="0.3">
      <c r="A3" t="s">
        <v>11</v>
      </c>
      <c r="B3" s="1">
        <v>86.322171313203924</v>
      </c>
      <c r="D3" s="6" t="s">
        <v>54</v>
      </c>
    </row>
    <row r="4" spans="1:8" x14ac:dyDescent="0.3">
      <c r="A4" t="s">
        <v>12</v>
      </c>
      <c r="B4" s="1">
        <v>89.166221800624854</v>
      </c>
      <c r="D4" s="16" t="s">
        <v>46</v>
      </c>
      <c r="E4" s="17"/>
      <c r="F4" s="17"/>
      <c r="G4" s="17"/>
      <c r="H4" s="10"/>
    </row>
    <row r="5" spans="1:8" x14ac:dyDescent="0.3">
      <c r="A5" t="s">
        <v>3</v>
      </c>
      <c r="B5" s="1">
        <v>17.57778447121887</v>
      </c>
      <c r="D5" s="11"/>
      <c r="E5" s="3"/>
      <c r="F5" s="3"/>
      <c r="G5" s="3"/>
      <c r="H5" s="12"/>
    </row>
    <row r="6" spans="1:8" x14ac:dyDescent="0.3">
      <c r="A6" t="s">
        <v>6</v>
      </c>
      <c r="B6" s="1">
        <v>62.134439483941762</v>
      </c>
      <c r="D6" s="18" t="s">
        <v>47</v>
      </c>
      <c r="E6" s="19"/>
      <c r="F6" s="19"/>
      <c r="G6" s="19"/>
      <c r="H6" s="20"/>
    </row>
    <row r="7" spans="1:8" x14ac:dyDescent="0.3">
      <c r="A7" t="s">
        <v>2</v>
      </c>
      <c r="B7" s="1">
        <v>6.9537240746575524E-2</v>
      </c>
      <c r="D7" s="11"/>
      <c r="E7" s="3"/>
      <c r="F7" s="3"/>
      <c r="G7" s="3"/>
      <c r="H7" s="12"/>
    </row>
    <row r="8" spans="1:8" x14ac:dyDescent="0.3">
      <c r="D8" s="18" t="s">
        <v>48</v>
      </c>
      <c r="E8" s="19"/>
      <c r="F8" s="19"/>
      <c r="G8" s="3"/>
      <c r="H8" s="12"/>
    </row>
    <row r="9" spans="1:8" x14ac:dyDescent="0.3">
      <c r="D9" s="11" t="s">
        <v>49</v>
      </c>
      <c r="E9" s="3"/>
      <c r="F9" s="3"/>
      <c r="G9" s="3"/>
      <c r="H9" s="12"/>
    </row>
    <row r="10" spans="1:8" x14ac:dyDescent="0.3">
      <c r="D10" s="13" t="s">
        <v>50</v>
      </c>
      <c r="E10" s="14"/>
      <c r="F10" s="14"/>
      <c r="G10" s="14"/>
      <c r="H10" s="15"/>
    </row>
    <row r="14" spans="1:8" x14ac:dyDescent="0.3">
      <c r="D14" t="s">
        <v>0</v>
      </c>
    </row>
    <row r="16" spans="1:8" ht="49" customHeight="1" x14ac:dyDescent="0.3">
      <c r="D16" s="2" t="s">
        <v>2</v>
      </c>
      <c r="E16" s="2" t="s">
        <v>3</v>
      </c>
      <c r="F16" s="2" t="s">
        <v>1</v>
      </c>
    </row>
    <row r="17" spans="4:15" ht="49" customHeight="1" x14ac:dyDescent="0.3">
      <c r="D17" s="2" t="s">
        <v>4</v>
      </c>
      <c r="E17" s="2" t="s">
        <v>5</v>
      </c>
      <c r="F17" s="2" t="s">
        <v>6</v>
      </c>
    </row>
    <row r="18" spans="4:15" ht="49" customHeight="1" x14ac:dyDescent="0.3">
      <c r="D18" s="2" t="s">
        <v>8</v>
      </c>
      <c r="E18" s="2" t="s">
        <v>7</v>
      </c>
      <c r="F18" s="2" t="s">
        <v>9</v>
      </c>
    </row>
    <row r="19" spans="4:15" ht="49" customHeight="1" x14ac:dyDescent="0.3">
      <c r="D19" s="2" t="s">
        <v>10</v>
      </c>
      <c r="E19" s="2" t="s">
        <v>11</v>
      </c>
      <c r="F19" s="2" t="s">
        <v>12</v>
      </c>
    </row>
    <row r="21" spans="4:15" x14ac:dyDescent="0.3">
      <c r="D21" t="s">
        <v>13</v>
      </c>
    </row>
    <row r="22" spans="4:15" x14ac:dyDescent="0.3">
      <c r="D22" t="s">
        <v>19</v>
      </c>
    </row>
    <row r="26" spans="4:15" x14ac:dyDescent="0.3">
      <c r="E26" s="37" t="s">
        <v>55</v>
      </c>
      <c r="F26" s="38"/>
      <c r="G26" s="38"/>
      <c r="H26" s="38"/>
      <c r="I26" s="38"/>
      <c r="J26" s="38"/>
      <c r="K26" s="38"/>
      <c r="L26" s="38"/>
      <c r="M26" s="38"/>
      <c r="N26" s="38"/>
      <c r="O26" s="39"/>
    </row>
    <row r="27" spans="4:15" x14ac:dyDescent="0.3">
      <c r="E27" s="40" t="s">
        <v>22</v>
      </c>
      <c r="F27" s="41" t="s">
        <v>26</v>
      </c>
      <c r="G27" s="41" t="s">
        <v>27</v>
      </c>
      <c r="H27" s="41" t="s">
        <v>28</v>
      </c>
      <c r="I27" s="41" t="s">
        <v>29</v>
      </c>
      <c r="J27" s="41" t="s">
        <v>30</v>
      </c>
      <c r="K27" s="41" t="s">
        <v>31</v>
      </c>
      <c r="L27" s="41" t="s">
        <v>32</v>
      </c>
      <c r="M27" s="41" t="s">
        <v>33</v>
      </c>
      <c r="N27" s="41" t="s">
        <v>34</v>
      </c>
      <c r="O27" s="41" t="s">
        <v>35</v>
      </c>
    </row>
    <row r="28" spans="4:15" x14ac:dyDescent="0.3">
      <c r="E28" s="40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4:15" x14ac:dyDescent="0.3">
      <c r="E29" s="40" t="s">
        <v>56</v>
      </c>
      <c r="F29" s="41">
        <v>21</v>
      </c>
      <c r="G29" s="41">
        <v>22</v>
      </c>
      <c r="H29" s="41">
        <v>23</v>
      </c>
      <c r="I29" s="41">
        <v>24</v>
      </c>
      <c r="J29" s="41">
        <v>25</v>
      </c>
      <c r="K29" s="41">
        <v>26</v>
      </c>
      <c r="L29" s="41">
        <v>27</v>
      </c>
      <c r="M29" s="41">
        <v>28</v>
      </c>
      <c r="N29" s="41"/>
      <c r="O29" s="41"/>
    </row>
    <row r="30" spans="4:15" x14ac:dyDescent="0.3">
      <c r="E30" s="40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4:15" ht="35" x14ac:dyDescent="0.3">
      <c r="E31" s="42" t="s">
        <v>57</v>
      </c>
      <c r="F31" s="43" t="s">
        <v>58</v>
      </c>
      <c r="G31" s="43" t="s">
        <v>58</v>
      </c>
      <c r="H31" s="43" t="s">
        <v>58</v>
      </c>
      <c r="I31" s="43" t="s">
        <v>58</v>
      </c>
      <c r="J31" s="43" t="s">
        <v>58</v>
      </c>
      <c r="K31" s="43" t="s">
        <v>58</v>
      </c>
      <c r="L31" s="43" t="s">
        <v>58</v>
      </c>
      <c r="M31" s="43" t="s">
        <v>58</v>
      </c>
      <c r="N31" s="43"/>
      <c r="O31" s="43"/>
    </row>
    <row r="32" spans="4:15" x14ac:dyDescent="0.3">
      <c r="E32" s="40" t="s">
        <v>59</v>
      </c>
      <c r="F32" s="43" t="s">
        <v>58</v>
      </c>
      <c r="G32" s="43" t="s">
        <v>58</v>
      </c>
      <c r="H32" s="43" t="s">
        <v>58</v>
      </c>
      <c r="I32" s="43" t="s">
        <v>58</v>
      </c>
      <c r="J32" s="43" t="s">
        <v>58</v>
      </c>
      <c r="K32" s="43" t="s">
        <v>58</v>
      </c>
      <c r="L32" s="43" t="s">
        <v>58</v>
      </c>
      <c r="M32" s="43" t="s">
        <v>58</v>
      </c>
      <c r="N32" s="43"/>
      <c r="O32" s="43"/>
    </row>
    <row r="33" spans="4:15" x14ac:dyDescent="0.3">
      <c r="E33" s="40"/>
      <c r="F33" s="43"/>
      <c r="G33" s="43"/>
      <c r="H33" s="43"/>
      <c r="I33" s="43"/>
      <c r="J33" s="43"/>
      <c r="K33" s="43"/>
      <c r="L33" s="43"/>
      <c r="M33" s="43"/>
      <c r="N33" s="43"/>
      <c r="O33" s="43"/>
    </row>
    <row r="34" spans="4:15" ht="46.5" x14ac:dyDescent="0.3">
      <c r="D34" t="s">
        <v>60</v>
      </c>
      <c r="E34" s="44" t="s">
        <v>61</v>
      </c>
      <c r="F34" s="43" t="s">
        <v>58</v>
      </c>
      <c r="G34" s="43" t="s">
        <v>58</v>
      </c>
      <c r="H34" s="43" t="s">
        <v>58</v>
      </c>
      <c r="I34" s="43" t="s">
        <v>58</v>
      </c>
      <c r="J34" s="43" t="s">
        <v>58</v>
      </c>
      <c r="K34" s="43" t="s">
        <v>58</v>
      </c>
      <c r="L34" s="43" t="s">
        <v>58</v>
      </c>
      <c r="M34" s="43" t="s">
        <v>58</v>
      </c>
      <c r="N34" s="43"/>
      <c r="O34" s="43"/>
    </row>
    <row r="35" spans="4:15" x14ac:dyDescent="0.3">
      <c r="E35" s="40"/>
      <c r="F35" s="43"/>
      <c r="G35" s="43"/>
      <c r="H35" s="43"/>
      <c r="I35" s="43"/>
      <c r="J35" s="43"/>
      <c r="K35" s="43"/>
      <c r="L35" s="43"/>
      <c r="M35" s="43"/>
      <c r="N35" s="43"/>
      <c r="O35" s="43"/>
    </row>
    <row r="36" spans="4:15" ht="58" x14ac:dyDescent="0.3">
      <c r="D36" t="s">
        <v>62</v>
      </c>
      <c r="E36" s="44" t="s">
        <v>63</v>
      </c>
      <c r="F36" s="43" t="s">
        <v>58</v>
      </c>
      <c r="G36" s="43" t="s">
        <v>58</v>
      </c>
      <c r="H36" s="43" t="s">
        <v>58</v>
      </c>
      <c r="I36" s="43" t="s">
        <v>58</v>
      </c>
      <c r="J36" s="43" t="s">
        <v>58</v>
      </c>
      <c r="K36" s="43" t="s">
        <v>58</v>
      </c>
      <c r="L36" s="43" t="s">
        <v>58</v>
      </c>
      <c r="M36" s="43" t="s">
        <v>58</v>
      </c>
      <c r="N36" s="43"/>
      <c r="O36" s="43"/>
    </row>
    <row r="37" spans="4:15" ht="14.5" thickBot="1" x14ac:dyDescent="0.35"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4:15" ht="46.5" x14ac:dyDescent="0.3">
      <c r="D38" t="s">
        <v>64</v>
      </c>
      <c r="E38" s="47" t="s">
        <v>65</v>
      </c>
      <c r="F38" s="48"/>
      <c r="G38" s="46"/>
      <c r="H38" s="46"/>
      <c r="I38" s="46"/>
      <c r="J38" s="46"/>
      <c r="K38" s="46"/>
      <c r="L38" s="46"/>
      <c r="M38" s="46"/>
      <c r="N38" s="46"/>
      <c r="O38" s="46"/>
    </row>
    <row r="39" spans="4:15" ht="36" x14ac:dyDescent="0.4">
      <c r="E39" s="49" t="s">
        <v>49</v>
      </c>
      <c r="F39" s="48"/>
      <c r="G39" s="46"/>
      <c r="H39" s="50" t="s">
        <v>66</v>
      </c>
      <c r="I39" s="46"/>
      <c r="J39" s="46"/>
      <c r="K39" s="51" t="s">
        <v>67</v>
      </c>
      <c r="L39" s="46"/>
      <c r="M39" s="46"/>
      <c r="N39" s="46"/>
      <c r="O39" s="46"/>
    </row>
    <row r="40" spans="4:15" ht="35.5" thickBot="1" x14ac:dyDescent="0.35">
      <c r="E40" s="52" t="s">
        <v>50</v>
      </c>
      <c r="F40" s="53"/>
      <c r="G40" s="43"/>
      <c r="H40" s="43"/>
      <c r="I40" s="43" t="s">
        <v>58</v>
      </c>
      <c r="J40" s="43" t="s">
        <v>58</v>
      </c>
      <c r="K40" s="43" t="s">
        <v>58</v>
      </c>
      <c r="L40" s="43" t="s">
        <v>58</v>
      </c>
      <c r="M40" s="43" t="s">
        <v>58</v>
      </c>
      <c r="N40" s="43"/>
      <c r="O40" s="43"/>
    </row>
    <row r="41" spans="4:15" x14ac:dyDescent="0.3"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</row>
    <row r="42" spans="4:15" x14ac:dyDescent="0.3">
      <c r="E42" s="55" t="s">
        <v>68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</row>
    <row r="43" spans="4:15" x14ac:dyDescent="0.3">
      <c r="E43" s="56" t="s">
        <v>69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</row>
  </sheetData>
  <mergeCells count="1">
    <mergeCell ref="E26:O2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selection activeCell="I16" sqref="I16"/>
    </sheetView>
  </sheetViews>
  <sheetFormatPr baseColWidth="10" defaultColWidth="11.75" defaultRowHeight="14" x14ac:dyDescent="0.3"/>
  <sheetData>
    <row r="1" spans="1:13" x14ac:dyDescent="0.3">
      <c r="A1" s="6" t="s">
        <v>21</v>
      </c>
    </row>
    <row r="3" spans="1:13" x14ac:dyDescent="0.3">
      <c r="A3" t="s">
        <v>36</v>
      </c>
      <c r="B3" s="4">
        <v>44709</v>
      </c>
      <c r="J3" s="6" t="s">
        <v>70</v>
      </c>
    </row>
    <row r="4" spans="1:13" x14ac:dyDescent="0.3">
      <c r="A4" s="2" t="s">
        <v>2</v>
      </c>
      <c r="B4" s="2">
        <v>99</v>
      </c>
      <c r="C4" s="2" t="s">
        <v>3</v>
      </c>
      <c r="D4" s="2">
        <v>95</v>
      </c>
      <c r="E4" s="2" t="s">
        <v>1</v>
      </c>
      <c r="F4" s="2">
        <v>97</v>
      </c>
      <c r="G4" t="s">
        <v>20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x14ac:dyDescent="0.3">
      <c r="A5" s="2" t="s">
        <v>4</v>
      </c>
      <c r="B5" s="2">
        <v>98</v>
      </c>
      <c r="C5" s="2" t="s">
        <v>5</v>
      </c>
      <c r="D5" s="2">
        <v>97</v>
      </c>
      <c r="E5" s="2" t="s">
        <v>6</v>
      </c>
      <c r="F5" s="2">
        <v>98</v>
      </c>
      <c r="G5" t="s">
        <v>17</v>
      </c>
      <c r="J5" s="2" t="s">
        <v>26</v>
      </c>
      <c r="K5" s="2">
        <f>AVERAGE(F4,B5,D6,F6)</f>
        <v>98</v>
      </c>
      <c r="L5" s="2">
        <f>AVERAGE(D5,B7,B6,D7)</f>
        <v>97.25</v>
      </c>
      <c r="M5" s="2">
        <f>AVERAGE(F7,D4,F5,B4)</f>
        <v>96.75</v>
      </c>
    </row>
    <row r="6" spans="1:13" x14ac:dyDescent="0.3">
      <c r="A6" s="2" t="s">
        <v>8</v>
      </c>
      <c r="B6" s="2">
        <v>99</v>
      </c>
      <c r="C6" s="2" t="s">
        <v>7</v>
      </c>
      <c r="D6" s="2">
        <v>98</v>
      </c>
      <c r="E6" s="2" t="s">
        <v>9</v>
      </c>
      <c r="F6" s="2">
        <v>99</v>
      </c>
      <c r="J6" s="2" t="s">
        <v>27</v>
      </c>
      <c r="K6" s="2">
        <f>AVERAGE(F10,B11,D12,F12)</f>
        <v>98</v>
      </c>
      <c r="L6" s="2">
        <f>AVERAGE(D11,B13,B12,D13)</f>
        <v>97.5</v>
      </c>
      <c r="M6" s="2">
        <f>AVERAGE(F13,D10,F11,B10)</f>
        <v>97</v>
      </c>
    </row>
    <row r="7" spans="1:13" x14ac:dyDescent="0.3">
      <c r="A7" s="2" t="s">
        <v>10</v>
      </c>
      <c r="B7" s="2">
        <v>96</v>
      </c>
      <c r="C7" s="2" t="s">
        <v>11</v>
      </c>
      <c r="D7" s="2">
        <v>97</v>
      </c>
      <c r="E7" s="2" t="s">
        <v>12</v>
      </c>
      <c r="F7" s="2">
        <v>95</v>
      </c>
      <c r="J7" s="2" t="s">
        <v>28</v>
      </c>
      <c r="K7" s="2">
        <f>AVERAGE(F16,B17,D18,F18)</f>
        <v>98</v>
      </c>
      <c r="L7" s="2">
        <f>AVERAGE(D17,B19,B18,D19)</f>
        <v>97.75</v>
      </c>
      <c r="M7" s="2">
        <f>AVERAGE(F19,D16,F17,B16)</f>
        <v>97.25</v>
      </c>
    </row>
    <row r="8" spans="1:13" x14ac:dyDescent="0.3">
      <c r="J8" s="2" t="s">
        <v>29</v>
      </c>
      <c r="K8" s="2">
        <f>AVERAGE(F22,B23,D24,F24)</f>
        <v>98.25</v>
      </c>
      <c r="L8" s="2">
        <f>AVERAGE(D23,B25,B24,D25)</f>
        <v>98</v>
      </c>
      <c r="M8" s="2">
        <f>AVERAGE(F25,D22,F23,B22)</f>
        <v>97.75</v>
      </c>
    </row>
    <row r="9" spans="1:13" x14ac:dyDescent="0.3">
      <c r="A9" t="s">
        <v>37</v>
      </c>
      <c r="B9" s="4">
        <v>44716</v>
      </c>
      <c r="J9" s="2" t="s">
        <v>30</v>
      </c>
      <c r="K9" s="2">
        <f>AVERAGE(F28,B29,D30,F30)</f>
        <v>98</v>
      </c>
      <c r="L9" s="2">
        <f>AVERAGE(D29,B31,B30,D31)</f>
        <v>98.5</v>
      </c>
      <c r="M9" s="2">
        <f>AVERAGE(F31,D28,F29,B28)</f>
        <v>98</v>
      </c>
    </row>
    <row r="10" spans="1:13" x14ac:dyDescent="0.3">
      <c r="A10" s="2" t="s">
        <v>2</v>
      </c>
      <c r="B10" s="5">
        <v>99</v>
      </c>
      <c r="C10" s="2" t="s">
        <v>3</v>
      </c>
      <c r="D10" s="5">
        <v>96</v>
      </c>
      <c r="E10" s="2" t="s">
        <v>1</v>
      </c>
      <c r="F10" s="5">
        <v>98</v>
      </c>
      <c r="G10" t="s">
        <v>18</v>
      </c>
      <c r="J10" s="2" t="s">
        <v>31</v>
      </c>
      <c r="K10" s="2">
        <f>AVERAGE(F34,B35,D36,F36)</f>
        <v>97.5</v>
      </c>
      <c r="L10" s="2">
        <f>AVERAGE(D35,B37,B36,D37)</f>
        <v>98</v>
      </c>
      <c r="M10" s="2">
        <f>AVERAGE(F37,D34,F35,B34)</f>
        <v>98.25</v>
      </c>
    </row>
    <row r="11" spans="1:13" x14ac:dyDescent="0.3">
      <c r="A11" s="2" t="s">
        <v>4</v>
      </c>
      <c r="B11" s="5">
        <v>98</v>
      </c>
      <c r="C11" s="2" t="s">
        <v>5</v>
      </c>
      <c r="D11" s="5">
        <v>96</v>
      </c>
      <c r="E11" s="2" t="s">
        <v>6</v>
      </c>
      <c r="F11" s="5">
        <v>97</v>
      </c>
      <c r="J11" s="2" t="s">
        <v>32</v>
      </c>
      <c r="K11" s="2">
        <f>AVERAGE(F40,B41,D42,F42)</f>
        <v>97.5</v>
      </c>
      <c r="L11" s="2">
        <f>AVERAGE(D41,B43,B42,D43)</f>
        <v>98</v>
      </c>
      <c r="M11" s="2">
        <f>AVERAGE(F43,D40,F41,B40)</f>
        <v>98.25</v>
      </c>
    </row>
    <row r="12" spans="1:13" x14ac:dyDescent="0.3">
      <c r="A12" s="2" t="s">
        <v>8</v>
      </c>
      <c r="B12" s="5">
        <v>99</v>
      </c>
      <c r="C12" s="2" t="s">
        <v>7</v>
      </c>
      <c r="D12" s="5">
        <v>98</v>
      </c>
      <c r="E12" s="2" t="s">
        <v>9</v>
      </c>
      <c r="F12" s="5">
        <v>98</v>
      </c>
      <c r="J12" s="2" t="s">
        <v>33</v>
      </c>
      <c r="K12" s="2">
        <f>AVERAGE(F46,B47,D48,F48)</f>
        <v>95.75</v>
      </c>
      <c r="L12" s="2">
        <f>AVERAGE(D47,B49,B48,D49)</f>
        <v>97</v>
      </c>
      <c r="M12" s="2">
        <f>AVERAGE(F49,D46,F47,B46)</f>
        <v>97</v>
      </c>
    </row>
    <row r="13" spans="1:13" x14ac:dyDescent="0.3">
      <c r="A13" s="2" t="s">
        <v>10</v>
      </c>
      <c r="B13" s="5">
        <v>97</v>
      </c>
      <c r="C13" s="2" t="s">
        <v>11</v>
      </c>
      <c r="D13" s="5">
        <v>98</v>
      </c>
      <c r="E13" s="2" t="s">
        <v>12</v>
      </c>
      <c r="F13" s="5">
        <v>96</v>
      </c>
      <c r="J13" s="2" t="s">
        <v>34</v>
      </c>
      <c r="K13" s="2">
        <f>AVERAGE(F52,B53,D54,F54)</f>
        <v>96.25</v>
      </c>
      <c r="L13" s="2">
        <f>AVERAGE(D53,B55,B54,D55)</f>
        <v>97.5</v>
      </c>
      <c r="M13" s="2">
        <f>AVERAGE(F55,D52,F53,B52)</f>
        <v>97</v>
      </c>
    </row>
    <row r="14" spans="1:13" x14ac:dyDescent="0.3">
      <c r="A14" s="3"/>
      <c r="B14" s="5"/>
      <c r="C14" s="3"/>
      <c r="D14" s="5"/>
      <c r="E14" s="3"/>
      <c r="F14" s="5"/>
      <c r="J14" s="2" t="s">
        <v>35</v>
      </c>
      <c r="K14" s="2">
        <f>AVERAGE(F58,B59,D60,F60)</f>
        <v>95</v>
      </c>
      <c r="L14" s="2">
        <f>AVERAGE(D59,B61,B60,D61)</f>
        <v>96.5</v>
      </c>
      <c r="M14" s="2">
        <f>AVERAGE(F61,D58,F59,B58)</f>
        <v>98</v>
      </c>
    </row>
    <row r="15" spans="1:13" x14ac:dyDescent="0.3">
      <c r="A15" t="s">
        <v>38</v>
      </c>
      <c r="B15" s="4">
        <v>44723</v>
      </c>
      <c r="C15" s="5"/>
      <c r="D15" s="5"/>
      <c r="E15" s="5"/>
      <c r="F15" s="5"/>
      <c r="J15" s="21" t="s">
        <v>51</v>
      </c>
      <c r="K15" s="22">
        <f>AVERAGE(K5:K14)</f>
        <v>97.224999999999994</v>
      </c>
      <c r="L15" s="22">
        <f>AVERAGE(L5:L14)</f>
        <v>97.6</v>
      </c>
      <c r="M15" s="23">
        <f>AVERAGE(M5:M14)</f>
        <v>97.525000000000006</v>
      </c>
    </row>
    <row r="16" spans="1:13" x14ac:dyDescent="0.3">
      <c r="A16" s="2" t="s">
        <v>2</v>
      </c>
      <c r="B16" s="5">
        <v>98</v>
      </c>
      <c r="C16" s="2" t="s">
        <v>3</v>
      </c>
      <c r="D16" s="5">
        <v>97</v>
      </c>
      <c r="E16" s="2" t="s">
        <v>1</v>
      </c>
      <c r="F16" s="5">
        <v>99</v>
      </c>
      <c r="G16" t="s">
        <v>18</v>
      </c>
      <c r="J16" s="24" t="s">
        <v>52</v>
      </c>
      <c r="K16" s="25">
        <f>SUM(K5:K14)</f>
        <v>972.25</v>
      </c>
      <c r="L16" s="25">
        <f>SUM(L5:L14)</f>
        <v>976</v>
      </c>
      <c r="M16" s="26">
        <f>SUM(M5:M14)</f>
        <v>975.25</v>
      </c>
    </row>
    <row r="17" spans="1:13" x14ac:dyDescent="0.3">
      <c r="A17" s="2" t="s">
        <v>4</v>
      </c>
      <c r="B17" s="5">
        <v>98</v>
      </c>
      <c r="C17" s="2" t="s">
        <v>5</v>
      </c>
      <c r="D17" s="5">
        <v>96</v>
      </c>
      <c r="E17" s="2" t="s">
        <v>6</v>
      </c>
      <c r="F17" s="5">
        <v>97</v>
      </c>
      <c r="J17" s="27" t="s">
        <v>53</v>
      </c>
      <c r="K17" s="28">
        <f>STDEV(K5:K14)</f>
        <v>1.1392614566756247</v>
      </c>
      <c r="L17" s="28">
        <f>STDEV(L5:L14)</f>
        <v>0.57975090436420285</v>
      </c>
      <c r="M17" s="28">
        <f>STDEV(M5:M14)</f>
        <v>0.58273779123490299</v>
      </c>
    </row>
    <row r="18" spans="1:13" x14ac:dyDescent="0.3">
      <c r="A18" s="2" t="s">
        <v>8</v>
      </c>
      <c r="B18" s="5">
        <v>99</v>
      </c>
      <c r="C18" s="2" t="s">
        <v>7</v>
      </c>
      <c r="D18" s="5">
        <v>97</v>
      </c>
      <c r="E18" s="2" t="s">
        <v>9</v>
      </c>
      <c r="F18" s="5">
        <v>98</v>
      </c>
    </row>
    <row r="19" spans="1:13" x14ac:dyDescent="0.3">
      <c r="A19" s="2" t="s">
        <v>10</v>
      </c>
      <c r="B19" s="5">
        <v>98</v>
      </c>
      <c r="C19" s="2" t="s">
        <v>11</v>
      </c>
      <c r="D19" s="5">
        <v>98</v>
      </c>
      <c r="E19" s="2" t="s">
        <v>12</v>
      </c>
      <c r="F19" s="5">
        <v>97</v>
      </c>
    </row>
    <row r="20" spans="1:13" x14ac:dyDescent="0.3">
      <c r="A20" s="3"/>
      <c r="B20" s="5"/>
      <c r="C20" s="3"/>
      <c r="D20" s="5"/>
      <c r="E20" s="3"/>
      <c r="F20" s="5"/>
    </row>
    <row r="21" spans="1:13" x14ac:dyDescent="0.3">
      <c r="A21" t="s">
        <v>39</v>
      </c>
      <c r="B21" s="4">
        <v>44730</v>
      </c>
      <c r="C21" s="5"/>
      <c r="D21" s="5"/>
      <c r="E21" s="5"/>
      <c r="F21" s="5"/>
    </row>
    <row r="22" spans="1:13" x14ac:dyDescent="0.3">
      <c r="A22" s="2" t="s">
        <v>2</v>
      </c>
      <c r="B22" s="5">
        <v>97</v>
      </c>
      <c r="C22" s="2" t="s">
        <v>3</v>
      </c>
      <c r="D22" s="5">
        <v>98</v>
      </c>
      <c r="E22" s="2" t="s">
        <v>1</v>
      </c>
      <c r="F22" s="5">
        <v>99</v>
      </c>
      <c r="G22" t="s">
        <v>18</v>
      </c>
    </row>
    <row r="23" spans="1:13" x14ac:dyDescent="0.3">
      <c r="A23" s="2" t="s">
        <v>4</v>
      </c>
      <c r="B23" s="5">
        <v>97</v>
      </c>
      <c r="C23" s="2" t="s">
        <v>5</v>
      </c>
      <c r="D23" s="5">
        <v>98</v>
      </c>
      <c r="E23" s="2" t="s">
        <v>6</v>
      </c>
      <c r="F23" s="5">
        <v>98</v>
      </c>
    </row>
    <row r="24" spans="1:13" x14ac:dyDescent="0.3">
      <c r="A24" s="2" t="s">
        <v>8</v>
      </c>
      <c r="B24" s="5">
        <v>99</v>
      </c>
      <c r="C24" s="2" t="s">
        <v>7</v>
      </c>
      <c r="D24" s="5">
        <v>98</v>
      </c>
      <c r="E24" s="2" t="s">
        <v>9</v>
      </c>
      <c r="F24" s="5">
        <v>99</v>
      </c>
    </row>
    <row r="25" spans="1:13" x14ac:dyDescent="0.3">
      <c r="A25" s="2" t="s">
        <v>10</v>
      </c>
      <c r="B25" s="5">
        <v>98</v>
      </c>
      <c r="C25" s="2" t="s">
        <v>11</v>
      </c>
      <c r="D25" s="5">
        <v>97</v>
      </c>
      <c r="E25" s="2" t="s">
        <v>12</v>
      </c>
      <c r="F25" s="5">
        <v>98</v>
      </c>
    </row>
    <row r="26" spans="1:13" x14ac:dyDescent="0.3">
      <c r="A26" s="3"/>
      <c r="B26" s="5"/>
      <c r="C26" s="3"/>
      <c r="D26" s="5"/>
      <c r="E26" s="3"/>
      <c r="F26" s="5"/>
    </row>
    <row r="27" spans="1:13" x14ac:dyDescent="0.3">
      <c r="A27" t="s">
        <v>40</v>
      </c>
      <c r="B27" s="4">
        <v>44737</v>
      </c>
      <c r="C27" s="5"/>
      <c r="D27" s="5"/>
      <c r="E27" s="5"/>
      <c r="F27" s="5"/>
    </row>
    <row r="28" spans="1:13" x14ac:dyDescent="0.3">
      <c r="A28" s="2" t="s">
        <v>2</v>
      </c>
      <c r="B28" s="5">
        <v>98</v>
      </c>
      <c r="C28" s="2" t="s">
        <v>3</v>
      </c>
      <c r="D28" s="5">
        <v>98</v>
      </c>
      <c r="E28" s="2" t="s">
        <v>1</v>
      </c>
      <c r="F28" s="5">
        <v>98</v>
      </c>
      <c r="G28" t="s">
        <v>18</v>
      </c>
    </row>
    <row r="29" spans="1:13" x14ac:dyDescent="0.3">
      <c r="A29" s="2" t="s">
        <v>4</v>
      </c>
      <c r="B29" s="5">
        <v>98</v>
      </c>
      <c r="C29" s="2" t="s">
        <v>5</v>
      </c>
      <c r="D29" s="5">
        <v>99</v>
      </c>
      <c r="E29" s="2" t="s">
        <v>6</v>
      </c>
      <c r="F29" s="5">
        <v>98</v>
      </c>
    </row>
    <row r="30" spans="1:13" x14ac:dyDescent="0.3">
      <c r="A30" s="2" t="s">
        <v>8</v>
      </c>
      <c r="B30" s="5">
        <v>99</v>
      </c>
      <c r="C30" s="2" t="s">
        <v>7</v>
      </c>
      <c r="D30" s="5">
        <v>98</v>
      </c>
      <c r="E30" s="2" t="s">
        <v>9</v>
      </c>
      <c r="F30" s="5">
        <v>98</v>
      </c>
    </row>
    <row r="31" spans="1:13" x14ac:dyDescent="0.3">
      <c r="A31" s="2" t="s">
        <v>10</v>
      </c>
      <c r="B31" s="5">
        <v>98</v>
      </c>
      <c r="C31" s="2" t="s">
        <v>11</v>
      </c>
      <c r="D31" s="5">
        <v>98</v>
      </c>
      <c r="E31" s="2" t="s">
        <v>12</v>
      </c>
      <c r="F31" s="5">
        <v>98</v>
      </c>
    </row>
    <row r="32" spans="1:13" x14ac:dyDescent="0.3">
      <c r="A32" s="3"/>
      <c r="B32" s="5"/>
      <c r="C32" s="3"/>
      <c r="D32" s="5"/>
      <c r="E32" s="3"/>
      <c r="F32" s="5"/>
    </row>
    <row r="33" spans="1:7" x14ac:dyDescent="0.3">
      <c r="A33" t="s">
        <v>41</v>
      </c>
      <c r="B33" s="4">
        <v>44744</v>
      </c>
      <c r="C33" s="5"/>
      <c r="D33" s="5"/>
      <c r="E33" s="5"/>
      <c r="F33" s="5"/>
    </row>
    <row r="34" spans="1:7" x14ac:dyDescent="0.3">
      <c r="A34" s="2" t="s">
        <v>2</v>
      </c>
      <c r="B34" s="5">
        <v>99</v>
      </c>
      <c r="C34" s="2" t="s">
        <v>3</v>
      </c>
      <c r="D34" s="5">
        <v>99</v>
      </c>
      <c r="E34" s="2" t="s">
        <v>1</v>
      </c>
      <c r="F34" s="5">
        <v>97</v>
      </c>
      <c r="G34" t="s">
        <v>18</v>
      </c>
    </row>
    <row r="35" spans="1:7" x14ac:dyDescent="0.3">
      <c r="A35" s="2" t="s">
        <v>4</v>
      </c>
      <c r="B35" s="5">
        <v>98</v>
      </c>
      <c r="C35" s="2" t="s">
        <v>5</v>
      </c>
      <c r="D35" s="5">
        <v>98</v>
      </c>
      <c r="E35" s="2" t="s">
        <v>6</v>
      </c>
      <c r="F35" s="5">
        <v>97</v>
      </c>
    </row>
    <row r="36" spans="1:7" x14ac:dyDescent="0.3">
      <c r="A36" s="2" t="s">
        <v>8</v>
      </c>
      <c r="B36" s="5">
        <v>98</v>
      </c>
      <c r="C36" s="2" t="s">
        <v>7</v>
      </c>
      <c r="D36" s="5">
        <v>98</v>
      </c>
      <c r="E36" s="2" t="s">
        <v>9</v>
      </c>
      <c r="F36" s="5">
        <v>97</v>
      </c>
    </row>
    <row r="37" spans="1:7" x14ac:dyDescent="0.3">
      <c r="A37" s="2" t="s">
        <v>10</v>
      </c>
      <c r="B37" s="5">
        <v>98</v>
      </c>
      <c r="C37" s="2" t="s">
        <v>11</v>
      </c>
      <c r="D37" s="5">
        <v>98</v>
      </c>
      <c r="E37" s="2" t="s">
        <v>12</v>
      </c>
      <c r="F37" s="5">
        <v>98</v>
      </c>
    </row>
    <row r="38" spans="1:7" x14ac:dyDescent="0.3">
      <c r="A38" s="3"/>
      <c r="B38" s="5"/>
      <c r="C38" s="3"/>
      <c r="D38" s="5"/>
      <c r="E38" s="3"/>
      <c r="F38" s="5"/>
    </row>
    <row r="39" spans="1:7" x14ac:dyDescent="0.3">
      <c r="A39" t="s">
        <v>42</v>
      </c>
      <c r="B39" s="4">
        <v>44751</v>
      </c>
      <c r="C39" s="5"/>
      <c r="D39" s="5"/>
      <c r="E39" s="5"/>
      <c r="F39" s="5"/>
    </row>
    <row r="40" spans="1:7" x14ac:dyDescent="0.3">
      <c r="A40" s="2" t="s">
        <v>2</v>
      </c>
      <c r="B40" s="5">
        <v>99</v>
      </c>
      <c r="C40" s="2" t="s">
        <v>3</v>
      </c>
      <c r="D40" s="5">
        <v>99</v>
      </c>
      <c r="E40" s="2" t="s">
        <v>1</v>
      </c>
      <c r="F40" s="5">
        <v>97</v>
      </c>
      <c r="G40" t="s">
        <v>18</v>
      </c>
    </row>
    <row r="41" spans="1:7" x14ac:dyDescent="0.3">
      <c r="A41" s="2" t="s">
        <v>4</v>
      </c>
      <c r="B41" s="5">
        <v>98</v>
      </c>
      <c r="C41" s="2" t="s">
        <v>5</v>
      </c>
      <c r="D41" s="5">
        <v>98</v>
      </c>
      <c r="E41" s="2" t="s">
        <v>6</v>
      </c>
      <c r="F41" s="5">
        <v>97</v>
      </c>
    </row>
    <row r="42" spans="1:7" x14ac:dyDescent="0.3">
      <c r="A42" s="2" t="s">
        <v>8</v>
      </c>
      <c r="B42" s="5">
        <v>98</v>
      </c>
      <c r="C42" s="2" t="s">
        <v>7</v>
      </c>
      <c r="D42" s="5">
        <v>98</v>
      </c>
      <c r="E42" s="2" t="s">
        <v>9</v>
      </c>
      <c r="F42" s="5">
        <v>97</v>
      </c>
    </row>
    <row r="43" spans="1:7" x14ac:dyDescent="0.3">
      <c r="A43" s="2" t="s">
        <v>10</v>
      </c>
      <c r="B43" s="5">
        <v>98</v>
      </c>
      <c r="C43" s="2" t="s">
        <v>11</v>
      </c>
      <c r="D43" s="5">
        <v>98</v>
      </c>
      <c r="E43" s="2" t="s">
        <v>12</v>
      </c>
      <c r="F43" s="5">
        <v>98</v>
      </c>
    </row>
    <row r="44" spans="1:7" x14ac:dyDescent="0.3">
      <c r="A44" s="3"/>
      <c r="B44" s="5"/>
      <c r="C44" s="3"/>
      <c r="D44" s="5"/>
      <c r="E44" s="3"/>
      <c r="F44" s="5"/>
    </row>
    <row r="45" spans="1:7" x14ac:dyDescent="0.3">
      <c r="A45" t="s">
        <v>43</v>
      </c>
      <c r="B45" s="4">
        <v>44758</v>
      </c>
      <c r="C45" s="5"/>
      <c r="D45" s="5"/>
      <c r="E45" s="5"/>
      <c r="F45" s="5"/>
    </row>
    <row r="46" spans="1:7" x14ac:dyDescent="0.3">
      <c r="A46" s="2" t="s">
        <v>2</v>
      </c>
      <c r="B46" s="5">
        <v>97</v>
      </c>
      <c r="C46" s="2" t="s">
        <v>3</v>
      </c>
      <c r="D46" s="5">
        <v>99</v>
      </c>
      <c r="E46" s="2" t="s">
        <v>1</v>
      </c>
      <c r="F46" s="5">
        <v>95</v>
      </c>
      <c r="G46" t="s">
        <v>18</v>
      </c>
    </row>
    <row r="47" spans="1:7" x14ac:dyDescent="0.3">
      <c r="A47" s="2" t="s">
        <v>4</v>
      </c>
      <c r="B47" s="5">
        <v>96</v>
      </c>
      <c r="C47" s="2" t="s">
        <v>5</v>
      </c>
      <c r="D47" s="5">
        <v>96</v>
      </c>
      <c r="E47" s="2" t="s">
        <v>6</v>
      </c>
      <c r="F47" s="5">
        <v>96</v>
      </c>
    </row>
    <row r="48" spans="1:7" x14ac:dyDescent="0.3">
      <c r="A48" s="2" t="s">
        <v>8</v>
      </c>
      <c r="B48" s="5">
        <v>97</v>
      </c>
      <c r="C48" s="2" t="s">
        <v>7</v>
      </c>
      <c r="D48" s="5">
        <v>97</v>
      </c>
      <c r="E48" s="2" t="s">
        <v>9</v>
      </c>
      <c r="F48" s="5">
        <v>95</v>
      </c>
    </row>
    <row r="49" spans="1:6" x14ac:dyDescent="0.3">
      <c r="A49" s="2" t="s">
        <v>10</v>
      </c>
      <c r="B49" s="5">
        <v>97</v>
      </c>
      <c r="C49" s="2" t="s">
        <v>11</v>
      </c>
      <c r="D49" s="5">
        <v>98</v>
      </c>
      <c r="E49" s="2" t="s">
        <v>12</v>
      </c>
      <c r="F49" s="5">
        <v>96</v>
      </c>
    </row>
    <row r="50" spans="1:6" x14ac:dyDescent="0.3">
      <c r="A50" s="3"/>
      <c r="B50" s="5"/>
      <c r="C50" s="3"/>
      <c r="D50" s="5"/>
      <c r="E50" s="3"/>
      <c r="F50" s="5"/>
    </row>
    <row r="51" spans="1:6" x14ac:dyDescent="0.3">
      <c r="A51" t="s">
        <v>44</v>
      </c>
      <c r="B51" s="4">
        <v>44765</v>
      </c>
      <c r="C51" s="5"/>
      <c r="D51" s="5"/>
      <c r="E51" s="5"/>
      <c r="F51" s="5"/>
    </row>
    <row r="52" spans="1:6" x14ac:dyDescent="0.3">
      <c r="A52" s="2" t="s">
        <v>2</v>
      </c>
      <c r="B52" s="5">
        <v>97</v>
      </c>
      <c r="C52" s="2" t="s">
        <v>3</v>
      </c>
      <c r="D52" s="5">
        <v>98</v>
      </c>
      <c r="E52" s="2" t="s">
        <v>1</v>
      </c>
      <c r="F52" s="5">
        <v>94</v>
      </c>
    </row>
    <row r="53" spans="1:6" x14ac:dyDescent="0.3">
      <c r="A53" s="2" t="s">
        <v>4</v>
      </c>
      <c r="B53" s="5">
        <v>97</v>
      </c>
      <c r="C53" s="2" t="s">
        <v>5</v>
      </c>
      <c r="D53" s="5">
        <v>97</v>
      </c>
      <c r="E53" s="2" t="s">
        <v>6</v>
      </c>
      <c r="F53" s="5">
        <v>96</v>
      </c>
    </row>
    <row r="54" spans="1:6" x14ac:dyDescent="0.3">
      <c r="A54" s="8" t="s">
        <v>8</v>
      </c>
      <c r="B54" s="9">
        <v>98</v>
      </c>
      <c r="C54" s="8" t="s">
        <v>7</v>
      </c>
      <c r="D54" s="9">
        <v>98</v>
      </c>
      <c r="E54" s="8" t="s">
        <v>9</v>
      </c>
      <c r="F54" s="9">
        <v>96</v>
      </c>
    </row>
    <row r="55" spans="1:6" x14ac:dyDescent="0.3">
      <c r="A55" s="2" t="s">
        <v>10</v>
      </c>
      <c r="B55" s="2">
        <v>97</v>
      </c>
      <c r="C55" s="2" t="s">
        <v>11</v>
      </c>
      <c r="D55" s="2">
        <v>98</v>
      </c>
      <c r="E55" s="2" t="s">
        <v>12</v>
      </c>
      <c r="F55" s="2">
        <v>97</v>
      </c>
    </row>
    <row r="56" spans="1:6" x14ac:dyDescent="0.3">
      <c r="A56" s="3"/>
      <c r="B56" s="3"/>
      <c r="C56" s="3"/>
      <c r="D56" s="3"/>
      <c r="E56" s="3"/>
      <c r="F56" s="3"/>
    </row>
    <row r="57" spans="1:6" x14ac:dyDescent="0.3">
      <c r="A57" t="s">
        <v>45</v>
      </c>
      <c r="B57" s="4">
        <v>44772</v>
      </c>
      <c r="C57" s="3"/>
      <c r="D57" s="3"/>
      <c r="E57" s="3"/>
      <c r="F57" s="3"/>
    </row>
    <row r="58" spans="1:6" x14ac:dyDescent="0.3">
      <c r="A58" s="2" t="s">
        <v>2</v>
      </c>
      <c r="B58" s="2">
        <v>98</v>
      </c>
      <c r="C58" s="2" t="s">
        <v>3</v>
      </c>
      <c r="D58" s="2">
        <v>99</v>
      </c>
      <c r="E58" s="2" t="s">
        <v>1</v>
      </c>
      <c r="F58" s="2">
        <v>94</v>
      </c>
    </row>
    <row r="59" spans="1:6" x14ac:dyDescent="0.3">
      <c r="A59" s="2" t="s">
        <v>4</v>
      </c>
      <c r="B59" s="2">
        <v>96</v>
      </c>
      <c r="C59" s="2" t="s">
        <v>5</v>
      </c>
      <c r="D59" s="2">
        <v>97</v>
      </c>
      <c r="E59" s="2" t="s">
        <v>6</v>
      </c>
      <c r="F59" s="2">
        <v>97</v>
      </c>
    </row>
    <row r="60" spans="1:6" x14ac:dyDescent="0.3">
      <c r="A60" s="2" t="s">
        <v>8</v>
      </c>
      <c r="B60" s="2">
        <v>98</v>
      </c>
      <c r="C60" s="2" t="s">
        <v>7</v>
      </c>
      <c r="D60" s="2">
        <v>96</v>
      </c>
      <c r="E60" s="2" t="s">
        <v>9</v>
      </c>
      <c r="F60" s="2">
        <v>94</v>
      </c>
    </row>
    <row r="61" spans="1:6" x14ac:dyDescent="0.3">
      <c r="A61" s="2" t="s">
        <v>10</v>
      </c>
      <c r="B61" s="2">
        <v>96</v>
      </c>
      <c r="C61" s="2" t="s">
        <v>11</v>
      </c>
      <c r="D61" s="2">
        <v>95</v>
      </c>
      <c r="E61" s="2" t="s">
        <v>12</v>
      </c>
      <c r="F61" s="2">
        <v>98</v>
      </c>
    </row>
    <row r="62" spans="1:6" x14ac:dyDescent="0.3">
      <c r="C62" s="3"/>
    </row>
    <row r="63" spans="1:6" x14ac:dyDescent="0.3">
      <c r="C63" s="3"/>
    </row>
    <row r="64" spans="1:6" x14ac:dyDescent="0.3">
      <c r="C64" s="3"/>
    </row>
    <row r="65" spans="3:3" x14ac:dyDescent="0.3">
      <c r="C65" s="3"/>
    </row>
    <row r="66" spans="3:3" x14ac:dyDescent="0.3">
      <c r="C66" s="3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10" workbookViewId="0">
      <selection activeCell="I11" sqref="I11"/>
    </sheetView>
  </sheetViews>
  <sheetFormatPr baseColWidth="10" defaultColWidth="11.75" defaultRowHeight="14" x14ac:dyDescent="0.3"/>
  <cols>
    <col min="10" max="10" width="9.6640625" customWidth="1"/>
  </cols>
  <sheetData>
    <row r="1" spans="1:13" x14ac:dyDescent="0.3">
      <c r="A1" s="6" t="s">
        <v>15</v>
      </c>
    </row>
    <row r="3" spans="1:13" x14ac:dyDescent="0.3">
      <c r="A3" t="s">
        <v>36</v>
      </c>
      <c r="B3" s="4">
        <v>44709</v>
      </c>
    </row>
    <row r="4" spans="1:13" x14ac:dyDescent="0.3">
      <c r="A4" s="2" t="s">
        <v>2</v>
      </c>
      <c r="B4" s="2">
        <v>0</v>
      </c>
      <c r="C4" s="2" t="s">
        <v>3</v>
      </c>
      <c r="D4" s="2">
        <v>2</v>
      </c>
      <c r="E4" s="2" t="s">
        <v>1</v>
      </c>
      <c r="F4" s="2">
        <v>2</v>
      </c>
      <c r="G4" t="s">
        <v>20</v>
      </c>
    </row>
    <row r="5" spans="1:13" x14ac:dyDescent="0.3">
      <c r="A5" s="2" t="s">
        <v>4</v>
      </c>
      <c r="B5" s="2">
        <v>2</v>
      </c>
      <c r="C5" s="2" t="s">
        <v>5</v>
      </c>
      <c r="D5" s="2">
        <v>0</v>
      </c>
      <c r="E5" s="2" t="s">
        <v>6</v>
      </c>
      <c r="F5" s="2">
        <v>1</v>
      </c>
      <c r="G5" t="s">
        <v>17</v>
      </c>
    </row>
    <row r="6" spans="1:13" x14ac:dyDescent="0.3">
      <c r="A6" s="2" t="s">
        <v>8</v>
      </c>
      <c r="B6" s="2">
        <v>0</v>
      </c>
      <c r="C6" s="2" t="s">
        <v>7</v>
      </c>
      <c r="D6" s="2">
        <v>0</v>
      </c>
      <c r="E6" s="2" t="s">
        <v>9</v>
      </c>
      <c r="F6" s="2">
        <v>0</v>
      </c>
    </row>
    <row r="7" spans="1:13" x14ac:dyDescent="0.3">
      <c r="A7" s="2" t="s">
        <v>10</v>
      </c>
      <c r="B7" s="2">
        <v>2</v>
      </c>
      <c r="C7" s="2" t="s">
        <v>11</v>
      </c>
      <c r="D7" s="2">
        <v>0</v>
      </c>
      <c r="E7" s="2" t="s">
        <v>12</v>
      </c>
      <c r="F7" s="2">
        <v>0</v>
      </c>
    </row>
    <row r="9" spans="1:13" x14ac:dyDescent="0.3">
      <c r="A9" t="s">
        <v>37</v>
      </c>
      <c r="B9" s="4">
        <v>44716</v>
      </c>
      <c r="J9" s="6" t="s">
        <v>70</v>
      </c>
    </row>
    <row r="10" spans="1:13" x14ac:dyDescent="0.3">
      <c r="A10" s="2" t="s">
        <v>2</v>
      </c>
      <c r="B10" s="2">
        <v>0</v>
      </c>
      <c r="C10" s="2" t="s">
        <v>3</v>
      </c>
      <c r="D10" s="2">
        <v>2</v>
      </c>
      <c r="E10" s="2" t="s">
        <v>1</v>
      </c>
      <c r="F10" s="2">
        <v>1</v>
      </c>
      <c r="G10" t="s">
        <v>18</v>
      </c>
      <c r="J10" s="2" t="s">
        <v>22</v>
      </c>
      <c r="K10" s="2" t="s">
        <v>23</v>
      </c>
      <c r="L10" s="2" t="s">
        <v>24</v>
      </c>
      <c r="M10" s="2" t="s">
        <v>25</v>
      </c>
    </row>
    <row r="11" spans="1:13" x14ac:dyDescent="0.3">
      <c r="A11" s="2" t="s">
        <v>4</v>
      </c>
      <c r="B11" s="2">
        <v>0</v>
      </c>
      <c r="C11" s="2" t="s">
        <v>5</v>
      </c>
      <c r="D11" s="2">
        <v>2</v>
      </c>
      <c r="E11" s="2" t="s">
        <v>6</v>
      </c>
      <c r="F11" s="2">
        <v>0</v>
      </c>
      <c r="J11" s="2" t="s">
        <v>26</v>
      </c>
      <c r="K11" s="2">
        <f>AVERAGE(F4,B5,D6,F6)</f>
        <v>1</v>
      </c>
      <c r="L11" s="2">
        <f>AVERAGE(D5,B7,B6,D7)</f>
        <v>0.5</v>
      </c>
      <c r="M11" s="2">
        <f>AVERAGE(F7,D10,F11,B10)</f>
        <v>0.5</v>
      </c>
    </row>
    <row r="12" spans="1:13" x14ac:dyDescent="0.3">
      <c r="A12" s="2" t="s">
        <v>8</v>
      </c>
      <c r="B12" s="2">
        <v>0</v>
      </c>
      <c r="C12" s="2" t="s">
        <v>7</v>
      </c>
      <c r="D12" s="2">
        <v>0</v>
      </c>
      <c r="E12" s="2" t="s">
        <v>9</v>
      </c>
      <c r="F12" s="2">
        <v>1</v>
      </c>
      <c r="J12" s="2" t="s">
        <v>27</v>
      </c>
      <c r="K12" s="2">
        <f>AVERAGE(F10,B11,D12,F12)</f>
        <v>0.5</v>
      </c>
      <c r="L12" s="2">
        <f>AVERAGE(D11,B13,B12,D13)</f>
        <v>1</v>
      </c>
      <c r="M12" s="2">
        <f>AVERAGE(F13,D10,F11,B10)</f>
        <v>0.5</v>
      </c>
    </row>
    <row r="13" spans="1:13" x14ac:dyDescent="0.3">
      <c r="A13" s="2" t="s">
        <v>10</v>
      </c>
      <c r="B13" s="2">
        <v>2</v>
      </c>
      <c r="C13" s="2" t="s">
        <v>11</v>
      </c>
      <c r="D13" s="2">
        <v>0</v>
      </c>
      <c r="E13" s="2" t="s">
        <v>12</v>
      </c>
      <c r="F13" s="2">
        <v>0</v>
      </c>
      <c r="J13" s="2" t="s">
        <v>28</v>
      </c>
      <c r="K13" s="2">
        <f>AVERAGE(F16,B17,D18,F18)</f>
        <v>1.375</v>
      </c>
      <c r="L13" s="2">
        <f>AVERAGE(D17,B19,B18,D19)</f>
        <v>1</v>
      </c>
      <c r="M13" s="2">
        <f>AVERAGE(F19,D16,F17,B16)</f>
        <v>0.5</v>
      </c>
    </row>
    <row r="14" spans="1:13" x14ac:dyDescent="0.3">
      <c r="A14" s="3"/>
      <c r="C14" s="3"/>
      <c r="E14" s="3"/>
      <c r="J14" s="2" t="s">
        <v>29</v>
      </c>
      <c r="K14" s="2">
        <f>AVERAGE(F22,B23,D24,F24)</f>
        <v>0.875</v>
      </c>
      <c r="L14" s="2">
        <f>AVERAGE(D23,B25,B24,D25)</f>
        <v>0.5</v>
      </c>
      <c r="M14" s="2">
        <f>AVERAGE(F25,D22,F23,B22)</f>
        <v>0</v>
      </c>
    </row>
    <row r="15" spans="1:13" x14ac:dyDescent="0.3">
      <c r="A15" t="s">
        <v>38</v>
      </c>
      <c r="B15" s="4">
        <v>44723</v>
      </c>
      <c r="J15" s="2" t="s">
        <v>30</v>
      </c>
      <c r="K15" s="2">
        <f>AVERAGE(F28,B29,D30,F30)</f>
        <v>0.5</v>
      </c>
      <c r="L15" s="2">
        <f>AVERAGE(D29,B31,B30,D31)</f>
        <v>0.5</v>
      </c>
      <c r="M15" s="2">
        <f>AVERAGE(F31,D28,F29,B28)</f>
        <v>0.25</v>
      </c>
    </row>
    <row r="16" spans="1:13" x14ac:dyDescent="0.3">
      <c r="A16" s="2" t="s">
        <v>2</v>
      </c>
      <c r="B16" s="2">
        <v>1</v>
      </c>
      <c r="C16" s="2" t="s">
        <v>3</v>
      </c>
      <c r="D16" s="2">
        <v>1</v>
      </c>
      <c r="E16" s="2" t="s">
        <v>1</v>
      </c>
      <c r="F16" s="2">
        <v>0</v>
      </c>
      <c r="G16" t="s">
        <v>18</v>
      </c>
      <c r="J16" s="2" t="s">
        <v>31</v>
      </c>
      <c r="K16" s="2">
        <f>AVERAGE(F34,B35,D36,F36)</f>
        <v>0.5</v>
      </c>
      <c r="L16" s="2">
        <f>AVERAGE(D35,B37,B36,D37)</f>
        <v>1</v>
      </c>
      <c r="M16" s="2">
        <f>AVERAGE(F37,D34,F35,B34)</f>
        <v>0.5</v>
      </c>
    </row>
    <row r="17" spans="1:13" x14ac:dyDescent="0.3">
      <c r="A17" s="2" t="s">
        <v>4</v>
      </c>
      <c r="B17" s="2">
        <v>2.5</v>
      </c>
      <c r="C17" s="2" t="s">
        <v>5</v>
      </c>
      <c r="D17" s="2">
        <v>1</v>
      </c>
      <c r="E17" s="2" t="s">
        <v>6</v>
      </c>
      <c r="F17" s="2">
        <v>0</v>
      </c>
      <c r="J17" s="2" t="s">
        <v>32</v>
      </c>
      <c r="K17" s="2">
        <f>AVERAGE(F40,B41,D42,F42)</f>
        <v>1.625</v>
      </c>
      <c r="L17" s="2">
        <f>AVERAGE(D41,B43,B42,D43)</f>
        <v>2.125</v>
      </c>
      <c r="M17" s="2">
        <f>AVERAGE(F43,D40,F41,B40)</f>
        <v>1</v>
      </c>
    </row>
    <row r="18" spans="1:13" x14ac:dyDescent="0.3">
      <c r="A18" s="2" t="s">
        <v>8</v>
      </c>
      <c r="B18" s="2">
        <v>0</v>
      </c>
      <c r="C18" s="2" t="s">
        <v>7</v>
      </c>
      <c r="D18" s="2">
        <v>2</v>
      </c>
      <c r="E18" s="2" t="s">
        <v>9</v>
      </c>
      <c r="F18" s="2">
        <v>1</v>
      </c>
      <c r="J18" s="2" t="s">
        <v>33</v>
      </c>
      <c r="K18" s="2">
        <f>AVERAGE(F46,B47,D48,F48)</f>
        <v>1.625</v>
      </c>
      <c r="L18" s="2">
        <f>AVERAGE(D47,B49,B48,D49)</f>
        <v>1.125</v>
      </c>
      <c r="M18" s="2">
        <f>AVERAGE(F49,D46,F47,B46)</f>
        <v>0.75</v>
      </c>
    </row>
    <row r="19" spans="1:13" x14ac:dyDescent="0.3">
      <c r="A19" s="2" t="s">
        <v>10</v>
      </c>
      <c r="B19" s="2">
        <v>2</v>
      </c>
      <c r="C19" s="2" t="s">
        <v>11</v>
      </c>
      <c r="D19" s="2">
        <v>1</v>
      </c>
      <c r="E19" s="2" t="s">
        <v>12</v>
      </c>
      <c r="F19" s="2">
        <v>0</v>
      </c>
      <c r="J19" s="2" t="s">
        <v>34</v>
      </c>
      <c r="K19" s="2">
        <f>AVERAGE(F52,B53,D54,F54)</f>
        <v>2.625</v>
      </c>
      <c r="L19" s="2">
        <f>AVERAGE(D53,B55,B54,D55)</f>
        <v>2.875</v>
      </c>
      <c r="M19" s="2">
        <f>AVERAGE(F55,D52,F53,B52)</f>
        <v>0.5</v>
      </c>
    </row>
    <row r="20" spans="1:13" x14ac:dyDescent="0.3">
      <c r="A20" s="3"/>
      <c r="C20" s="3"/>
      <c r="E20" s="3"/>
      <c r="J20" s="2" t="s">
        <v>35</v>
      </c>
      <c r="K20" s="2">
        <f>AVERAGE(F58,B59,D60,F60)</f>
        <v>1.625</v>
      </c>
      <c r="L20" s="2">
        <f>AVERAGE(D59,B61,B60,D61)</f>
        <v>2.5</v>
      </c>
      <c r="M20" s="2">
        <f>AVERAGE(F61,D58,F59,B58)</f>
        <v>1.125</v>
      </c>
    </row>
    <row r="21" spans="1:13" x14ac:dyDescent="0.3">
      <c r="A21" t="s">
        <v>39</v>
      </c>
      <c r="B21" s="4">
        <v>44730</v>
      </c>
      <c r="J21" s="27" t="s">
        <v>51</v>
      </c>
      <c r="K21" s="28">
        <f>AVERAGE(K11:K20)</f>
        <v>1.2250000000000001</v>
      </c>
      <c r="L21" s="28">
        <f>AVERAGE(L11:L20)</f>
        <v>1.3125</v>
      </c>
      <c r="M21" s="28">
        <f>AVERAGE(M11:M20)</f>
        <v>0.5625</v>
      </c>
    </row>
    <row r="22" spans="1:13" x14ac:dyDescent="0.3">
      <c r="A22" s="2" t="s">
        <v>2</v>
      </c>
      <c r="B22" s="2">
        <v>0</v>
      </c>
      <c r="C22" s="2" t="s">
        <v>3</v>
      </c>
      <c r="D22" s="2">
        <v>0</v>
      </c>
      <c r="E22" s="2" t="s">
        <v>1</v>
      </c>
      <c r="F22" s="2">
        <v>0</v>
      </c>
      <c r="G22" t="s">
        <v>18</v>
      </c>
      <c r="J22" s="27" t="s">
        <v>52</v>
      </c>
      <c r="K22" s="28">
        <f>SUM(K11:K20)</f>
        <v>12.25</v>
      </c>
      <c r="L22" s="28">
        <f>SUM(L11:L20)</f>
        <v>13.125</v>
      </c>
      <c r="M22" s="28">
        <f>SUM(M11:M20)</f>
        <v>5.625</v>
      </c>
    </row>
    <row r="23" spans="1:13" x14ac:dyDescent="0.3">
      <c r="A23" s="2" t="s">
        <v>4</v>
      </c>
      <c r="B23" s="2">
        <v>2</v>
      </c>
      <c r="C23" s="2" t="s">
        <v>5</v>
      </c>
      <c r="D23" s="2">
        <v>1</v>
      </c>
      <c r="E23" s="2" t="s">
        <v>6</v>
      </c>
      <c r="F23" s="2">
        <v>0</v>
      </c>
      <c r="J23" s="27" t="s">
        <v>53</v>
      </c>
      <c r="K23" s="28">
        <f>STDEV(K11:K20)</f>
        <v>0.68414585839245978</v>
      </c>
      <c r="L23" s="28">
        <f>STDEV(L11:L20)</f>
        <v>0.87052426732400745</v>
      </c>
      <c r="M23" s="28">
        <f>STDEV(M11:M20)</f>
        <v>0.32940392293420617</v>
      </c>
    </row>
    <row r="24" spans="1:13" x14ac:dyDescent="0.3">
      <c r="A24" s="2" t="s">
        <v>8</v>
      </c>
      <c r="B24" s="2">
        <v>0</v>
      </c>
      <c r="C24" s="2" t="s">
        <v>7</v>
      </c>
      <c r="D24" s="2">
        <v>1.5</v>
      </c>
      <c r="E24" s="2" t="s">
        <v>9</v>
      </c>
      <c r="F24" s="2">
        <v>0</v>
      </c>
    </row>
    <row r="25" spans="1:13" x14ac:dyDescent="0.3">
      <c r="A25" s="2" t="s">
        <v>10</v>
      </c>
      <c r="B25" s="2">
        <v>1</v>
      </c>
      <c r="C25" s="2" t="s">
        <v>11</v>
      </c>
      <c r="D25" s="2">
        <v>0</v>
      </c>
      <c r="E25" s="2" t="s">
        <v>12</v>
      </c>
      <c r="F25" s="2">
        <v>0</v>
      </c>
    </row>
    <row r="26" spans="1:13" x14ac:dyDescent="0.3">
      <c r="A26" s="3"/>
      <c r="C26" s="3"/>
      <c r="E26" s="3"/>
    </row>
    <row r="27" spans="1:13" x14ac:dyDescent="0.3">
      <c r="A27" t="s">
        <v>40</v>
      </c>
      <c r="B27" s="4">
        <v>44737</v>
      </c>
    </row>
    <row r="28" spans="1:13" x14ac:dyDescent="0.3">
      <c r="A28" s="2" t="s">
        <v>2</v>
      </c>
      <c r="B28" s="2">
        <v>0</v>
      </c>
      <c r="C28" s="2" t="s">
        <v>3</v>
      </c>
      <c r="D28" s="2">
        <v>0</v>
      </c>
      <c r="E28" s="2" t="s">
        <v>1</v>
      </c>
      <c r="F28" s="2">
        <v>0</v>
      </c>
      <c r="G28" t="s">
        <v>18</v>
      </c>
    </row>
    <row r="29" spans="1:13" x14ac:dyDescent="0.3">
      <c r="A29" s="2" t="s">
        <v>4</v>
      </c>
      <c r="B29" s="2">
        <v>0</v>
      </c>
      <c r="C29" s="2" t="s">
        <v>5</v>
      </c>
      <c r="D29" s="2">
        <v>0</v>
      </c>
      <c r="E29" s="2" t="s">
        <v>6</v>
      </c>
      <c r="F29" s="2">
        <v>0</v>
      </c>
    </row>
    <row r="30" spans="1:13" x14ac:dyDescent="0.3">
      <c r="A30" s="2" t="s">
        <v>8</v>
      </c>
      <c r="B30" s="2">
        <v>0</v>
      </c>
      <c r="C30" s="2" t="s">
        <v>7</v>
      </c>
      <c r="D30" s="2">
        <v>1</v>
      </c>
      <c r="E30" s="2" t="s">
        <v>9</v>
      </c>
      <c r="F30" s="2">
        <v>1</v>
      </c>
    </row>
    <row r="31" spans="1:13" x14ac:dyDescent="0.3">
      <c r="A31" s="2" t="s">
        <v>10</v>
      </c>
      <c r="B31" s="2">
        <v>1</v>
      </c>
      <c r="C31" s="2" t="s">
        <v>11</v>
      </c>
      <c r="D31" s="2">
        <v>1</v>
      </c>
      <c r="E31" s="2" t="s">
        <v>12</v>
      </c>
      <c r="F31" s="2">
        <v>1</v>
      </c>
    </row>
    <row r="32" spans="1:13" x14ac:dyDescent="0.3">
      <c r="A32" s="3"/>
      <c r="C32" s="3"/>
      <c r="E32" s="3"/>
    </row>
    <row r="33" spans="1:7" x14ac:dyDescent="0.3">
      <c r="A33" t="s">
        <v>41</v>
      </c>
      <c r="B33" s="4">
        <v>44744</v>
      </c>
    </row>
    <row r="34" spans="1:7" x14ac:dyDescent="0.3">
      <c r="A34" s="2" t="s">
        <v>2</v>
      </c>
      <c r="B34" s="2">
        <v>1</v>
      </c>
      <c r="C34" s="2" t="s">
        <v>3</v>
      </c>
      <c r="D34" s="2">
        <v>1</v>
      </c>
      <c r="E34" s="2" t="s">
        <v>1</v>
      </c>
      <c r="F34" s="2">
        <v>0</v>
      </c>
      <c r="G34" t="s">
        <v>18</v>
      </c>
    </row>
    <row r="35" spans="1:7" x14ac:dyDescent="0.3">
      <c r="A35" s="2" t="s">
        <v>4</v>
      </c>
      <c r="B35" s="2">
        <v>1</v>
      </c>
      <c r="C35" s="2" t="s">
        <v>5</v>
      </c>
      <c r="D35" s="2">
        <v>2</v>
      </c>
      <c r="E35" s="2" t="s">
        <v>6</v>
      </c>
      <c r="F35" s="2">
        <v>0</v>
      </c>
    </row>
    <row r="36" spans="1:7" x14ac:dyDescent="0.3">
      <c r="A36" s="2" t="s">
        <v>8</v>
      </c>
      <c r="B36" s="2">
        <v>1</v>
      </c>
      <c r="C36" s="2" t="s">
        <v>7</v>
      </c>
      <c r="D36" s="2">
        <v>1</v>
      </c>
      <c r="E36" s="2" t="s">
        <v>9</v>
      </c>
      <c r="F36" s="2">
        <v>0</v>
      </c>
    </row>
    <row r="37" spans="1:7" x14ac:dyDescent="0.3">
      <c r="A37" s="2" t="s">
        <v>10</v>
      </c>
      <c r="B37" s="2">
        <v>0</v>
      </c>
      <c r="C37" s="2" t="s">
        <v>11</v>
      </c>
      <c r="D37" s="2">
        <v>1</v>
      </c>
      <c r="E37" s="2" t="s">
        <v>12</v>
      </c>
      <c r="F37" s="2">
        <v>0</v>
      </c>
    </row>
    <row r="38" spans="1:7" x14ac:dyDescent="0.3">
      <c r="A38" s="3"/>
      <c r="C38" s="3"/>
      <c r="E38" s="3"/>
    </row>
    <row r="39" spans="1:7" x14ac:dyDescent="0.3">
      <c r="A39" t="s">
        <v>42</v>
      </c>
      <c r="B39" s="4">
        <v>44751</v>
      </c>
    </row>
    <row r="40" spans="1:7" x14ac:dyDescent="0.3">
      <c r="A40" s="7" t="s">
        <v>2</v>
      </c>
      <c r="B40" s="7">
        <v>1</v>
      </c>
      <c r="C40" s="7" t="s">
        <v>3</v>
      </c>
      <c r="D40" s="7">
        <v>0</v>
      </c>
      <c r="E40" s="7" t="s">
        <v>1</v>
      </c>
      <c r="F40" s="7">
        <v>3</v>
      </c>
      <c r="G40" t="s">
        <v>18</v>
      </c>
    </row>
    <row r="41" spans="1:7" x14ac:dyDescent="0.3">
      <c r="A41" s="7" t="s">
        <v>4</v>
      </c>
      <c r="B41" s="7">
        <v>2.5</v>
      </c>
      <c r="C41" s="7" t="s">
        <v>5</v>
      </c>
      <c r="D41" s="7">
        <v>4</v>
      </c>
      <c r="E41" s="7" t="s">
        <v>6</v>
      </c>
      <c r="F41" s="7">
        <v>1</v>
      </c>
    </row>
    <row r="42" spans="1:7" x14ac:dyDescent="0.3">
      <c r="A42" s="7" t="s">
        <v>8</v>
      </c>
      <c r="B42" s="7">
        <v>2.5</v>
      </c>
      <c r="C42" s="7" t="s">
        <v>7</v>
      </c>
      <c r="D42" s="7">
        <v>1</v>
      </c>
      <c r="E42" s="7" t="s">
        <v>9</v>
      </c>
      <c r="F42" s="7">
        <v>0</v>
      </c>
    </row>
    <row r="43" spans="1:7" x14ac:dyDescent="0.3">
      <c r="A43" s="7" t="s">
        <v>10</v>
      </c>
      <c r="B43" s="7">
        <v>2</v>
      </c>
      <c r="C43" s="7" t="s">
        <v>11</v>
      </c>
      <c r="D43" s="7">
        <v>0</v>
      </c>
      <c r="E43" s="7" t="s">
        <v>12</v>
      </c>
      <c r="F43" s="7">
        <v>2</v>
      </c>
    </row>
    <row r="44" spans="1:7" x14ac:dyDescent="0.3">
      <c r="A44" s="3"/>
      <c r="C44" s="3"/>
      <c r="E44" s="3"/>
    </row>
    <row r="45" spans="1:7" x14ac:dyDescent="0.3">
      <c r="A45" t="s">
        <v>43</v>
      </c>
      <c r="B45" s="4">
        <v>44758</v>
      </c>
    </row>
    <row r="46" spans="1:7" x14ac:dyDescent="0.3">
      <c r="A46" s="2" t="s">
        <v>2</v>
      </c>
      <c r="B46" s="2">
        <v>1</v>
      </c>
      <c r="C46" s="2" t="s">
        <v>3</v>
      </c>
      <c r="D46" s="2">
        <v>0</v>
      </c>
      <c r="E46" s="2" t="s">
        <v>1</v>
      </c>
      <c r="F46" s="2">
        <v>4</v>
      </c>
      <c r="G46" t="s">
        <v>18</v>
      </c>
    </row>
    <row r="47" spans="1:7" x14ac:dyDescent="0.3">
      <c r="A47" s="2" t="s">
        <v>4</v>
      </c>
      <c r="B47" s="2">
        <v>1</v>
      </c>
      <c r="C47" s="2" t="s">
        <v>5</v>
      </c>
      <c r="D47" s="2">
        <v>1</v>
      </c>
      <c r="E47" s="2" t="s">
        <v>6</v>
      </c>
      <c r="F47" s="2">
        <v>1</v>
      </c>
    </row>
    <row r="48" spans="1:7" x14ac:dyDescent="0.3">
      <c r="A48" s="2" t="s">
        <v>8</v>
      </c>
      <c r="B48" s="2">
        <v>1.5</v>
      </c>
      <c r="C48" s="2" t="s">
        <v>7</v>
      </c>
      <c r="D48" s="2">
        <v>0</v>
      </c>
      <c r="E48" s="2" t="s">
        <v>9</v>
      </c>
      <c r="F48" s="2">
        <v>1.5</v>
      </c>
    </row>
    <row r="49" spans="1:6" x14ac:dyDescent="0.3">
      <c r="A49" s="2" t="s">
        <v>10</v>
      </c>
      <c r="B49" s="2">
        <v>2</v>
      </c>
      <c r="C49" s="2" t="s">
        <v>11</v>
      </c>
      <c r="D49" s="2">
        <v>0</v>
      </c>
      <c r="E49" s="2" t="s">
        <v>12</v>
      </c>
      <c r="F49" s="2">
        <v>1</v>
      </c>
    </row>
    <row r="50" spans="1:6" x14ac:dyDescent="0.3">
      <c r="A50" s="3"/>
      <c r="C50" s="3"/>
      <c r="E50" s="3"/>
    </row>
    <row r="51" spans="1:6" x14ac:dyDescent="0.3">
      <c r="A51" t="s">
        <v>44</v>
      </c>
      <c r="B51" s="4">
        <v>44765</v>
      </c>
    </row>
    <row r="52" spans="1:6" x14ac:dyDescent="0.3">
      <c r="A52" s="2" t="s">
        <v>2</v>
      </c>
      <c r="B52" s="2">
        <v>0</v>
      </c>
      <c r="C52" s="2" t="s">
        <v>3</v>
      </c>
      <c r="D52" s="2">
        <v>0</v>
      </c>
      <c r="E52" s="2" t="s">
        <v>1</v>
      </c>
      <c r="F52" s="2">
        <v>4</v>
      </c>
    </row>
    <row r="53" spans="1:6" x14ac:dyDescent="0.3">
      <c r="A53" s="2" t="s">
        <v>4</v>
      </c>
      <c r="B53" s="2">
        <v>2</v>
      </c>
      <c r="C53" s="2" t="s">
        <v>5</v>
      </c>
      <c r="D53" s="2">
        <v>2</v>
      </c>
      <c r="E53" s="2" t="s">
        <v>6</v>
      </c>
      <c r="F53" s="2">
        <v>1</v>
      </c>
    </row>
    <row r="54" spans="1:6" x14ac:dyDescent="0.3">
      <c r="A54" s="2" t="s">
        <v>8</v>
      </c>
      <c r="B54" s="2">
        <v>2.5</v>
      </c>
      <c r="C54" s="2" t="s">
        <v>7</v>
      </c>
      <c r="D54" s="2">
        <v>2</v>
      </c>
      <c r="E54" s="2" t="s">
        <v>9</v>
      </c>
      <c r="F54" s="2">
        <v>2.5</v>
      </c>
    </row>
    <row r="55" spans="1:6" x14ac:dyDescent="0.3">
      <c r="A55" s="2" t="s">
        <v>10</v>
      </c>
      <c r="B55" s="2">
        <v>3</v>
      </c>
      <c r="C55" s="2" t="s">
        <v>11</v>
      </c>
      <c r="D55" s="2">
        <v>4</v>
      </c>
      <c r="E55" s="2" t="s">
        <v>12</v>
      </c>
      <c r="F55" s="2">
        <v>1</v>
      </c>
    </row>
    <row r="57" spans="1:6" x14ac:dyDescent="0.3">
      <c r="A57" t="s">
        <v>45</v>
      </c>
      <c r="B57" s="4">
        <v>44772</v>
      </c>
    </row>
    <row r="58" spans="1:6" x14ac:dyDescent="0.3">
      <c r="A58" s="2" t="s">
        <v>2</v>
      </c>
      <c r="B58" s="2">
        <v>0</v>
      </c>
      <c r="C58" s="2" t="s">
        <v>3</v>
      </c>
      <c r="D58" s="2">
        <v>1</v>
      </c>
      <c r="E58" s="2" t="s">
        <v>1</v>
      </c>
      <c r="F58" s="2">
        <v>2</v>
      </c>
    </row>
    <row r="59" spans="1:6" x14ac:dyDescent="0.3">
      <c r="A59" s="2" t="s">
        <v>4</v>
      </c>
      <c r="B59" s="2">
        <v>1</v>
      </c>
      <c r="C59" s="2" t="s">
        <v>5</v>
      </c>
      <c r="D59" s="2">
        <v>3</v>
      </c>
      <c r="E59" s="2" t="s">
        <v>6</v>
      </c>
      <c r="F59" s="2">
        <v>1</v>
      </c>
    </row>
    <row r="60" spans="1:6" x14ac:dyDescent="0.3">
      <c r="A60" s="2" t="s">
        <v>8</v>
      </c>
      <c r="B60" s="2">
        <v>1</v>
      </c>
      <c r="C60" s="2" t="s">
        <v>7</v>
      </c>
      <c r="D60" s="2">
        <v>1</v>
      </c>
      <c r="E60" s="2" t="s">
        <v>9</v>
      </c>
      <c r="F60" s="2">
        <v>2.5</v>
      </c>
    </row>
    <row r="61" spans="1:6" x14ac:dyDescent="0.3">
      <c r="A61" s="2" t="s">
        <v>10</v>
      </c>
      <c r="B61" s="2">
        <v>3</v>
      </c>
      <c r="C61" s="2" t="s">
        <v>11</v>
      </c>
      <c r="D61" s="2">
        <v>3</v>
      </c>
      <c r="E61" s="2" t="s">
        <v>12</v>
      </c>
      <c r="F61" s="2">
        <v>2.5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13" zoomScale="92" zoomScaleNormal="92" workbookViewId="0">
      <selection activeCell="I12" sqref="I12"/>
    </sheetView>
  </sheetViews>
  <sheetFormatPr baseColWidth="10" defaultColWidth="11.75" defaultRowHeight="14" x14ac:dyDescent="0.3"/>
  <sheetData>
    <row r="1" spans="1:13" x14ac:dyDescent="0.3">
      <c r="A1" s="6" t="s">
        <v>71</v>
      </c>
    </row>
    <row r="3" spans="1:13" x14ac:dyDescent="0.3">
      <c r="A3" t="s">
        <v>36</v>
      </c>
      <c r="B3" s="4">
        <v>44740</v>
      </c>
    </row>
    <row r="4" spans="1:13" x14ac:dyDescent="0.3">
      <c r="A4" s="2" t="s">
        <v>2</v>
      </c>
      <c r="B4" s="2">
        <v>8.5</v>
      </c>
      <c r="C4" s="2" t="s">
        <v>3</v>
      </c>
      <c r="D4" s="2">
        <v>8</v>
      </c>
      <c r="E4" s="2" t="s">
        <v>1</v>
      </c>
      <c r="F4" s="2">
        <v>8</v>
      </c>
      <c r="G4" t="s">
        <v>20</v>
      </c>
    </row>
    <row r="5" spans="1:13" x14ac:dyDescent="0.3">
      <c r="A5" s="2" t="s">
        <v>4</v>
      </c>
      <c r="B5" s="2">
        <v>8</v>
      </c>
      <c r="C5" s="2" t="s">
        <v>5</v>
      </c>
      <c r="D5" s="2">
        <v>8</v>
      </c>
      <c r="E5" s="2" t="s">
        <v>6</v>
      </c>
      <c r="F5" s="2">
        <v>8</v>
      </c>
      <c r="G5" t="s">
        <v>17</v>
      </c>
    </row>
    <row r="6" spans="1:13" x14ac:dyDescent="0.3">
      <c r="A6" s="2" t="s">
        <v>8</v>
      </c>
      <c r="B6" s="2">
        <v>8.5</v>
      </c>
      <c r="C6" s="2" t="s">
        <v>7</v>
      </c>
      <c r="D6" s="2">
        <v>8</v>
      </c>
      <c r="E6" s="2" t="s">
        <v>9</v>
      </c>
      <c r="F6" s="2">
        <v>8</v>
      </c>
    </row>
    <row r="7" spans="1:13" x14ac:dyDescent="0.3">
      <c r="A7" s="2" t="s">
        <v>10</v>
      </c>
      <c r="B7" s="2">
        <v>8</v>
      </c>
      <c r="C7" s="2" t="s">
        <v>11</v>
      </c>
      <c r="D7" s="2">
        <v>8</v>
      </c>
      <c r="E7" s="2" t="s">
        <v>12</v>
      </c>
      <c r="F7" s="2">
        <v>7.5</v>
      </c>
    </row>
    <row r="8" spans="1:13" x14ac:dyDescent="0.3">
      <c r="J8" s="57" t="s">
        <v>70</v>
      </c>
      <c r="K8" s="2"/>
      <c r="L8" s="2"/>
      <c r="M8" s="2"/>
    </row>
    <row r="9" spans="1:13" x14ac:dyDescent="0.3">
      <c r="A9" t="s">
        <v>37</v>
      </c>
      <c r="B9" s="4">
        <v>44716</v>
      </c>
      <c r="J9" s="2" t="s">
        <v>22</v>
      </c>
      <c r="K9" s="2" t="s">
        <v>23</v>
      </c>
      <c r="L9" s="2" t="s">
        <v>24</v>
      </c>
      <c r="M9" s="2" t="s">
        <v>25</v>
      </c>
    </row>
    <row r="10" spans="1:13" x14ac:dyDescent="0.3">
      <c r="A10" s="2" t="s">
        <v>2</v>
      </c>
      <c r="B10" s="2">
        <v>8</v>
      </c>
      <c r="C10" s="2" t="s">
        <v>3</v>
      </c>
      <c r="D10" s="2">
        <v>8</v>
      </c>
      <c r="E10" s="2" t="s">
        <v>1</v>
      </c>
      <c r="F10" s="2">
        <v>8</v>
      </c>
      <c r="G10" t="s">
        <v>18</v>
      </c>
      <c r="J10" s="2" t="s">
        <v>26</v>
      </c>
      <c r="K10" s="2">
        <f>AVERAGE(F4,B5,D6,F6)</f>
        <v>8</v>
      </c>
      <c r="L10" s="2">
        <f>AVERAGE(D5,B7,B6,D7)</f>
        <v>8.125</v>
      </c>
      <c r="M10" s="2">
        <f>AVERAGE(F7,D4,F5,B4)</f>
        <v>8</v>
      </c>
    </row>
    <row r="11" spans="1:13" x14ac:dyDescent="0.3">
      <c r="A11" s="2" t="s">
        <v>4</v>
      </c>
      <c r="B11" s="2">
        <v>8</v>
      </c>
      <c r="C11" s="2" t="s">
        <v>5</v>
      </c>
      <c r="D11" s="2">
        <v>7.5</v>
      </c>
      <c r="E11" s="2" t="s">
        <v>6</v>
      </c>
      <c r="F11" s="2">
        <v>7.5</v>
      </c>
      <c r="J11" s="2" t="s">
        <v>27</v>
      </c>
      <c r="K11" s="2">
        <f>AVERAGE(F10,B11,D12,F12)</f>
        <v>8</v>
      </c>
      <c r="L11" s="2">
        <f>AVERAGE(D11,B13,B12,D13)</f>
        <v>8</v>
      </c>
      <c r="M11" s="2">
        <f>AVERAGE(F13,D10,F11,B10)</f>
        <v>7.75</v>
      </c>
    </row>
    <row r="12" spans="1:13" x14ac:dyDescent="0.3">
      <c r="A12" s="2" t="s">
        <v>8</v>
      </c>
      <c r="B12" s="2">
        <v>8.5</v>
      </c>
      <c r="C12" s="2" t="s">
        <v>7</v>
      </c>
      <c r="D12" s="2">
        <v>8</v>
      </c>
      <c r="E12" s="2" t="s">
        <v>9</v>
      </c>
      <c r="F12" s="2">
        <v>8</v>
      </c>
      <c r="J12" s="2" t="s">
        <v>28</v>
      </c>
      <c r="K12" s="2">
        <f>AVERAGE(F16,B17,D18,F18)</f>
        <v>7.875</v>
      </c>
      <c r="L12" s="2">
        <f>AVERAGE(D17,B19,B18,D19)</f>
        <v>8</v>
      </c>
      <c r="M12" s="2">
        <f>AVERAGE(F19,D16,F17,B16)</f>
        <v>7.875</v>
      </c>
    </row>
    <row r="13" spans="1:13" x14ac:dyDescent="0.3">
      <c r="A13" s="2" t="s">
        <v>10</v>
      </c>
      <c r="B13" s="2">
        <v>8</v>
      </c>
      <c r="C13" s="2" t="s">
        <v>11</v>
      </c>
      <c r="D13" s="2">
        <v>8</v>
      </c>
      <c r="E13" s="2" t="s">
        <v>12</v>
      </c>
      <c r="F13" s="2">
        <v>7.5</v>
      </c>
      <c r="J13" s="2" t="s">
        <v>29</v>
      </c>
      <c r="K13" s="2">
        <f>AVERAGE(F22,B23,D24,F24)</f>
        <v>8</v>
      </c>
      <c r="L13" s="2">
        <f>AVERAGE(D23,B25,B24,D25)</f>
        <v>7.875</v>
      </c>
      <c r="M13" s="2">
        <f>AVERAGE(F25,D22,F23,F24)</f>
        <v>7.5</v>
      </c>
    </row>
    <row r="14" spans="1:13" x14ac:dyDescent="0.3">
      <c r="A14" s="3"/>
      <c r="J14" s="2" t="s">
        <v>30</v>
      </c>
      <c r="K14" s="2">
        <f>AVERAGE(F28,B29,D30,F30)</f>
        <v>8</v>
      </c>
      <c r="L14" s="2">
        <f>AVERAGE(D29,B31,B30,D31)</f>
        <v>7.875</v>
      </c>
      <c r="M14" s="2">
        <f>AVERAGE(F31,D28,F29,B28)</f>
        <v>7.75</v>
      </c>
    </row>
    <row r="15" spans="1:13" x14ac:dyDescent="0.3">
      <c r="A15" t="s">
        <v>38</v>
      </c>
      <c r="B15" s="4">
        <v>44723</v>
      </c>
      <c r="J15" s="2" t="s">
        <v>31</v>
      </c>
      <c r="K15" s="2">
        <f>AVERAGE(F34,B35,D36,F36)</f>
        <v>8</v>
      </c>
      <c r="L15" s="2">
        <f>AVERAGE(D35,B37,B36,D37)</f>
        <v>7.75</v>
      </c>
      <c r="M15" s="2">
        <f>AVERAGE(F37,D34,F35,B34)</f>
        <v>8</v>
      </c>
    </row>
    <row r="16" spans="1:13" x14ac:dyDescent="0.3">
      <c r="A16" s="2" t="s">
        <v>2</v>
      </c>
      <c r="B16" s="2">
        <v>8</v>
      </c>
      <c r="C16" s="2" t="s">
        <v>3</v>
      </c>
      <c r="D16" s="2">
        <v>8</v>
      </c>
      <c r="E16" s="2" t="s">
        <v>1</v>
      </c>
      <c r="F16" s="2">
        <v>8</v>
      </c>
      <c r="G16" t="s">
        <v>18</v>
      </c>
      <c r="J16" s="2" t="s">
        <v>32</v>
      </c>
      <c r="K16" s="2">
        <f>AVERAGE(F40,B41,D42,F42)</f>
        <v>8</v>
      </c>
      <c r="L16" s="2">
        <f>AVERAGE(D41,B43,B42,D43)</f>
        <v>8</v>
      </c>
      <c r="M16" s="2">
        <f>AVERAGE(F43,D40,F41,B40)</f>
        <v>8.25</v>
      </c>
    </row>
    <row r="17" spans="1:13" x14ac:dyDescent="0.3">
      <c r="A17" s="2" t="s">
        <v>4</v>
      </c>
      <c r="B17" s="2">
        <v>7.5</v>
      </c>
      <c r="C17" s="2" t="s">
        <v>5</v>
      </c>
      <c r="D17" s="2">
        <v>7.5</v>
      </c>
      <c r="E17" s="2" t="s">
        <v>6</v>
      </c>
      <c r="F17" s="2">
        <v>7.5</v>
      </c>
      <c r="J17" s="2" t="s">
        <v>33</v>
      </c>
      <c r="K17" s="2">
        <f>AVERAGE(F46,B47,D48,F48)</f>
        <v>7.875</v>
      </c>
      <c r="L17" s="2">
        <f>AVERAGE(D47,B49,B48,D49)</f>
        <v>8</v>
      </c>
      <c r="M17" s="2">
        <f>AVERAGE(F49,D46,F47,B46)</f>
        <v>7.875</v>
      </c>
    </row>
    <row r="18" spans="1:13" x14ac:dyDescent="0.3">
      <c r="A18" s="2" t="s">
        <v>8</v>
      </c>
      <c r="B18" s="2">
        <v>8.5</v>
      </c>
      <c r="C18" s="2" t="s">
        <v>7</v>
      </c>
      <c r="D18" s="2">
        <v>8</v>
      </c>
      <c r="E18" s="2" t="s">
        <v>9</v>
      </c>
      <c r="F18" s="2">
        <v>8</v>
      </c>
      <c r="J18" s="2" t="s">
        <v>34</v>
      </c>
      <c r="K18" s="2">
        <f>AVERAGE(F52,B53,D54,F54)</f>
        <v>7.875</v>
      </c>
      <c r="L18" s="2">
        <f>AVERAGE(D53,B55,B54,D55)</f>
        <v>8.125</v>
      </c>
      <c r="M18" s="2">
        <f>AVERAGE(F55,D52,F53,B52)</f>
        <v>8.25</v>
      </c>
    </row>
    <row r="19" spans="1:13" x14ac:dyDescent="0.3">
      <c r="A19" s="2" t="s">
        <v>10</v>
      </c>
      <c r="B19" s="2">
        <v>8</v>
      </c>
      <c r="C19" s="2" t="s">
        <v>11</v>
      </c>
      <c r="D19" s="2">
        <v>8</v>
      </c>
      <c r="E19" s="2" t="s">
        <v>12</v>
      </c>
      <c r="F19" s="2">
        <v>8</v>
      </c>
      <c r="J19" s="2" t="s">
        <v>35</v>
      </c>
      <c r="K19" s="2">
        <f>AVERAGE(F58,B59,D60,F60)</f>
        <v>7.5</v>
      </c>
      <c r="L19" s="2">
        <f>AVERAGE(D59,B61,B60,D61)</f>
        <v>7.75</v>
      </c>
      <c r="M19" s="2">
        <f>AVERAGE(F61,D58,F59,B58)</f>
        <v>8.375</v>
      </c>
    </row>
    <row r="20" spans="1:13" x14ac:dyDescent="0.3">
      <c r="A20" s="3"/>
      <c r="J20" s="29" t="s">
        <v>51</v>
      </c>
      <c r="K20" s="30">
        <f>AVERAGE(K10:K19)</f>
        <v>7.9124999999999996</v>
      </c>
      <c r="L20" s="30">
        <f>AVERAGE(L10:L19)</f>
        <v>7.95</v>
      </c>
      <c r="M20" s="10">
        <f>AVERAGE(M10:M19)</f>
        <v>7.9625000000000004</v>
      </c>
    </row>
    <row r="21" spans="1:13" x14ac:dyDescent="0.3">
      <c r="A21" t="s">
        <v>39</v>
      </c>
      <c r="B21" s="4">
        <v>44730</v>
      </c>
      <c r="J21" s="11" t="s">
        <v>52</v>
      </c>
      <c r="K21" s="3">
        <f>SUM(K10:K19)</f>
        <v>79.125</v>
      </c>
      <c r="L21" s="3">
        <f t="shared" ref="L21:M21" si="0">SUM(L10:L19)</f>
        <v>79.5</v>
      </c>
      <c r="M21" s="3">
        <f t="shared" si="0"/>
        <v>79.625</v>
      </c>
    </row>
    <row r="22" spans="1:13" x14ac:dyDescent="0.3">
      <c r="A22" s="2" t="s">
        <v>2</v>
      </c>
      <c r="B22" s="2">
        <v>7.5</v>
      </c>
      <c r="C22" s="2" t="s">
        <v>3</v>
      </c>
      <c r="D22" s="2">
        <v>8</v>
      </c>
      <c r="E22" s="2" t="s">
        <v>1</v>
      </c>
      <c r="F22" s="2">
        <v>8</v>
      </c>
      <c r="G22" t="s">
        <v>18</v>
      </c>
      <c r="J22" s="13" t="s">
        <v>53</v>
      </c>
      <c r="K22" s="14">
        <f>STDEV(K10:K19)</f>
        <v>0.15645819462932156</v>
      </c>
      <c r="L22" s="14">
        <f t="shared" ref="L22:M22" si="1">STDEV(L10:L19)</f>
        <v>0.13437096247164251</v>
      </c>
      <c r="M22" s="14">
        <f t="shared" si="1"/>
        <v>0.27035213662513891</v>
      </c>
    </row>
    <row r="23" spans="1:13" x14ac:dyDescent="0.3">
      <c r="A23" s="2" t="s">
        <v>4</v>
      </c>
      <c r="B23" s="2">
        <v>8</v>
      </c>
      <c r="C23" s="2" t="s">
        <v>5</v>
      </c>
      <c r="D23" s="2">
        <v>8</v>
      </c>
      <c r="E23" s="2" t="s">
        <v>6</v>
      </c>
      <c r="F23" s="2">
        <v>7.5</v>
      </c>
    </row>
    <row r="24" spans="1:13" x14ac:dyDescent="0.3">
      <c r="A24" s="2" t="s">
        <v>8</v>
      </c>
      <c r="B24" s="2">
        <v>8</v>
      </c>
      <c r="C24" s="2" t="s">
        <v>7</v>
      </c>
      <c r="D24" s="2">
        <v>8.5</v>
      </c>
      <c r="E24" s="2" t="s">
        <v>9</v>
      </c>
      <c r="F24" s="2">
        <v>7.5</v>
      </c>
    </row>
    <row r="25" spans="1:13" x14ac:dyDescent="0.3">
      <c r="A25" s="2" t="s">
        <v>10</v>
      </c>
      <c r="B25" s="2">
        <v>7.5</v>
      </c>
      <c r="C25" s="2" t="s">
        <v>11</v>
      </c>
      <c r="D25" s="2">
        <v>8</v>
      </c>
      <c r="E25" s="2" t="s">
        <v>12</v>
      </c>
      <c r="F25" s="2">
        <v>7</v>
      </c>
    </row>
    <row r="26" spans="1:13" x14ac:dyDescent="0.3">
      <c r="A26" s="3"/>
    </row>
    <row r="27" spans="1:13" x14ac:dyDescent="0.3">
      <c r="A27" t="s">
        <v>40</v>
      </c>
      <c r="B27" s="4">
        <v>44706</v>
      </c>
    </row>
    <row r="28" spans="1:13" x14ac:dyDescent="0.3">
      <c r="A28" s="2" t="s">
        <v>2</v>
      </c>
      <c r="B28" s="2">
        <v>8</v>
      </c>
      <c r="C28" s="2" t="s">
        <v>3</v>
      </c>
      <c r="D28" s="2">
        <v>8</v>
      </c>
      <c r="E28" s="2" t="s">
        <v>1</v>
      </c>
      <c r="F28" s="2">
        <v>8</v>
      </c>
      <c r="G28" t="s">
        <v>18</v>
      </c>
    </row>
    <row r="29" spans="1:13" x14ac:dyDescent="0.3">
      <c r="A29" s="2" t="s">
        <v>4</v>
      </c>
      <c r="B29" s="2">
        <v>8</v>
      </c>
      <c r="C29" s="2" t="s">
        <v>5</v>
      </c>
      <c r="D29" s="2">
        <v>8.5</v>
      </c>
      <c r="E29" s="2" t="s">
        <v>6</v>
      </c>
      <c r="F29" s="2">
        <v>7.5</v>
      </c>
    </row>
    <row r="30" spans="1:13" x14ac:dyDescent="0.3">
      <c r="A30" s="2" t="s">
        <v>8</v>
      </c>
      <c r="B30" s="2">
        <v>7.5</v>
      </c>
      <c r="C30" s="2" t="s">
        <v>7</v>
      </c>
      <c r="D30" s="2">
        <v>8</v>
      </c>
      <c r="E30" s="2" t="s">
        <v>9</v>
      </c>
      <c r="F30" s="2">
        <v>8</v>
      </c>
    </row>
    <row r="31" spans="1:13" x14ac:dyDescent="0.3">
      <c r="A31" s="2" t="s">
        <v>10</v>
      </c>
      <c r="B31" s="2">
        <v>7.5</v>
      </c>
      <c r="C31" s="2" t="s">
        <v>11</v>
      </c>
      <c r="D31" s="2">
        <v>8</v>
      </c>
      <c r="E31" s="2" t="s">
        <v>12</v>
      </c>
      <c r="F31" s="2">
        <v>7.5</v>
      </c>
    </row>
    <row r="32" spans="1:13" x14ac:dyDescent="0.3">
      <c r="A32" s="3"/>
    </row>
    <row r="33" spans="1:7" x14ac:dyDescent="0.3">
      <c r="A33" t="s">
        <v>41</v>
      </c>
      <c r="B33" s="4">
        <v>44744</v>
      </c>
    </row>
    <row r="34" spans="1:7" x14ac:dyDescent="0.3">
      <c r="A34" s="2" t="s">
        <v>2</v>
      </c>
      <c r="B34" s="2">
        <v>8.5</v>
      </c>
      <c r="C34" s="2" t="s">
        <v>3</v>
      </c>
      <c r="D34" s="2">
        <v>8.5</v>
      </c>
      <c r="E34" s="2" t="s">
        <v>1</v>
      </c>
      <c r="F34" s="2">
        <v>8</v>
      </c>
      <c r="G34" t="s">
        <v>18</v>
      </c>
    </row>
    <row r="35" spans="1:7" x14ac:dyDescent="0.3">
      <c r="A35" s="2" t="s">
        <v>4</v>
      </c>
      <c r="B35" s="2">
        <v>8</v>
      </c>
      <c r="C35" s="2" t="s">
        <v>5</v>
      </c>
      <c r="D35" s="2">
        <v>8</v>
      </c>
      <c r="E35" s="2" t="s">
        <v>6</v>
      </c>
      <c r="F35" s="2">
        <v>7.5</v>
      </c>
    </row>
    <row r="36" spans="1:7" x14ac:dyDescent="0.3">
      <c r="A36" s="2" t="s">
        <v>8</v>
      </c>
      <c r="B36" s="2">
        <v>7.5</v>
      </c>
      <c r="C36" s="2" t="s">
        <v>7</v>
      </c>
      <c r="D36" s="2">
        <v>8</v>
      </c>
      <c r="E36" s="2" t="s">
        <v>9</v>
      </c>
      <c r="F36" s="2">
        <v>8</v>
      </c>
    </row>
    <row r="37" spans="1:7" x14ac:dyDescent="0.3">
      <c r="A37" s="2" t="s">
        <v>10</v>
      </c>
      <c r="B37" s="2">
        <v>7.5</v>
      </c>
      <c r="C37" s="2" t="s">
        <v>11</v>
      </c>
      <c r="D37" s="2">
        <v>8</v>
      </c>
      <c r="E37" s="2" t="s">
        <v>12</v>
      </c>
      <c r="F37" s="2">
        <v>7.5</v>
      </c>
    </row>
    <row r="38" spans="1:7" x14ac:dyDescent="0.3">
      <c r="A38" s="3"/>
    </row>
    <row r="39" spans="1:7" x14ac:dyDescent="0.3">
      <c r="A39" t="s">
        <v>42</v>
      </c>
      <c r="B39" s="4">
        <v>44751</v>
      </c>
    </row>
    <row r="40" spans="1:7" x14ac:dyDescent="0.3">
      <c r="A40" s="2" t="s">
        <v>2</v>
      </c>
      <c r="B40" s="2">
        <v>8.5</v>
      </c>
      <c r="C40" s="2" t="s">
        <v>3</v>
      </c>
      <c r="D40" s="2">
        <v>8.5</v>
      </c>
      <c r="E40" s="2" t="s">
        <v>1</v>
      </c>
      <c r="F40" s="2">
        <v>8</v>
      </c>
      <c r="G40" t="s">
        <v>18</v>
      </c>
    </row>
    <row r="41" spans="1:7" x14ac:dyDescent="0.3">
      <c r="A41" s="2" t="s">
        <v>4</v>
      </c>
      <c r="B41" s="2">
        <v>8</v>
      </c>
      <c r="C41" s="2" t="s">
        <v>5</v>
      </c>
      <c r="D41" s="2">
        <v>8</v>
      </c>
      <c r="E41" s="2" t="s">
        <v>6</v>
      </c>
      <c r="F41" s="2">
        <v>8</v>
      </c>
    </row>
    <row r="42" spans="1:7" x14ac:dyDescent="0.3">
      <c r="A42" s="2" t="s">
        <v>8</v>
      </c>
      <c r="B42" s="2">
        <v>8</v>
      </c>
      <c r="C42" s="2" t="s">
        <v>7</v>
      </c>
      <c r="D42" s="2">
        <v>8</v>
      </c>
      <c r="E42" s="2" t="s">
        <v>9</v>
      </c>
      <c r="F42" s="2">
        <v>8</v>
      </c>
    </row>
    <row r="43" spans="1:7" x14ac:dyDescent="0.3">
      <c r="A43" s="2" t="s">
        <v>10</v>
      </c>
      <c r="B43" s="2">
        <v>8</v>
      </c>
      <c r="C43" s="2" t="s">
        <v>11</v>
      </c>
      <c r="D43" s="2">
        <v>8</v>
      </c>
      <c r="E43" s="2" t="s">
        <v>12</v>
      </c>
      <c r="F43" s="2">
        <v>8</v>
      </c>
    </row>
    <row r="44" spans="1:7" x14ac:dyDescent="0.3">
      <c r="A44" s="3"/>
    </row>
    <row r="45" spans="1:7" x14ac:dyDescent="0.3">
      <c r="A45" t="s">
        <v>43</v>
      </c>
      <c r="B45" s="4">
        <v>44758</v>
      </c>
    </row>
    <row r="46" spans="1:7" x14ac:dyDescent="0.3">
      <c r="A46" s="2" t="s">
        <v>2</v>
      </c>
      <c r="B46" s="2">
        <v>8</v>
      </c>
      <c r="C46" s="2" t="s">
        <v>3</v>
      </c>
      <c r="D46" s="2">
        <v>8.5</v>
      </c>
      <c r="E46" s="2" t="s">
        <v>1</v>
      </c>
      <c r="F46" s="2">
        <v>7.5</v>
      </c>
      <c r="G46" t="s">
        <v>18</v>
      </c>
    </row>
    <row r="47" spans="1:7" x14ac:dyDescent="0.3">
      <c r="A47" s="2" t="s">
        <v>4</v>
      </c>
      <c r="B47" s="2">
        <v>8</v>
      </c>
      <c r="C47" s="2" t="s">
        <v>5</v>
      </c>
      <c r="D47" s="2">
        <v>7.5</v>
      </c>
      <c r="E47" s="2" t="s">
        <v>6</v>
      </c>
      <c r="F47" s="2">
        <v>7.5</v>
      </c>
    </row>
    <row r="48" spans="1:7" x14ac:dyDescent="0.3">
      <c r="A48" s="2" t="s">
        <v>8</v>
      </c>
      <c r="B48" s="2">
        <v>8.5</v>
      </c>
      <c r="C48" s="2" t="s">
        <v>7</v>
      </c>
      <c r="D48" s="2">
        <v>8</v>
      </c>
      <c r="E48" s="2" t="s">
        <v>9</v>
      </c>
      <c r="F48" s="2">
        <v>8</v>
      </c>
    </row>
    <row r="49" spans="1:6" x14ac:dyDescent="0.3">
      <c r="A49" s="2" t="s">
        <v>10</v>
      </c>
      <c r="B49" s="2">
        <v>8</v>
      </c>
      <c r="C49" s="2" t="s">
        <v>11</v>
      </c>
      <c r="D49" s="2">
        <v>8</v>
      </c>
      <c r="E49" s="2" t="s">
        <v>12</v>
      </c>
      <c r="F49" s="2">
        <v>7.5</v>
      </c>
    </row>
    <row r="50" spans="1:6" x14ac:dyDescent="0.3">
      <c r="A50" s="3"/>
    </row>
    <row r="51" spans="1:6" x14ac:dyDescent="0.3">
      <c r="A51" t="s">
        <v>44</v>
      </c>
      <c r="B51" s="4">
        <v>44765</v>
      </c>
    </row>
    <row r="52" spans="1:6" x14ac:dyDescent="0.3">
      <c r="A52" s="2" t="s">
        <v>2</v>
      </c>
      <c r="B52" s="2">
        <v>8</v>
      </c>
      <c r="C52" s="2" t="s">
        <v>3</v>
      </c>
      <c r="D52" s="2">
        <v>8.5</v>
      </c>
      <c r="E52" s="2" t="s">
        <v>1</v>
      </c>
      <c r="F52" s="2">
        <v>7</v>
      </c>
    </row>
    <row r="53" spans="1:6" x14ac:dyDescent="0.3">
      <c r="A53" s="2" t="s">
        <v>4</v>
      </c>
      <c r="B53" s="2">
        <v>8.5</v>
      </c>
      <c r="C53" s="2" t="s">
        <v>5</v>
      </c>
      <c r="D53" s="2">
        <v>8</v>
      </c>
      <c r="E53" s="2" t="s">
        <v>6</v>
      </c>
      <c r="F53" s="2">
        <v>8.5</v>
      </c>
    </row>
    <row r="54" spans="1:6" x14ac:dyDescent="0.3">
      <c r="A54" s="2" t="s">
        <v>8</v>
      </c>
      <c r="B54" s="2">
        <v>8</v>
      </c>
      <c r="C54" s="2" t="s">
        <v>7</v>
      </c>
      <c r="D54" s="2">
        <v>8</v>
      </c>
      <c r="E54" s="2" t="s">
        <v>9</v>
      </c>
      <c r="F54" s="2">
        <v>8</v>
      </c>
    </row>
    <row r="55" spans="1:6" x14ac:dyDescent="0.3">
      <c r="A55" s="2" t="s">
        <v>10</v>
      </c>
      <c r="B55" s="2">
        <v>8</v>
      </c>
      <c r="C55" s="2" t="s">
        <v>11</v>
      </c>
      <c r="D55" s="2">
        <v>8.5</v>
      </c>
      <c r="E55" s="2" t="s">
        <v>12</v>
      </c>
      <c r="F55" s="2">
        <v>8</v>
      </c>
    </row>
    <row r="56" spans="1:6" x14ac:dyDescent="0.3">
      <c r="A56" s="3"/>
    </row>
    <row r="57" spans="1:6" x14ac:dyDescent="0.3">
      <c r="A57" t="s">
        <v>45</v>
      </c>
      <c r="B57" s="4">
        <v>44772</v>
      </c>
    </row>
    <row r="58" spans="1:6" x14ac:dyDescent="0.3">
      <c r="A58" s="2" t="s">
        <v>2</v>
      </c>
      <c r="B58" s="2">
        <v>8.5</v>
      </c>
      <c r="C58" s="2" t="s">
        <v>3</v>
      </c>
      <c r="D58" s="2">
        <v>8.5</v>
      </c>
      <c r="E58" s="2" t="s">
        <v>1</v>
      </c>
      <c r="F58" s="2">
        <v>7</v>
      </c>
    </row>
    <row r="59" spans="1:6" x14ac:dyDescent="0.3">
      <c r="A59" s="2" t="s">
        <v>4</v>
      </c>
      <c r="B59" s="2">
        <v>8.5</v>
      </c>
      <c r="C59" s="2" t="s">
        <v>5</v>
      </c>
      <c r="D59" s="2">
        <v>8</v>
      </c>
      <c r="E59" s="2" t="s">
        <v>6</v>
      </c>
      <c r="F59" s="2">
        <v>8.5</v>
      </c>
    </row>
    <row r="60" spans="1:6" x14ac:dyDescent="0.3">
      <c r="A60" s="2" t="s">
        <v>8</v>
      </c>
      <c r="B60" s="2">
        <v>8</v>
      </c>
      <c r="C60" s="2" t="s">
        <v>7</v>
      </c>
      <c r="D60" s="2">
        <v>7.5</v>
      </c>
      <c r="E60" s="2" t="s">
        <v>9</v>
      </c>
      <c r="F60" s="2">
        <v>7</v>
      </c>
    </row>
    <row r="61" spans="1:6" x14ac:dyDescent="0.3">
      <c r="A61" s="2" t="s">
        <v>10</v>
      </c>
      <c r="B61" s="2">
        <v>7.5</v>
      </c>
      <c r="C61" s="2" t="s">
        <v>11</v>
      </c>
      <c r="D61" s="2">
        <v>7.5</v>
      </c>
      <c r="E61" s="2" t="s">
        <v>12</v>
      </c>
      <c r="F61" s="2">
        <v>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10" workbookViewId="0">
      <selection activeCell="I9" sqref="I9"/>
    </sheetView>
  </sheetViews>
  <sheetFormatPr baseColWidth="10" defaultColWidth="11.75" defaultRowHeight="14" x14ac:dyDescent="0.3"/>
  <cols>
    <col min="3" max="3" width="8.33203125" customWidth="1"/>
    <col min="4" max="4" width="8.9140625" customWidth="1"/>
    <col min="5" max="6" width="8.25" customWidth="1"/>
  </cols>
  <sheetData>
    <row r="1" spans="1:13" x14ac:dyDescent="0.3">
      <c r="A1" s="6" t="s">
        <v>72</v>
      </c>
    </row>
    <row r="2" spans="1:13" x14ac:dyDescent="0.3">
      <c r="A2" s="6"/>
    </row>
    <row r="3" spans="1:13" x14ac:dyDescent="0.3">
      <c r="A3" t="s">
        <v>36</v>
      </c>
      <c r="B3" s="4">
        <v>44709</v>
      </c>
    </row>
    <row r="4" spans="1:13" x14ac:dyDescent="0.3">
      <c r="A4" s="2" t="s">
        <v>2</v>
      </c>
      <c r="B4" s="2">
        <v>8.5</v>
      </c>
      <c r="C4" s="2" t="s">
        <v>3</v>
      </c>
      <c r="D4" s="2">
        <v>7.5</v>
      </c>
      <c r="E4" s="2" t="s">
        <v>1</v>
      </c>
      <c r="F4" s="2">
        <v>8</v>
      </c>
      <c r="G4" t="s">
        <v>20</v>
      </c>
    </row>
    <row r="5" spans="1:13" x14ac:dyDescent="0.3">
      <c r="A5" s="2" t="s">
        <v>4</v>
      </c>
      <c r="B5" s="2">
        <v>8</v>
      </c>
      <c r="C5" s="2" t="s">
        <v>5</v>
      </c>
      <c r="D5" s="2">
        <v>8</v>
      </c>
      <c r="E5" s="2" t="s">
        <v>6</v>
      </c>
      <c r="F5" s="2">
        <v>8</v>
      </c>
      <c r="G5" t="s">
        <v>17</v>
      </c>
      <c r="J5" s="57" t="s">
        <v>70</v>
      </c>
      <c r="K5" s="2"/>
      <c r="L5" s="2"/>
      <c r="M5" s="2"/>
    </row>
    <row r="6" spans="1:13" x14ac:dyDescent="0.3">
      <c r="A6" s="2" t="s">
        <v>8</v>
      </c>
      <c r="B6" s="2">
        <v>8.5</v>
      </c>
      <c r="C6" s="2" t="s">
        <v>7</v>
      </c>
      <c r="D6" s="2">
        <v>8</v>
      </c>
      <c r="E6" s="2" t="s">
        <v>9</v>
      </c>
      <c r="F6" s="2">
        <v>8.5</v>
      </c>
      <c r="J6" s="2" t="s">
        <v>22</v>
      </c>
      <c r="K6" s="2" t="s">
        <v>23</v>
      </c>
      <c r="L6" s="2" t="s">
        <v>24</v>
      </c>
      <c r="M6" s="2" t="s">
        <v>25</v>
      </c>
    </row>
    <row r="7" spans="1:13" x14ac:dyDescent="0.3">
      <c r="A7" s="2" t="s">
        <v>10</v>
      </c>
      <c r="B7" s="2">
        <v>8</v>
      </c>
      <c r="C7" s="2" t="s">
        <v>11</v>
      </c>
      <c r="D7" s="2">
        <v>8</v>
      </c>
      <c r="E7" s="2" t="s">
        <v>12</v>
      </c>
      <c r="F7" s="2">
        <v>7.5</v>
      </c>
      <c r="J7" s="2" t="s">
        <v>26</v>
      </c>
      <c r="K7" s="2">
        <f>AVERAGE(F4,B5,D6,F6)</f>
        <v>8.125</v>
      </c>
      <c r="L7" s="2">
        <f>AVERAGE(D5,B7,B6,D7)</f>
        <v>8.125</v>
      </c>
      <c r="M7" s="2">
        <f>AVERAGE(F7,D4,F5,B4)</f>
        <v>7.875</v>
      </c>
    </row>
    <row r="8" spans="1:13" x14ac:dyDescent="0.3">
      <c r="J8" s="2" t="s">
        <v>27</v>
      </c>
      <c r="K8" s="2">
        <f>AVERAGE(F10,B11,D12,F12)</f>
        <v>8</v>
      </c>
      <c r="L8" s="2">
        <f>AVERAGE(D11,B13,B12,D13)</f>
        <v>8</v>
      </c>
      <c r="M8" s="2">
        <f>AVERAGE(F13,D10,F11,B10)</f>
        <v>7.875</v>
      </c>
    </row>
    <row r="9" spans="1:13" x14ac:dyDescent="0.3">
      <c r="A9" t="s">
        <v>37</v>
      </c>
      <c r="B9" s="4">
        <v>44716</v>
      </c>
      <c r="J9" s="2" t="s">
        <v>28</v>
      </c>
      <c r="K9" s="2">
        <f>AVERAGE(F16,B17,D18,F18)</f>
        <v>8.125</v>
      </c>
      <c r="L9" s="2">
        <f>AVERAGE(D17,B19,B18,D19)</f>
        <v>8.125</v>
      </c>
      <c r="M9" s="2">
        <f>AVERAGE(F19,D16,F17,B16)</f>
        <v>8.25</v>
      </c>
    </row>
    <row r="10" spans="1:13" x14ac:dyDescent="0.3">
      <c r="A10" s="2" t="s">
        <v>2</v>
      </c>
      <c r="B10" s="2">
        <v>8</v>
      </c>
      <c r="C10" s="2" t="s">
        <v>3</v>
      </c>
      <c r="D10" s="2">
        <v>8</v>
      </c>
      <c r="E10" s="2" t="s">
        <v>1</v>
      </c>
      <c r="F10" s="2">
        <v>8</v>
      </c>
      <c r="G10" t="s">
        <v>18</v>
      </c>
      <c r="J10" s="2" t="s">
        <v>29</v>
      </c>
      <c r="K10" s="2">
        <f>AVERAGE(F22,B23,D24,F24)</f>
        <v>8.125</v>
      </c>
      <c r="L10" s="2">
        <f>AVERAGE(D23,B25,B24,D25)</f>
        <v>7.875</v>
      </c>
      <c r="M10" s="2">
        <f>AVERAGE(F25,D22,F23,B22)</f>
        <v>7.875</v>
      </c>
    </row>
    <row r="11" spans="1:13" x14ac:dyDescent="0.3">
      <c r="A11" s="2" t="s">
        <v>4</v>
      </c>
      <c r="B11" s="2">
        <v>8</v>
      </c>
      <c r="C11" s="2" t="s">
        <v>5</v>
      </c>
      <c r="D11" s="2">
        <v>7.5</v>
      </c>
      <c r="E11" s="2" t="s">
        <v>6</v>
      </c>
      <c r="F11" s="2">
        <v>8</v>
      </c>
      <c r="J11" s="2" t="s">
        <v>30</v>
      </c>
      <c r="K11" s="2">
        <f>AVERAGE(F28,B29,D30,F30)</f>
        <v>8</v>
      </c>
      <c r="L11" s="2">
        <f>AVERAGE(D29,B31,B30,D31)</f>
        <v>7.875</v>
      </c>
      <c r="M11" s="2">
        <f>AVERAGE(F31,D28,F29,B28)</f>
        <v>7.875</v>
      </c>
    </row>
    <row r="12" spans="1:13" x14ac:dyDescent="0.3">
      <c r="A12" s="2" t="s">
        <v>8</v>
      </c>
      <c r="B12" s="2">
        <v>8.5</v>
      </c>
      <c r="C12" s="2" t="s">
        <v>7</v>
      </c>
      <c r="D12" s="2">
        <v>8</v>
      </c>
      <c r="E12" s="2" t="s">
        <v>9</v>
      </c>
      <c r="F12" s="2">
        <v>8</v>
      </c>
      <c r="J12" s="2" t="s">
        <v>31</v>
      </c>
      <c r="K12" s="2">
        <f>AVERAGE(F40,B41,D42,F42)</f>
        <v>8</v>
      </c>
      <c r="L12" s="2">
        <f>AVERAGE(D35,B37,B36,D37)</f>
        <v>7.75</v>
      </c>
      <c r="M12" s="2">
        <f>AVERAGE(F37,D34,F35,B34)</f>
        <v>8.125</v>
      </c>
    </row>
    <row r="13" spans="1:13" x14ac:dyDescent="0.3">
      <c r="A13" s="2" t="s">
        <v>10</v>
      </c>
      <c r="B13" s="2">
        <v>8</v>
      </c>
      <c r="C13" s="2" t="s">
        <v>11</v>
      </c>
      <c r="D13" s="2">
        <v>8</v>
      </c>
      <c r="E13" s="2" t="s">
        <v>12</v>
      </c>
      <c r="F13" s="2">
        <v>7.5</v>
      </c>
      <c r="J13" s="2" t="s">
        <v>32</v>
      </c>
      <c r="K13" s="2">
        <f>AVERAGE(F40,B41,D42,F42)</f>
        <v>8</v>
      </c>
      <c r="L13" s="2">
        <f>AVERAGE(D41,B43,B42,D43)</f>
        <v>7.875</v>
      </c>
      <c r="M13" s="2">
        <f>AVERAGE(F43,D40,F41,B40)</f>
        <v>8.25</v>
      </c>
    </row>
    <row r="14" spans="1:13" x14ac:dyDescent="0.3">
      <c r="J14" s="2" t="s">
        <v>33</v>
      </c>
      <c r="K14" s="2">
        <f>AVERAGE(F46,B47,D48,F48)</f>
        <v>8</v>
      </c>
      <c r="L14" s="2">
        <f>AVERAGE(D47,B49,B48,D49)</f>
        <v>7.875</v>
      </c>
      <c r="M14" s="2">
        <f>AVERAGE(F49,D46,F47,B46)</f>
        <v>8</v>
      </c>
    </row>
    <row r="15" spans="1:13" x14ac:dyDescent="0.3">
      <c r="A15" t="s">
        <v>38</v>
      </c>
      <c r="B15" s="4">
        <v>44723</v>
      </c>
      <c r="J15" s="2" t="s">
        <v>34</v>
      </c>
      <c r="K15" s="2">
        <f>AVERAGE(F52,B53,D54,F54)</f>
        <v>8.125</v>
      </c>
      <c r="L15" s="2">
        <f>AVERAGE(D53,B55,B54,D55)</f>
        <v>8</v>
      </c>
      <c r="M15" s="2">
        <f>AVERAGE(F55,D52,F53,B52)</f>
        <v>8.25</v>
      </c>
    </row>
    <row r="16" spans="1:13" x14ac:dyDescent="0.3">
      <c r="A16" s="2" t="s">
        <v>2</v>
      </c>
      <c r="B16" s="2">
        <v>8.5</v>
      </c>
      <c r="C16" s="2" t="s">
        <v>3</v>
      </c>
      <c r="D16" s="2">
        <v>8</v>
      </c>
      <c r="E16" s="2" t="s">
        <v>1</v>
      </c>
      <c r="F16" s="2">
        <v>8.5</v>
      </c>
      <c r="G16" t="s">
        <v>18</v>
      </c>
      <c r="J16" s="2" t="s">
        <v>35</v>
      </c>
      <c r="K16" s="2">
        <f>AVERAGE(F58,B59,D60,F60)</f>
        <v>7.75</v>
      </c>
      <c r="L16" s="2">
        <f>AVERAGE(D59,B61,B60,D61)</f>
        <v>7.75</v>
      </c>
      <c r="M16" s="2">
        <f>AVERAGE(F61,D58,F59,B58)</f>
        <v>8.375</v>
      </c>
    </row>
    <row r="17" spans="1:13" x14ac:dyDescent="0.3">
      <c r="A17" s="2" t="s">
        <v>4</v>
      </c>
      <c r="B17" s="2">
        <v>7.5</v>
      </c>
      <c r="C17" s="2" t="s">
        <v>5</v>
      </c>
      <c r="D17" s="2">
        <v>8</v>
      </c>
      <c r="E17" s="2" t="s">
        <v>6</v>
      </c>
      <c r="F17" s="2">
        <v>8.5</v>
      </c>
      <c r="J17" s="58" t="s">
        <v>51</v>
      </c>
      <c r="K17" s="59">
        <f>AVERAGE(K7:K16)</f>
        <v>8.0250000000000004</v>
      </c>
      <c r="L17" s="59">
        <f>AVERAGE(L7:L16)</f>
        <v>7.9249999999999998</v>
      </c>
      <c r="M17" s="59">
        <f>AVERAGE(M7:M16)</f>
        <v>8.0749999999999993</v>
      </c>
    </row>
    <row r="18" spans="1:13" x14ac:dyDescent="0.3">
      <c r="A18" s="2" t="s">
        <v>8</v>
      </c>
      <c r="B18" s="2">
        <v>8.5</v>
      </c>
      <c r="C18" s="2" t="s">
        <v>7</v>
      </c>
      <c r="D18" s="2">
        <v>8</v>
      </c>
      <c r="E18" s="2" t="s">
        <v>9</v>
      </c>
      <c r="F18" s="2">
        <v>8.5</v>
      </c>
      <c r="J18" s="60" t="s">
        <v>52</v>
      </c>
      <c r="K18" s="61">
        <f>SUM(K7:K16)</f>
        <v>80.25</v>
      </c>
      <c r="L18" s="61">
        <f>SUM(L7:L16)</f>
        <v>79.25</v>
      </c>
      <c r="M18" s="61">
        <f>SUM(M7:M16)</f>
        <v>80.75</v>
      </c>
    </row>
    <row r="19" spans="1:13" x14ac:dyDescent="0.3">
      <c r="A19" s="2" t="s">
        <v>10</v>
      </c>
      <c r="B19" s="2">
        <v>8</v>
      </c>
      <c r="C19" s="2" t="s">
        <v>11</v>
      </c>
      <c r="D19" s="2">
        <v>8</v>
      </c>
      <c r="E19" s="2" t="s">
        <v>12</v>
      </c>
      <c r="F19" s="2">
        <v>8</v>
      </c>
      <c r="J19" s="62" t="s">
        <v>53</v>
      </c>
      <c r="K19" s="63">
        <f>STDEV(K7:K16)</f>
        <v>0.11486707293408518</v>
      </c>
      <c r="L19" s="63">
        <f>STDEV(L7:L16)</f>
        <v>0.13437096247164251</v>
      </c>
      <c r="M19" s="63">
        <f>STDEV(M7:M16)</f>
        <v>0.19720265943665385</v>
      </c>
    </row>
    <row r="21" spans="1:13" x14ac:dyDescent="0.3">
      <c r="A21" t="s">
        <v>39</v>
      </c>
      <c r="B21" s="4">
        <v>44730</v>
      </c>
    </row>
    <row r="22" spans="1:13" x14ac:dyDescent="0.3">
      <c r="A22" s="2" t="s">
        <v>2</v>
      </c>
      <c r="B22" s="2">
        <v>8</v>
      </c>
      <c r="C22" s="2" t="s">
        <v>3</v>
      </c>
      <c r="D22" s="2">
        <v>8.5</v>
      </c>
      <c r="E22" s="2" t="s">
        <v>1</v>
      </c>
      <c r="F22" s="2">
        <v>8.5</v>
      </c>
      <c r="G22" t="s">
        <v>18</v>
      </c>
    </row>
    <row r="23" spans="1:13" x14ac:dyDescent="0.3">
      <c r="A23" s="2" t="s">
        <v>4</v>
      </c>
      <c r="B23" s="2">
        <v>8</v>
      </c>
      <c r="C23" s="2" t="s">
        <v>5</v>
      </c>
      <c r="D23" s="2">
        <v>8</v>
      </c>
      <c r="E23" s="2" t="s">
        <v>6</v>
      </c>
      <c r="F23" s="2">
        <v>8</v>
      </c>
    </row>
    <row r="24" spans="1:13" x14ac:dyDescent="0.3">
      <c r="A24" s="2" t="s">
        <v>8</v>
      </c>
      <c r="B24" s="2">
        <v>8.5</v>
      </c>
      <c r="C24" s="2" t="s">
        <v>7</v>
      </c>
      <c r="D24" s="2">
        <v>8</v>
      </c>
      <c r="E24" s="2" t="s">
        <v>9</v>
      </c>
      <c r="F24" s="2">
        <v>8</v>
      </c>
    </row>
    <row r="25" spans="1:13" x14ac:dyDescent="0.3">
      <c r="A25" s="2" t="s">
        <v>10</v>
      </c>
      <c r="B25" s="2">
        <v>7.5</v>
      </c>
      <c r="C25" s="2" t="s">
        <v>11</v>
      </c>
      <c r="D25" s="2">
        <v>7.5</v>
      </c>
      <c r="E25" s="2" t="s">
        <v>12</v>
      </c>
      <c r="F25" s="2">
        <v>7</v>
      </c>
    </row>
    <row r="27" spans="1:13" x14ac:dyDescent="0.3">
      <c r="A27" t="s">
        <v>40</v>
      </c>
      <c r="B27" s="4">
        <v>44737</v>
      </c>
    </row>
    <row r="28" spans="1:13" x14ac:dyDescent="0.3">
      <c r="A28" s="2" t="s">
        <v>2</v>
      </c>
      <c r="B28" s="2">
        <v>8</v>
      </c>
      <c r="C28" s="2" t="s">
        <v>3</v>
      </c>
      <c r="D28" s="2">
        <v>8</v>
      </c>
      <c r="E28" s="2" t="s">
        <v>1</v>
      </c>
      <c r="F28" s="2">
        <v>8</v>
      </c>
      <c r="G28" t="s">
        <v>18</v>
      </c>
    </row>
    <row r="29" spans="1:13" x14ac:dyDescent="0.3">
      <c r="A29" s="2" t="s">
        <v>4</v>
      </c>
      <c r="B29" s="2">
        <v>8</v>
      </c>
      <c r="C29" s="2" t="s">
        <v>5</v>
      </c>
      <c r="D29" s="2">
        <v>8</v>
      </c>
      <c r="E29" s="2" t="s">
        <v>6</v>
      </c>
      <c r="F29" s="2">
        <v>8</v>
      </c>
    </row>
    <row r="30" spans="1:13" x14ac:dyDescent="0.3">
      <c r="A30" s="2" t="s">
        <v>8</v>
      </c>
      <c r="B30" s="2">
        <v>8</v>
      </c>
      <c r="C30" s="2" t="s">
        <v>7</v>
      </c>
      <c r="D30" s="2">
        <v>8</v>
      </c>
      <c r="E30" s="2" t="s">
        <v>9</v>
      </c>
      <c r="F30" s="2">
        <v>8</v>
      </c>
    </row>
    <row r="31" spans="1:13" x14ac:dyDescent="0.3">
      <c r="A31" s="2" t="s">
        <v>10</v>
      </c>
      <c r="B31" s="2">
        <v>7.5</v>
      </c>
      <c r="C31" s="2" t="s">
        <v>11</v>
      </c>
      <c r="D31" s="2">
        <v>8</v>
      </c>
      <c r="E31" s="2" t="s">
        <v>12</v>
      </c>
      <c r="F31" s="2">
        <v>7.5</v>
      </c>
    </row>
    <row r="33" spans="1:7" x14ac:dyDescent="0.3">
      <c r="A33" t="s">
        <v>41</v>
      </c>
      <c r="B33" s="4">
        <v>44744</v>
      </c>
    </row>
    <row r="34" spans="1:7" x14ac:dyDescent="0.3">
      <c r="A34" s="7" t="s">
        <v>2</v>
      </c>
      <c r="B34" s="7">
        <v>8.5</v>
      </c>
      <c r="C34" s="7" t="s">
        <v>3</v>
      </c>
      <c r="D34" s="7">
        <v>8.5</v>
      </c>
      <c r="E34" s="7" t="s">
        <v>1</v>
      </c>
      <c r="F34" s="7">
        <v>8</v>
      </c>
      <c r="G34" t="s">
        <v>18</v>
      </c>
    </row>
    <row r="35" spans="1:7" x14ac:dyDescent="0.3">
      <c r="A35" s="7" t="s">
        <v>4</v>
      </c>
      <c r="B35" s="7">
        <v>8</v>
      </c>
      <c r="C35" s="7" t="s">
        <v>5</v>
      </c>
      <c r="D35" s="7">
        <v>7.5</v>
      </c>
      <c r="E35" s="7" t="s">
        <v>6</v>
      </c>
      <c r="F35" s="7">
        <v>7.5</v>
      </c>
    </row>
    <row r="36" spans="1:7" x14ac:dyDescent="0.3">
      <c r="A36" s="7" t="s">
        <v>8</v>
      </c>
      <c r="B36" s="7">
        <v>7.5</v>
      </c>
      <c r="C36" s="7" t="s">
        <v>7</v>
      </c>
      <c r="D36" s="7">
        <v>8</v>
      </c>
      <c r="E36" s="7" t="s">
        <v>9</v>
      </c>
      <c r="F36" s="7">
        <v>8</v>
      </c>
    </row>
    <row r="37" spans="1:7" x14ac:dyDescent="0.3">
      <c r="A37" s="7" t="s">
        <v>10</v>
      </c>
      <c r="B37" s="7">
        <v>8</v>
      </c>
      <c r="C37" s="7" t="s">
        <v>11</v>
      </c>
      <c r="D37" s="7">
        <v>8</v>
      </c>
      <c r="E37" s="7" t="s">
        <v>12</v>
      </c>
      <c r="F37" s="7">
        <v>8</v>
      </c>
    </row>
    <row r="39" spans="1:7" x14ac:dyDescent="0.3">
      <c r="A39" t="s">
        <v>42</v>
      </c>
      <c r="B39" s="4">
        <v>44751</v>
      </c>
    </row>
    <row r="40" spans="1:7" x14ac:dyDescent="0.3">
      <c r="A40" s="2" t="s">
        <v>2</v>
      </c>
      <c r="B40" s="2">
        <v>8.5</v>
      </c>
      <c r="C40" s="2" t="s">
        <v>3</v>
      </c>
      <c r="D40" s="2">
        <v>8.5</v>
      </c>
      <c r="E40" s="2" t="s">
        <v>1</v>
      </c>
      <c r="F40" s="2">
        <v>8</v>
      </c>
      <c r="G40" t="s">
        <v>18</v>
      </c>
    </row>
    <row r="41" spans="1:7" x14ac:dyDescent="0.3">
      <c r="A41" s="2" t="s">
        <v>4</v>
      </c>
      <c r="B41" s="2">
        <v>8</v>
      </c>
      <c r="C41" s="2" t="s">
        <v>5</v>
      </c>
      <c r="D41" s="2">
        <v>8</v>
      </c>
      <c r="E41" s="2" t="s">
        <v>6</v>
      </c>
      <c r="F41" s="2">
        <v>8</v>
      </c>
    </row>
    <row r="42" spans="1:7" x14ac:dyDescent="0.3">
      <c r="A42" s="2" t="s">
        <v>8</v>
      </c>
      <c r="B42" s="2">
        <v>7.5</v>
      </c>
      <c r="C42" s="2" t="s">
        <v>7</v>
      </c>
      <c r="D42" s="2">
        <v>8</v>
      </c>
      <c r="E42" s="2" t="s">
        <v>9</v>
      </c>
      <c r="F42" s="2">
        <v>8</v>
      </c>
    </row>
    <row r="43" spans="1:7" x14ac:dyDescent="0.3">
      <c r="A43" s="2" t="s">
        <v>10</v>
      </c>
      <c r="B43" s="2">
        <v>8</v>
      </c>
      <c r="C43" s="2" t="s">
        <v>11</v>
      </c>
      <c r="D43" s="2">
        <v>8</v>
      </c>
      <c r="E43" s="2" t="s">
        <v>12</v>
      </c>
      <c r="F43" s="2">
        <v>8</v>
      </c>
    </row>
    <row r="45" spans="1:7" x14ac:dyDescent="0.3">
      <c r="A45" t="s">
        <v>43</v>
      </c>
      <c r="B45" s="4">
        <v>44758</v>
      </c>
    </row>
    <row r="46" spans="1:7" x14ac:dyDescent="0.3">
      <c r="A46" s="2" t="s">
        <v>2</v>
      </c>
      <c r="B46" s="2">
        <v>8</v>
      </c>
      <c r="C46" s="2" t="s">
        <v>3</v>
      </c>
      <c r="D46" s="2">
        <v>8.5</v>
      </c>
      <c r="E46" s="2" t="s">
        <v>1</v>
      </c>
      <c r="F46" s="2">
        <v>8</v>
      </c>
      <c r="G46" t="s">
        <v>18</v>
      </c>
    </row>
    <row r="47" spans="1:7" x14ac:dyDescent="0.3">
      <c r="A47" s="2" t="s">
        <v>4</v>
      </c>
      <c r="B47" s="2">
        <v>8</v>
      </c>
      <c r="C47" s="2" t="s">
        <v>5</v>
      </c>
      <c r="D47" s="2">
        <v>7.5</v>
      </c>
      <c r="E47" s="2" t="s">
        <v>6</v>
      </c>
      <c r="F47" s="2">
        <v>7.5</v>
      </c>
    </row>
    <row r="48" spans="1:7" x14ac:dyDescent="0.3">
      <c r="A48" s="2" t="s">
        <v>8</v>
      </c>
      <c r="B48" s="2">
        <v>8</v>
      </c>
      <c r="C48" s="2" t="s">
        <v>7</v>
      </c>
      <c r="D48" s="2">
        <v>8</v>
      </c>
      <c r="E48" s="2" t="s">
        <v>9</v>
      </c>
      <c r="F48" s="2">
        <v>8</v>
      </c>
    </row>
    <row r="49" spans="1:6" x14ac:dyDescent="0.3">
      <c r="A49" s="2" t="s">
        <v>10</v>
      </c>
      <c r="B49" s="2">
        <v>8</v>
      </c>
      <c r="C49" s="2" t="s">
        <v>11</v>
      </c>
      <c r="D49" s="2">
        <v>8</v>
      </c>
      <c r="E49" s="2" t="s">
        <v>12</v>
      </c>
      <c r="F49" s="2">
        <v>8</v>
      </c>
    </row>
    <row r="50" spans="1:6" x14ac:dyDescent="0.3">
      <c r="A50" s="3"/>
    </row>
    <row r="51" spans="1:6" x14ac:dyDescent="0.3">
      <c r="A51" t="s">
        <v>44</v>
      </c>
      <c r="B51" s="4">
        <v>44765</v>
      </c>
    </row>
    <row r="52" spans="1:6" x14ac:dyDescent="0.3">
      <c r="A52" s="2" t="s">
        <v>2</v>
      </c>
      <c r="B52" s="2">
        <v>8</v>
      </c>
      <c r="C52" s="2" t="s">
        <v>3</v>
      </c>
      <c r="D52" s="2">
        <v>8.5</v>
      </c>
      <c r="E52" s="2" t="s">
        <v>1</v>
      </c>
      <c r="F52" s="2">
        <v>7.5</v>
      </c>
    </row>
    <row r="53" spans="1:6" x14ac:dyDescent="0.3">
      <c r="A53" s="2" t="s">
        <v>4</v>
      </c>
      <c r="B53" s="2">
        <v>8</v>
      </c>
      <c r="C53" s="2" t="s">
        <v>5</v>
      </c>
      <c r="D53" s="2">
        <v>8</v>
      </c>
      <c r="E53" s="2" t="s">
        <v>6</v>
      </c>
      <c r="F53" s="2">
        <v>8</v>
      </c>
    </row>
    <row r="54" spans="1:6" x14ac:dyDescent="0.3">
      <c r="A54" s="2" t="s">
        <v>8</v>
      </c>
      <c r="B54" s="2">
        <v>7.5</v>
      </c>
      <c r="C54" s="2" t="s">
        <v>7</v>
      </c>
      <c r="D54" s="2">
        <v>8.5</v>
      </c>
      <c r="E54" s="2" t="s">
        <v>9</v>
      </c>
      <c r="F54" s="2">
        <v>8.5</v>
      </c>
    </row>
    <row r="55" spans="1:6" x14ac:dyDescent="0.3">
      <c r="A55" s="2" t="s">
        <v>10</v>
      </c>
      <c r="B55" s="2">
        <v>8</v>
      </c>
      <c r="C55" s="2" t="s">
        <v>11</v>
      </c>
      <c r="D55" s="2">
        <v>8.5</v>
      </c>
      <c r="E55" s="2" t="s">
        <v>12</v>
      </c>
      <c r="F55" s="2">
        <v>8.5</v>
      </c>
    </row>
    <row r="56" spans="1:6" x14ac:dyDescent="0.3">
      <c r="A56" s="3"/>
    </row>
    <row r="57" spans="1:6" x14ac:dyDescent="0.3">
      <c r="A57" t="s">
        <v>45</v>
      </c>
      <c r="B57" s="4">
        <v>44772</v>
      </c>
    </row>
    <row r="58" spans="1:6" x14ac:dyDescent="0.3">
      <c r="A58" s="2" t="s">
        <v>2</v>
      </c>
      <c r="B58" s="2">
        <v>8.5</v>
      </c>
      <c r="C58" s="2" t="s">
        <v>3</v>
      </c>
      <c r="D58" s="2">
        <v>8.5</v>
      </c>
      <c r="E58" s="2" t="s">
        <v>1</v>
      </c>
      <c r="F58" s="2">
        <v>7</v>
      </c>
    </row>
    <row r="59" spans="1:6" x14ac:dyDescent="0.3">
      <c r="A59" s="2" t="s">
        <v>4</v>
      </c>
      <c r="B59" s="2">
        <v>8</v>
      </c>
      <c r="C59" s="2" t="s">
        <v>5</v>
      </c>
      <c r="D59" s="2">
        <v>8</v>
      </c>
      <c r="E59" s="2" t="s">
        <v>6</v>
      </c>
      <c r="F59" s="2">
        <v>8.5</v>
      </c>
    </row>
    <row r="60" spans="1:6" x14ac:dyDescent="0.3">
      <c r="A60" s="2" t="s">
        <v>8</v>
      </c>
      <c r="B60" s="2">
        <v>8</v>
      </c>
      <c r="C60" s="2" t="s">
        <v>7</v>
      </c>
      <c r="D60" s="2">
        <v>8</v>
      </c>
      <c r="E60" s="2" t="s">
        <v>9</v>
      </c>
      <c r="F60" s="2">
        <v>8</v>
      </c>
    </row>
    <row r="61" spans="1:6" x14ac:dyDescent="0.3">
      <c r="A61" s="2" t="s">
        <v>10</v>
      </c>
      <c r="B61" s="2">
        <v>7.5</v>
      </c>
      <c r="C61" s="2" t="s">
        <v>11</v>
      </c>
      <c r="D61" s="2">
        <v>7.5</v>
      </c>
      <c r="E61" s="2" t="s">
        <v>12</v>
      </c>
      <c r="F61" s="2">
        <v>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>
      <selection activeCell="K3" sqref="K3"/>
    </sheetView>
  </sheetViews>
  <sheetFormatPr baseColWidth="10" defaultColWidth="11.75" defaultRowHeight="14" x14ac:dyDescent="0.3"/>
  <cols>
    <col min="3" max="3" width="8.25" customWidth="1"/>
    <col min="4" max="4" width="8.4140625" customWidth="1"/>
    <col min="5" max="5" width="8" customWidth="1"/>
    <col min="6" max="6" width="8.5" customWidth="1"/>
  </cols>
  <sheetData>
    <row r="1" spans="1:14" x14ac:dyDescent="0.3">
      <c r="A1" s="6" t="s">
        <v>16</v>
      </c>
    </row>
    <row r="3" spans="1:14" x14ac:dyDescent="0.3">
      <c r="A3" t="s">
        <v>36</v>
      </c>
      <c r="B3" s="4">
        <v>44709</v>
      </c>
      <c r="H3" s="3"/>
      <c r="I3" s="3"/>
      <c r="J3" s="3"/>
      <c r="K3" s="3"/>
      <c r="L3" s="3"/>
      <c r="M3" s="3"/>
      <c r="N3" s="3"/>
    </row>
    <row r="4" spans="1:14" x14ac:dyDescent="0.3">
      <c r="A4" s="2" t="s">
        <v>2</v>
      </c>
      <c r="B4" s="2">
        <v>7.5</v>
      </c>
      <c r="C4" s="2" t="s">
        <v>3</v>
      </c>
      <c r="D4" s="2">
        <v>7.5</v>
      </c>
      <c r="E4" s="2" t="s">
        <v>1</v>
      </c>
      <c r="F4" s="2">
        <v>7.5</v>
      </c>
      <c r="G4" t="s">
        <v>20</v>
      </c>
      <c r="H4" s="3"/>
      <c r="I4" s="3"/>
      <c r="J4" s="3"/>
      <c r="K4" s="3"/>
      <c r="L4" s="3"/>
      <c r="M4" s="3"/>
      <c r="N4" s="3"/>
    </row>
    <row r="5" spans="1:14" x14ac:dyDescent="0.3">
      <c r="A5" s="2" t="s">
        <v>4</v>
      </c>
      <c r="B5" s="2">
        <v>7.5</v>
      </c>
      <c r="C5" s="2" t="s">
        <v>5</v>
      </c>
      <c r="D5" s="2">
        <v>7.5</v>
      </c>
      <c r="E5" s="2" t="s">
        <v>6</v>
      </c>
      <c r="F5" s="2">
        <v>7.5</v>
      </c>
      <c r="G5" t="s">
        <v>17</v>
      </c>
      <c r="H5" s="3"/>
      <c r="I5" s="3"/>
      <c r="J5" s="3"/>
      <c r="K5" s="3"/>
      <c r="L5" s="3"/>
      <c r="M5" s="3"/>
      <c r="N5" s="3"/>
    </row>
    <row r="6" spans="1:14" x14ac:dyDescent="0.3">
      <c r="A6" s="2" t="s">
        <v>8</v>
      </c>
      <c r="B6" s="2">
        <v>8</v>
      </c>
      <c r="C6" s="2" t="s">
        <v>7</v>
      </c>
      <c r="D6" s="2">
        <v>7.5</v>
      </c>
      <c r="E6" s="2" t="s">
        <v>9</v>
      </c>
      <c r="F6" s="2">
        <v>7</v>
      </c>
      <c r="H6" s="3"/>
      <c r="I6" s="3"/>
      <c r="J6" s="57" t="s">
        <v>70</v>
      </c>
      <c r="K6" s="2"/>
      <c r="L6" s="2"/>
      <c r="M6" s="2"/>
      <c r="N6" s="3"/>
    </row>
    <row r="7" spans="1:14" x14ac:dyDescent="0.3">
      <c r="A7" s="2" t="s">
        <v>10</v>
      </c>
      <c r="B7" s="2">
        <v>7</v>
      </c>
      <c r="C7" s="2" t="s">
        <v>11</v>
      </c>
      <c r="D7" s="2">
        <v>7</v>
      </c>
      <c r="E7" s="2" t="s">
        <v>12</v>
      </c>
      <c r="F7" s="2">
        <v>6.5</v>
      </c>
      <c r="H7" s="3"/>
      <c r="I7" s="3"/>
      <c r="J7" s="2" t="s">
        <v>22</v>
      </c>
      <c r="K7" s="2" t="s">
        <v>23</v>
      </c>
      <c r="L7" s="2" t="s">
        <v>24</v>
      </c>
      <c r="M7" s="2" t="s">
        <v>25</v>
      </c>
      <c r="N7" s="3"/>
    </row>
    <row r="8" spans="1:14" x14ac:dyDescent="0.3">
      <c r="H8" s="3"/>
      <c r="I8" s="3"/>
      <c r="J8" s="2" t="s">
        <v>26</v>
      </c>
      <c r="K8" s="2">
        <f>AVERAGE(F4,B5,D6,F6)</f>
        <v>7.375</v>
      </c>
      <c r="L8" s="2">
        <f>AVERAGE(D5,B7,B6,D7)</f>
        <v>7.375</v>
      </c>
      <c r="M8" s="2">
        <f>AVERAGE(F7,D4,F5,B4)</f>
        <v>7.25</v>
      </c>
      <c r="N8" s="3"/>
    </row>
    <row r="9" spans="1:14" x14ac:dyDescent="0.3">
      <c r="A9" t="s">
        <v>37</v>
      </c>
      <c r="B9" s="4">
        <v>44716</v>
      </c>
      <c r="H9" s="3"/>
      <c r="I9" s="3"/>
      <c r="J9" s="2" t="s">
        <v>27</v>
      </c>
      <c r="K9" s="2">
        <f>AVERAGE(F10,B11,D12,F12)</f>
        <v>7.75</v>
      </c>
      <c r="L9" s="2">
        <f>AVERAGE(D11,B13,B12,D13)</f>
        <v>7.75</v>
      </c>
      <c r="M9" s="2">
        <f>AVERAGE(F13,D10,F11,F12)</f>
        <v>7.625</v>
      </c>
      <c r="N9" s="3"/>
    </row>
    <row r="10" spans="1:14" x14ac:dyDescent="0.3">
      <c r="A10" s="2" t="s">
        <v>2</v>
      </c>
      <c r="B10" s="2">
        <v>8</v>
      </c>
      <c r="C10" s="2" t="s">
        <v>3</v>
      </c>
      <c r="D10" s="2">
        <v>8</v>
      </c>
      <c r="E10" s="2" t="s">
        <v>1</v>
      </c>
      <c r="F10" s="2">
        <v>8</v>
      </c>
      <c r="G10" t="s">
        <v>18</v>
      </c>
      <c r="H10" s="3"/>
      <c r="I10" s="3"/>
      <c r="J10" s="2" t="s">
        <v>28</v>
      </c>
      <c r="K10" s="2">
        <f>AVERAGE(F16,B17,D18,F18)</f>
        <v>7.75</v>
      </c>
      <c r="L10" s="2">
        <f>AVERAGE(D17,B19,B18,D19)</f>
        <v>7.875</v>
      </c>
      <c r="M10" s="2">
        <f>AVERAGE(F19,D16,F17,B16)</f>
        <v>7.75</v>
      </c>
      <c r="N10" s="3"/>
    </row>
    <row r="11" spans="1:14" x14ac:dyDescent="0.3">
      <c r="A11" s="2" t="s">
        <v>4</v>
      </c>
      <c r="B11" s="2">
        <v>8</v>
      </c>
      <c r="C11" s="2" t="s">
        <v>5</v>
      </c>
      <c r="D11" s="2">
        <v>8</v>
      </c>
      <c r="E11" s="2" t="s">
        <v>6</v>
      </c>
      <c r="F11" s="2">
        <v>8</v>
      </c>
      <c r="H11" s="3"/>
      <c r="I11" s="3"/>
      <c r="J11" s="2" t="s">
        <v>29</v>
      </c>
      <c r="K11" s="2">
        <f>AVERAGE(F22,B23,D24,F24)</f>
        <v>7.75</v>
      </c>
      <c r="L11" s="2">
        <f>AVERAGE(D23,B25,B24,D25)</f>
        <v>7.375</v>
      </c>
      <c r="M11" s="2">
        <f>AVERAGE(F25,D22,F23,B22)</f>
        <v>7.375</v>
      </c>
      <c r="N11" s="3"/>
    </row>
    <row r="12" spans="1:14" x14ac:dyDescent="0.3">
      <c r="A12" s="2" t="s">
        <v>8</v>
      </c>
      <c r="B12" s="2">
        <v>8</v>
      </c>
      <c r="C12" s="2" t="s">
        <v>7</v>
      </c>
      <c r="D12" s="2">
        <v>7.5</v>
      </c>
      <c r="E12" s="2" t="s">
        <v>9</v>
      </c>
      <c r="F12" s="2">
        <v>7.5</v>
      </c>
      <c r="H12" s="3"/>
      <c r="I12" s="3"/>
      <c r="J12" s="2" t="s">
        <v>30</v>
      </c>
      <c r="K12" s="2">
        <f>AVERAGE(F28,B29,D30,F30)</f>
        <v>7.875</v>
      </c>
      <c r="L12" s="2">
        <f>AVERAGE(D29,B31,B30,D31)</f>
        <v>7.875</v>
      </c>
      <c r="M12" s="2">
        <f>AVERAGE(F31,D28,F29,B28)</f>
        <v>7.75</v>
      </c>
      <c r="N12" s="3"/>
    </row>
    <row r="13" spans="1:14" x14ac:dyDescent="0.3">
      <c r="A13" s="2" t="s">
        <v>10</v>
      </c>
      <c r="B13" s="2">
        <v>7.5</v>
      </c>
      <c r="C13" s="2" t="s">
        <v>11</v>
      </c>
      <c r="D13" s="2">
        <v>7.5</v>
      </c>
      <c r="E13" s="2" t="s">
        <v>12</v>
      </c>
      <c r="F13" s="2">
        <v>7</v>
      </c>
      <c r="H13" s="3"/>
      <c r="I13" s="3"/>
      <c r="J13" s="2" t="s">
        <v>31</v>
      </c>
      <c r="K13" s="2">
        <f>AVERAGE(F34,B35,D36,F36)</f>
        <v>8</v>
      </c>
      <c r="L13" s="2">
        <f>AVERAGE(D35,B37,B36,D37)</f>
        <v>7.875</v>
      </c>
      <c r="M13" s="2">
        <f>AVERAGE(F37,D34,F35,B34)</f>
        <v>8.125</v>
      </c>
      <c r="N13" s="3"/>
    </row>
    <row r="14" spans="1:14" x14ac:dyDescent="0.3">
      <c r="H14" s="3"/>
      <c r="I14" s="3"/>
      <c r="J14" s="2" t="s">
        <v>32</v>
      </c>
      <c r="K14" s="2">
        <f>AVERAGE(F40,B41,D42,F42)</f>
        <v>8</v>
      </c>
      <c r="L14" s="2">
        <f>AVERAGE(D41,B43,B42,D43)</f>
        <v>7.875</v>
      </c>
      <c r="M14" s="2">
        <f>AVERAGE(F43,D40,F41,B40)</f>
        <v>8.125</v>
      </c>
      <c r="N14" s="3"/>
    </row>
    <row r="15" spans="1:14" x14ac:dyDescent="0.3">
      <c r="A15" t="s">
        <v>38</v>
      </c>
      <c r="B15" s="4">
        <v>44723</v>
      </c>
      <c r="H15" s="3"/>
      <c r="I15" s="3"/>
      <c r="J15" s="2" t="s">
        <v>33</v>
      </c>
      <c r="K15" s="2">
        <f>AVERAGE(F46,B47,D48,F48)</f>
        <v>8</v>
      </c>
      <c r="L15" s="2">
        <f>AVERAGE(D47,B49,B48,D49)</f>
        <v>8.125</v>
      </c>
      <c r="M15" s="2">
        <f>AVERAGE(F49,D46,F47,B46)</f>
        <v>8.125</v>
      </c>
      <c r="N15" s="3"/>
    </row>
    <row r="16" spans="1:14" x14ac:dyDescent="0.3">
      <c r="A16" s="2" t="s">
        <v>2</v>
      </c>
      <c r="B16" s="2">
        <v>8</v>
      </c>
      <c r="C16" s="2" t="s">
        <v>3</v>
      </c>
      <c r="D16" s="2">
        <v>8</v>
      </c>
      <c r="E16" s="2" t="s">
        <v>1</v>
      </c>
      <c r="F16" s="2">
        <v>8</v>
      </c>
      <c r="G16" t="s">
        <v>18</v>
      </c>
      <c r="H16" s="3"/>
      <c r="I16" s="3"/>
      <c r="J16" s="2" t="s">
        <v>34</v>
      </c>
      <c r="K16" s="2">
        <f>AVERAGE(F52,B53,D54,F54)</f>
        <v>8</v>
      </c>
      <c r="L16" s="2">
        <f>AVERAGE(D53,B55,B54,D55)</f>
        <v>8</v>
      </c>
      <c r="M16" s="2">
        <f>AVERAGE(F55,D52,F53,B52)</f>
        <v>8.125</v>
      </c>
      <c r="N16" s="3"/>
    </row>
    <row r="17" spans="1:14" x14ac:dyDescent="0.3">
      <c r="A17" s="2" t="s">
        <v>4</v>
      </c>
      <c r="B17" s="2">
        <v>7.5</v>
      </c>
      <c r="C17" s="2" t="s">
        <v>5</v>
      </c>
      <c r="D17" s="2">
        <v>7.5</v>
      </c>
      <c r="E17" s="2" t="s">
        <v>6</v>
      </c>
      <c r="F17" s="2">
        <v>8</v>
      </c>
      <c r="H17" s="3"/>
      <c r="I17" s="3"/>
      <c r="J17" s="2" t="s">
        <v>35</v>
      </c>
      <c r="K17" s="2">
        <f>AVERAGE(F58,B59,D60,F60)</f>
        <v>7.875</v>
      </c>
      <c r="L17" s="2">
        <f>AVERAGE(D59,B61,B60,D61)</f>
        <v>8</v>
      </c>
      <c r="M17" s="2">
        <f>AVERAGE(F61,D58,F59,B58)</f>
        <v>8.375</v>
      </c>
      <c r="N17" s="3"/>
    </row>
    <row r="18" spans="1:14" x14ac:dyDescent="0.3">
      <c r="A18" s="2" t="s">
        <v>8</v>
      </c>
      <c r="B18" s="2">
        <v>8</v>
      </c>
      <c r="C18" s="2" t="s">
        <v>7</v>
      </c>
      <c r="D18" s="2">
        <v>8</v>
      </c>
      <c r="E18" s="2" t="s">
        <v>9</v>
      </c>
      <c r="F18" s="2">
        <v>7.5</v>
      </c>
      <c r="H18" s="3"/>
      <c r="I18" s="3"/>
      <c r="J18" s="31" t="s">
        <v>51</v>
      </c>
      <c r="K18" s="32">
        <f>AVERAGE(K8:K17)</f>
        <v>7.8375000000000004</v>
      </c>
      <c r="L18" s="32">
        <f>AVERAGE(L8:L17)</f>
        <v>7.8125</v>
      </c>
      <c r="M18" s="32">
        <f>AVERAGE(M8:M17)</f>
        <v>7.8624999999999998</v>
      </c>
      <c r="N18" s="3"/>
    </row>
    <row r="19" spans="1:14" x14ac:dyDescent="0.3">
      <c r="A19" s="2" t="s">
        <v>10</v>
      </c>
      <c r="B19" s="2">
        <v>8</v>
      </c>
      <c r="C19" s="2" t="s">
        <v>11</v>
      </c>
      <c r="D19" s="2">
        <v>8</v>
      </c>
      <c r="E19" s="2" t="s">
        <v>12</v>
      </c>
      <c r="F19" s="2">
        <v>7</v>
      </c>
      <c r="H19" s="3"/>
      <c r="I19" s="3"/>
      <c r="J19" s="33" t="s">
        <v>52</v>
      </c>
      <c r="K19" s="34">
        <f>SUM(K8:K17)</f>
        <v>78.375</v>
      </c>
      <c r="L19" s="34">
        <f>SUM(L8:L17)</f>
        <v>78.125</v>
      </c>
      <c r="M19" s="34">
        <f>SUM(M8:M17)</f>
        <v>78.625</v>
      </c>
      <c r="N19" s="3"/>
    </row>
    <row r="20" spans="1:14" x14ac:dyDescent="0.3">
      <c r="H20" s="3"/>
      <c r="I20" s="3"/>
      <c r="J20" s="35" t="s">
        <v>53</v>
      </c>
      <c r="K20" s="36">
        <f>STDEV(K8:K17)</f>
        <v>0.19587765455905268</v>
      </c>
      <c r="L20" s="36">
        <f>STDEV(L8:L17)</f>
        <v>0.25173012444988691</v>
      </c>
      <c r="M20" s="36">
        <f>STDEV(M8:M17)</f>
        <v>0.37010696652004088</v>
      </c>
      <c r="N20" s="3"/>
    </row>
    <row r="21" spans="1:14" x14ac:dyDescent="0.3">
      <c r="A21" t="s">
        <v>39</v>
      </c>
      <c r="B21" s="4">
        <v>44730</v>
      </c>
      <c r="H21" s="3"/>
      <c r="I21" s="3"/>
      <c r="J21" s="3"/>
      <c r="K21" s="3"/>
      <c r="L21" s="3"/>
      <c r="M21" s="3"/>
      <c r="N21" s="3"/>
    </row>
    <row r="22" spans="1:14" x14ac:dyDescent="0.3">
      <c r="A22" s="2" t="s">
        <v>2</v>
      </c>
      <c r="B22" s="2">
        <v>7.5</v>
      </c>
      <c r="C22" s="2" t="s">
        <v>3</v>
      </c>
      <c r="D22" s="2">
        <v>8</v>
      </c>
      <c r="E22" s="2" t="s">
        <v>1</v>
      </c>
      <c r="F22" s="2">
        <v>7.5</v>
      </c>
      <c r="G22" t="s">
        <v>18</v>
      </c>
    </row>
    <row r="23" spans="1:14" x14ac:dyDescent="0.3">
      <c r="A23" s="2" t="s">
        <v>4</v>
      </c>
      <c r="B23" s="2">
        <v>7.5</v>
      </c>
      <c r="C23" s="2" t="s">
        <v>5</v>
      </c>
      <c r="D23" s="2">
        <v>7.5</v>
      </c>
      <c r="E23" s="2" t="s">
        <v>6</v>
      </c>
      <c r="F23" s="2">
        <v>8</v>
      </c>
    </row>
    <row r="24" spans="1:14" x14ac:dyDescent="0.3">
      <c r="A24" s="2" t="s">
        <v>8</v>
      </c>
      <c r="B24" s="2">
        <v>7.5</v>
      </c>
      <c r="C24" s="2" t="s">
        <v>7</v>
      </c>
      <c r="D24" s="2">
        <v>8</v>
      </c>
      <c r="E24" s="2" t="s">
        <v>9</v>
      </c>
      <c r="F24" s="2">
        <v>8</v>
      </c>
    </row>
    <row r="25" spans="1:14" x14ac:dyDescent="0.3">
      <c r="A25" s="2" t="s">
        <v>10</v>
      </c>
      <c r="B25" s="2">
        <v>7</v>
      </c>
      <c r="C25" s="2" t="s">
        <v>11</v>
      </c>
      <c r="D25" s="2">
        <v>7.5</v>
      </c>
      <c r="E25" s="2" t="s">
        <v>12</v>
      </c>
      <c r="F25" s="2">
        <v>6</v>
      </c>
    </row>
    <row r="27" spans="1:14" x14ac:dyDescent="0.3">
      <c r="A27" t="s">
        <v>40</v>
      </c>
      <c r="B27" s="4">
        <v>44737</v>
      </c>
    </row>
    <row r="28" spans="1:14" x14ac:dyDescent="0.3">
      <c r="A28" s="2" t="s">
        <v>2</v>
      </c>
      <c r="B28" s="2">
        <v>8</v>
      </c>
      <c r="C28" s="2" t="s">
        <v>3</v>
      </c>
      <c r="D28" s="2">
        <v>8</v>
      </c>
      <c r="E28" s="2" t="s">
        <v>1</v>
      </c>
      <c r="F28" s="2">
        <v>7.5</v>
      </c>
      <c r="G28" t="s">
        <v>18</v>
      </c>
    </row>
    <row r="29" spans="1:14" x14ac:dyDescent="0.3">
      <c r="A29" s="2" t="s">
        <v>4</v>
      </c>
      <c r="B29" s="2">
        <v>8</v>
      </c>
      <c r="C29" s="2" t="s">
        <v>5</v>
      </c>
      <c r="D29" s="2">
        <v>8</v>
      </c>
      <c r="E29" s="2" t="s">
        <v>6</v>
      </c>
      <c r="F29" s="2">
        <v>8</v>
      </c>
    </row>
    <row r="30" spans="1:14" x14ac:dyDescent="0.3">
      <c r="A30" s="2" t="s">
        <v>8</v>
      </c>
      <c r="B30" s="2">
        <v>8</v>
      </c>
      <c r="C30" s="2" t="s">
        <v>7</v>
      </c>
      <c r="D30" s="2">
        <v>8</v>
      </c>
      <c r="E30" s="2" t="s">
        <v>9</v>
      </c>
      <c r="F30" s="2">
        <v>8</v>
      </c>
    </row>
    <row r="31" spans="1:14" x14ac:dyDescent="0.3">
      <c r="A31" s="2" t="s">
        <v>10</v>
      </c>
      <c r="B31" s="2">
        <v>7.5</v>
      </c>
      <c r="C31" s="2" t="s">
        <v>11</v>
      </c>
      <c r="D31" s="2">
        <v>8</v>
      </c>
      <c r="E31" s="2" t="s">
        <v>12</v>
      </c>
      <c r="F31" s="2">
        <v>7</v>
      </c>
    </row>
    <row r="33" spans="1:7" x14ac:dyDescent="0.3">
      <c r="A33" t="s">
        <v>41</v>
      </c>
      <c r="B33" s="4">
        <v>44744</v>
      </c>
    </row>
    <row r="34" spans="1:7" x14ac:dyDescent="0.3">
      <c r="A34" s="2" t="s">
        <v>2</v>
      </c>
      <c r="B34" s="2">
        <v>8.5</v>
      </c>
      <c r="C34" s="2" t="s">
        <v>3</v>
      </c>
      <c r="D34" s="2">
        <v>8.5</v>
      </c>
      <c r="E34" s="2" t="s">
        <v>1</v>
      </c>
      <c r="F34" s="2">
        <v>8</v>
      </c>
      <c r="G34" t="s">
        <v>18</v>
      </c>
    </row>
    <row r="35" spans="1:7" x14ac:dyDescent="0.3">
      <c r="A35" s="2" t="s">
        <v>4</v>
      </c>
      <c r="B35" s="2">
        <v>8</v>
      </c>
      <c r="C35" s="2" t="s">
        <v>5</v>
      </c>
      <c r="D35" s="2">
        <v>7.5</v>
      </c>
      <c r="E35" s="2" t="s">
        <v>6</v>
      </c>
      <c r="F35" s="2">
        <v>8</v>
      </c>
    </row>
    <row r="36" spans="1:7" x14ac:dyDescent="0.3">
      <c r="A36" s="2" t="s">
        <v>8</v>
      </c>
      <c r="B36" s="2">
        <v>8</v>
      </c>
      <c r="C36" s="2" t="s">
        <v>7</v>
      </c>
      <c r="D36" s="2">
        <v>8</v>
      </c>
      <c r="E36" s="2" t="s">
        <v>9</v>
      </c>
      <c r="F36" s="2">
        <v>8</v>
      </c>
    </row>
    <row r="37" spans="1:7" x14ac:dyDescent="0.3">
      <c r="A37" s="2" t="s">
        <v>10</v>
      </c>
      <c r="B37" s="2">
        <v>8</v>
      </c>
      <c r="C37" s="2" t="s">
        <v>11</v>
      </c>
      <c r="D37" s="2">
        <v>8</v>
      </c>
      <c r="E37" s="2" t="s">
        <v>12</v>
      </c>
      <c r="F37" s="2">
        <v>7.5</v>
      </c>
    </row>
    <row r="39" spans="1:7" x14ac:dyDescent="0.3">
      <c r="A39" t="s">
        <v>42</v>
      </c>
      <c r="B39" s="4">
        <v>44751</v>
      </c>
    </row>
    <row r="40" spans="1:7" x14ac:dyDescent="0.3">
      <c r="A40" s="2" t="s">
        <v>2</v>
      </c>
      <c r="B40" s="2">
        <v>8.5</v>
      </c>
      <c r="C40" s="2" t="s">
        <v>3</v>
      </c>
      <c r="D40" s="2">
        <v>8.5</v>
      </c>
      <c r="E40" s="2" t="s">
        <v>1</v>
      </c>
      <c r="F40" s="2">
        <v>8</v>
      </c>
      <c r="G40" t="s">
        <v>18</v>
      </c>
    </row>
    <row r="41" spans="1:7" x14ac:dyDescent="0.3">
      <c r="A41" s="2" t="s">
        <v>4</v>
      </c>
      <c r="B41" s="2">
        <v>8</v>
      </c>
      <c r="C41" s="2" t="s">
        <v>5</v>
      </c>
      <c r="D41" s="2">
        <v>7.5</v>
      </c>
      <c r="E41" s="2" t="s">
        <v>6</v>
      </c>
      <c r="F41" s="2">
        <v>8</v>
      </c>
    </row>
    <row r="42" spans="1:7" x14ac:dyDescent="0.3">
      <c r="A42" s="2" t="s">
        <v>8</v>
      </c>
      <c r="B42" s="2">
        <v>8</v>
      </c>
      <c r="C42" s="2" t="s">
        <v>7</v>
      </c>
      <c r="D42" s="2">
        <v>8</v>
      </c>
      <c r="E42" s="2" t="s">
        <v>9</v>
      </c>
      <c r="F42" s="2">
        <v>8</v>
      </c>
    </row>
    <row r="43" spans="1:7" x14ac:dyDescent="0.3">
      <c r="A43" s="2" t="s">
        <v>10</v>
      </c>
      <c r="B43" s="2">
        <v>8</v>
      </c>
      <c r="C43" s="2" t="s">
        <v>11</v>
      </c>
      <c r="D43" s="2">
        <v>8</v>
      </c>
      <c r="E43" s="2" t="s">
        <v>12</v>
      </c>
      <c r="F43" s="2">
        <v>7.5</v>
      </c>
    </row>
    <row r="45" spans="1:7" x14ac:dyDescent="0.3">
      <c r="A45" t="s">
        <v>43</v>
      </c>
      <c r="B45" s="4">
        <v>44758</v>
      </c>
    </row>
    <row r="46" spans="1:7" x14ac:dyDescent="0.3">
      <c r="A46" s="7" t="s">
        <v>2</v>
      </c>
      <c r="B46" s="7">
        <v>8</v>
      </c>
      <c r="C46" s="7" t="s">
        <v>3</v>
      </c>
      <c r="D46" s="7">
        <v>8.5</v>
      </c>
      <c r="E46" s="7" t="s">
        <v>1</v>
      </c>
      <c r="F46" s="7">
        <v>7.5</v>
      </c>
      <c r="G46" t="s">
        <v>18</v>
      </c>
    </row>
    <row r="47" spans="1:7" x14ac:dyDescent="0.3">
      <c r="A47" s="7" t="s">
        <v>4</v>
      </c>
      <c r="B47" s="7">
        <v>8.5</v>
      </c>
      <c r="C47" s="7" t="s">
        <v>5</v>
      </c>
      <c r="D47" s="7">
        <v>8</v>
      </c>
      <c r="E47" s="7" t="s">
        <v>6</v>
      </c>
      <c r="F47" s="7">
        <v>8</v>
      </c>
    </row>
    <row r="48" spans="1:7" x14ac:dyDescent="0.3">
      <c r="A48" s="7" t="s">
        <v>8</v>
      </c>
      <c r="B48" s="7">
        <v>8</v>
      </c>
      <c r="C48" s="7" t="s">
        <v>7</v>
      </c>
      <c r="D48" s="7">
        <v>8</v>
      </c>
      <c r="E48" s="7" t="s">
        <v>9</v>
      </c>
      <c r="F48" s="7">
        <v>8</v>
      </c>
    </row>
    <row r="49" spans="1:6" x14ac:dyDescent="0.3">
      <c r="A49" s="7" t="s">
        <v>10</v>
      </c>
      <c r="B49" s="7">
        <v>8</v>
      </c>
      <c r="C49" s="7" t="s">
        <v>11</v>
      </c>
      <c r="D49" s="7">
        <v>8.5</v>
      </c>
      <c r="E49" s="7" t="s">
        <v>12</v>
      </c>
      <c r="F49" s="7">
        <v>8</v>
      </c>
    </row>
    <row r="51" spans="1:6" x14ac:dyDescent="0.3">
      <c r="A51" t="s">
        <v>44</v>
      </c>
      <c r="B51" s="4">
        <v>44765</v>
      </c>
    </row>
    <row r="52" spans="1:6" x14ac:dyDescent="0.3">
      <c r="A52" s="2" t="s">
        <v>2</v>
      </c>
      <c r="B52" s="2">
        <v>8</v>
      </c>
      <c r="C52" s="2" t="s">
        <v>3</v>
      </c>
      <c r="D52" s="2">
        <v>8.5</v>
      </c>
      <c r="E52" s="2" t="s">
        <v>1</v>
      </c>
      <c r="F52" s="2">
        <v>7</v>
      </c>
    </row>
    <row r="53" spans="1:6" x14ac:dyDescent="0.3">
      <c r="A53" s="2" t="s">
        <v>4</v>
      </c>
      <c r="B53" s="2">
        <v>8.5</v>
      </c>
      <c r="C53" s="2" t="s">
        <v>5</v>
      </c>
      <c r="D53" s="2">
        <v>8</v>
      </c>
      <c r="E53" s="2" t="s">
        <v>6</v>
      </c>
      <c r="F53" s="2">
        <v>8</v>
      </c>
    </row>
    <row r="54" spans="1:6" x14ac:dyDescent="0.3">
      <c r="A54" s="2" t="s">
        <v>8</v>
      </c>
      <c r="B54" s="2">
        <v>8</v>
      </c>
      <c r="C54" s="2" t="s">
        <v>7</v>
      </c>
      <c r="D54" s="2">
        <v>8.5</v>
      </c>
      <c r="E54" s="2" t="s">
        <v>9</v>
      </c>
      <c r="F54" s="2">
        <v>8</v>
      </c>
    </row>
    <row r="55" spans="1:6" x14ac:dyDescent="0.3">
      <c r="A55" s="2" t="s">
        <v>10</v>
      </c>
      <c r="B55" s="2">
        <v>8</v>
      </c>
      <c r="C55" s="2" t="s">
        <v>11</v>
      </c>
      <c r="D55" s="2">
        <v>8</v>
      </c>
      <c r="E55" s="2" t="s">
        <v>12</v>
      </c>
      <c r="F55" s="2">
        <v>8</v>
      </c>
    </row>
    <row r="57" spans="1:6" x14ac:dyDescent="0.3">
      <c r="A57" t="s">
        <v>14</v>
      </c>
      <c r="B57" s="4">
        <v>44772</v>
      </c>
    </row>
    <row r="58" spans="1:6" x14ac:dyDescent="0.3">
      <c r="A58" s="2" t="s">
        <v>2</v>
      </c>
      <c r="B58" s="2">
        <v>8.5</v>
      </c>
      <c r="C58" s="2" t="s">
        <v>3</v>
      </c>
      <c r="D58" s="2">
        <v>8.5</v>
      </c>
      <c r="E58" s="2" t="s">
        <v>1</v>
      </c>
      <c r="F58" s="2">
        <v>7.5</v>
      </c>
    </row>
    <row r="59" spans="1:6" x14ac:dyDescent="0.3">
      <c r="A59" s="2" t="s">
        <v>4</v>
      </c>
      <c r="B59" s="2">
        <v>8</v>
      </c>
      <c r="C59" s="2" t="s">
        <v>5</v>
      </c>
      <c r="D59" s="2">
        <v>8</v>
      </c>
      <c r="E59" s="2" t="s">
        <v>6</v>
      </c>
      <c r="F59" s="2">
        <v>8</v>
      </c>
    </row>
    <row r="60" spans="1:6" x14ac:dyDescent="0.3">
      <c r="A60" s="2" t="s">
        <v>8</v>
      </c>
      <c r="B60" s="2">
        <v>8</v>
      </c>
      <c r="C60" s="2" t="s">
        <v>7</v>
      </c>
      <c r="D60" s="2">
        <v>8</v>
      </c>
      <c r="E60" s="2" t="s">
        <v>9</v>
      </c>
      <c r="F60" s="2">
        <v>8</v>
      </c>
    </row>
    <row r="61" spans="1:6" x14ac:dyDescent="0.3">
      <c r="A61" s="2" t="s">
        <v>10</v>
      </c>
      <c r="B61" s="2">
        <v>8</v>
      </c>
      <c r="C61" s="2" t="s">
        <v>11</v>
      </c>
      <c r="D61" s="2">
        <v>8</v>
      </c>
      <c r="E61" s="2" t="s">
        <v>12</v>
      </c>
      <c r="F61" s="2">
        <v>8.5</v>
      </c>
    </row>
    <row r="64" spans="1:6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Parzellenplan</vt:lpstr>
      <vt:lpstr>Deckungsgrad</vt:lpstr>
      <vt:lpstr>Krankheitsbefall</vt:lpstr>
      <vt:lpstr>Qualität</vt:lpstr>
      <vt:lpstr>Dichte</vt:lpstr>
      <vt:lpstr>Farbe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Hunt</dc:creator>
  <cp:lastModifiedBy>Prämaßing, Wolfgang</cp:lastModifiedBy>
  <dcterms:created xsi:type="dcterms:W3CDTF">2022-05-27T08:46:17Z</dcterms:created>
  <dcterms:modified xsi:type="dcterms:W3CDTF">2022-10-22T20:42:04Z</dcterms:modified>
</cp:coreProperties>
</file>