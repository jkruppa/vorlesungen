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LB_Statistik\Hausarbeitsthemen\"/>
    </mc:Choice>
  </mc:AlternateContent>
  <xr:revisionPtr revIDLastSave="0" documentId="13_ncr:1_{D55B16D4-7FDE-4C57-B449-2CB75C90B8D6}" xr6:coauthVersionLast="47" xr6:coauthVersionMax="47" xr10:uidLastSave="{00000000-0000-0000-0000-000000000000}"/>
  <bookViews>
    <workbookView xWindow="-110" yWindow="-110" windowWidth="19420" windowHeight="10300" tabRatio="881" activeTab="1" xr2:uid="{00000000-000D-0000-FFFF-FFFF00000000}"/>
  </bookViews>
  <sheets>
    <sheet name="Grundlagendaten" sheetId="11" r:id="rId1"/>
    <sheet name="Umfrage zu Spieleigenschaften v"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11" l="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Q8" i="11"/>
  <c r="O19" i="11"/>
  <c r="M7" i="11"/>
  <c r="M6" i="11"/>
  <c r="M10" i="11" l="1"/>
  <c r="J7" i="11" l="1"/>
  <c r="J8" i="11"/>
  <c r="J9" i="11"/>
  <c r="J6" i="11"/>
  <c r="I9" i="11"/>
  <c r="I8" i="11"/>
  <c r="I7" i="11"/>
  <c r="I6" i="11"/>
  <c r="Q7" i="11"/>
  <c r="Q6" i="11"/>
  <c r="P8" i="11"/>
  <c r="P7" i="11"/>
  <c r="P6" i="11"/>
  <c r="O86" i="11" l="1"/>
  <c r="J10" i="11"/>
  <c r="I10" i="11"/>
  <c r="P9" i="11"/>
  <c r="Q9" i="11"/>
  <c r="K10" i="11"/>
</calcChain>
</file>

<file path=xl/sharedStrings.xml><?xml version="1.0" encoding="utf-8"?>
<sst xmlns="http://schemas.openxmlformats.org/spreadsheetml/2006/main" count="6684" uniqueCount="835">
  <si>
    <t>Antwort ID</t>
  </si>
  <si>
    <t>Datum Abgeschickt</t>
  </si>
  <si>
    <t>Letzte Seite</t>
  </si>
  <si>
    <t>Start-Sprache</t>
  </si>
  <si>
    <t>Zufallsgeneratorstartwert</t>
  </si>
  <si>
    <t>Datum gestartet</t>
  </si>
  <si>
    <t>Datum letzte Aktivität</t>
  </si>
  <si>
    <t>IP-Adresse</t>
  </si>
  <si>
    <t>Wie bewerten Sie die Spieleigenschaften? [Standfestigkeit]</t>
  </si>
  <si>
    <t>Wie bewerten Sie die Spieleigenschaften? [Ballrollverhalten]</t>
  </si>
  <si>
    <t>Wie bewerten Sie die Spieleigenschaften? [Ballsprungverhalten]</t>
  </si>
  <si>
    <t>Wie bewerten Sie die Spieleigenschaften? [Härte des Spielfeldes]</t>
  </si>
  <si>
    <t>Wie würden Sie das Spielerverhalten einschätzen? [Wie ist die Bereitschaft zum Grätschen?]</t>
  </si>
  <si>
    <t>Wie würden Sie das Spielerverhalten einschätzen? [Wie ist die Bereitschaft zum Tackling?]</t>
  </si>
  <si>
    <t>Wie würden Sie das Spielerverhalten einschätzen? [Wie würden Sie das Verletzungsrisiko einschätzen?]</t>
  </si>
  <si>
    <t>Wie würden Sie das Spielerverhalten einschätzen? [Wie ist die Rutschfestigkeit?]</t>
  </si>
  <si>
    <t>Hier finden Sie Platz für Anmerkungen und Kommentare. Ihre Meinung interessiert uns!</t>
  </si>
  <si>
    <t>Gesamtzeit</t>
  </si>
  <si>
    <t>Gruppenzeit:</t>
  </si>
  <si>
    <t>Fragenzeit: F1</t>
  </si>
  <si>
    <t>Fragenzeit: F2</t>
  </si>
  <si>
    <t>Fragenzeit: F3</t>
  </si>
  <si>
    <t>Fragenzeit: F4</t>
  </si>
  <si>
    <t>Fragenzeit: K0</t>
  </si>
  <si>
    <t>2022-01-31 10:53:44</t>
  </si>
  <si>
    <t>de</t>
  </si>
  <si>
    <t>2022-01-31 10:52:48</t>
  </si>
  <si>
    <t>84.187.106.162</t>
  </si>
  <si>
    <t>Kunststoffrasen ohne Verfüllung</t>
  </si>
  <si>
    <t>gut</t>
  </si>
  <si>
    <t>eher gut</t>
  </si>
  <si>
    <t>hoch</t>
  </si>
  <si>
    <t>niedrig</t>
  </si>
  <si>
    <t>eher hoch</t>
  </si>
  <si>
    <t>2022-01-31 10:57:19</t>
  </si>
  <si>
    <t>2022-01-31 10:56:45</t>
  </si>
  <si>
    <t>185.196.22.27</t>
  </si>
  <si>
    <t>2022-02-28 12:17:30</t>
  </si>
  <si>
    <t>2022-02-28 12:18:47</t>
  </si>
  <si>
    <t>194.8.223.8</t>
  </si>
  <si>
    <t>Kunststoffrasen mit Sand-Korkverfüllung</t>
  </si>
  <si>
    <t>2022-02-28 14:19:36</t>
  </si>
  <si>
    <t>2022-02-28 14:18:06</t>
  </si>
  <si>
    <t>131.173.98.183</t>
  </si>
  <si>
    <t>eher niedrig</t>
  </si>
  <si>
    <t>2022-02-28 14:26:01</t>
  </si>
  <si>
    <t>2022-02-28 14:24:24</t>
  </si>
  <si>
    <t>131.173.97.238</t>
  </si>
  <si>
    <t>eher schlecht</t>
  </si>
  <si>
    <t>2022-02-28 14:59:00</t>
  </si>
  <si>
    <t>2022-02-28 14:57:52</t>
  </si>
  <si>
    <t>80.187.116.17</t>
  </si>
  <si>
    <t>2022-03-01 07:04:13</t>
  </si>
  <si>
    <t>2022-03-01 07:02:12</t>
  </si>
  <si>
    <t>130.180.5.74</t>
  </si>
  <si>
    <t>Kunststoffrasen mit Sand-Gummiverfüllung</t>
  </si>
  <si>
    <t>2022-03-01 07:19:59</t>
  </si>
  <si>
    <t>2022-03-01 07:18:51</t>
  </si>
  <si>
    <t>80.149.45.134</t>
  </si>
  <si>
    <t>2022-03-01 08:59:24</t>
  </si>
  <si>
    <t>2022-03-01 08:57:48</t>
  </si>
  <si>
    <t>217.91.1.93</t>
  </si>
  <si>
    <t>2022-03-02 08:49:04</t>
  </si>
  <si>
    <t>2022-03-02 08:48:06</t>
  </si>
  <si>
    <t>84.187.111.30</t>
  </si>
  <si>
    <t>2022-03-02 14:12:30</t>
  </si>
  <si>
    <t>2022-03-02 14:10:17</t>
  </si>
  <si>
    <t>90.187.66.201</t>
  </si>
  <si>
    <t>2022-03-14 11:10:00</t>
  </si>
  <si>
    <t>2022-03-14 11:08:54</t>
  </si>
  <si>
    <t>46.183.103.17</t>
  </si>
  <si>
    <t>Kunststoffrasen mit Sandverfüllung</t>
  </si>
  <si>
    <t>2022-03-18 19:41:36</t>
  </si>
  <si>
    <t>2022-03-18 19:44:56</t>
  </si>
  <si>
    <t>87.178.219.99</t>
  </si>
  <si>
    <t>schlecht</t>
  </si>
  <si>
    <t>2022-03-18 19:46:17</t>
  </si>
  <si>
    <t>2022-03-18 19:46:32</t>
  </si>
  <si>
    <t>2022-03-21 14:30:19</t>
  </si>
  <si>
    <t>2022-03-21 14:10:19</t>
  </si>
  <si>
    <t>2022-04-04 09:14:00</t>
  </si>
  <si>
    <t>2022-04-04 09:12:51</t>
  </si>
  <si>
    <t>2022-04-28 15:57:35</t>
  </si>
  <si>
    <t>2022-04-28 15:56:09</t>
  </si>
  <si>
    <t>80.66.56.36</t>
  </si>
  <si>
    <t>193.170.216.82</t>
  </si>
  <si>
    <t>2022-04-29 05:37:26</t>
  </si>
  <si>
    <t>2022-04-29 05:36:14</t>
  </si>
  <si>
    <t>89.249.185.60</t>
  </si>
  <si>
    <t>2022-04-29 05:50:34</t>
  </si>
  <si>
    <t>2022-04-29 05:49:31</t>
  </si>
  <si>
    <t>195.192.208.201</t>
  </si>
  <si>
    <t>2022-04-29 05:57:00</t>
  </si>
  <si>
    <t>2022-04-29 05:57:27</t>
  </si>
  <si>
    <t>212.51.254.93</t>
  </si>
  <si>
    <t>2022-04-29 06:00:07</t>
  </si>
  <si>
    <t>2022-04-29 05:58:16</t>
  </si>
  <si>
    <t>85.158.226.62</t>
  </si>
  <si>
    <t>2022-04-29 06:22:31</t>
  </si>
  <si>
    <t>2022-04-29 06:23:23</t>
  </si>
  <si>
    <t>2022-04-29 07:45:02</t>
  </si>
  <si>
    <t>2022-04-29 07:43:44</t>
  </si>
  <si>
    <t>46.167.44.169</t>
  </si>
  <si>
    <t>2022-05-02 13:03:38</t>
  </si>
  <si>
    <t>2022-05-02 13:02:16</t>
  </si>
  <si>
    <t>213.225.37.85</t>
  </si>
  <si>
    <t>2022-05-04 11:27:58</t>
  </si>
  <si>
    <t>2022-05-04 11:29:20</t>
  </si>
  <si>
    <t>109.42.113.189</t>
  </si>
  <si>
    <t>2022-05-04 16:10:29</t>
  </si>
  <si>
    <t>2022-05-04 16:09:02</t>
  </si>
  <si>
    <t>172.225.184.196</t>
  </si>
  <si>
    <t>2022-05-05 13:29:45</t>
  </si>
  <si>
    <t>2022-05-05 13:27:02</t>
  </si>
  <si>
    <t>109.42.115.90</t>
  </si>
  <si>
    <t>2022-05-06 10:45:14</t>
  </si>
  <si>
    <t>2022-05-06 10:44:02</t>
  </si>
  <si>
    <t>89.183.230.187</t>
  </si>
  <si>
    <t>2022-05-06 12:36:40</t>
  </si>
  <si>
    <t>2022-05-06 12:37:13</t>
  </si>
  <si>
    <t>89.183.116.153</t>
  </si>
  <si>
    <t>2022-05-06 14:25:42</t>
  </si>
  <si>
    <t>2022-05-06 14:23:51</t>
  </si>
  <si>
    <t>46.87.185.215</t>
  </si>
  <si>
    <t>2022-05-06 17:21:30</t>
  </si>
  <si>
    <t>2022-05-06 17:18:00</t>
  </si>
  <si>
    <t>62.176.252.63</t>
  </si>
  <si>
    <t>Die Kunstrasen Plätze haben durchaus Sinn.
Wir haben dadurch kein einziges Spiel wegen schlechte Platzverhältnisse absagen müssen.</t>
  </si>
  <si>
    <t>2022-05-09 06:17:48</t>
  </si>
  <si>
    <t>2022-05-09 06:16:22</t>
  </si>
  <si>
    <t>46.114.136.145</t>
  </si>
  <si>
    <t>2022-05-09 07:12:18</t>
  </si>
  <si>
    <t>2022-05-09 07:09:35</t>
  </si>
  <si>
    <t>80.187.110.163</t>
  </si>
  <si>
    <t>2022-05-09 13:28:55</t>
  </si>
  <si>
    <t>2022-05-09 13:27:28</t>
  </si>
  <si>
    <t>80.187.110.253</t>
  </si>
  <si>
    <t>2022-05-10 15:36:57</t>
  </si>
  <si>
    <t>2022-05-10 15:35:21</t>
  </si>
  <si>
    <t>178.188.118.230</t>
  </si>
  <si>
    <t>2022-05-10 16:39:08</t>
  </si>
  <si>
    <t>2022-05-10 16:35:12</t>
  </si>
  <si>
    <t>91.15.162.114</t>
  </si>
  <si>
    <t>Wir bespielen den Kunstrasenplatz seit 5 Jahren und haben bisher nur sehr gute Erfahrungen damit gesammelt. Der Platz wurde 1x nachbefüllt und weist z. Zt. keine nennenswerte Austragungsverluste aus.</t>
  </si>
  <si>
    <t>2022-05-10 16:55:51</t>
  </si>
  <si>
    <t>2022-05-10 16:54:46</t>
  </si>
  <si>
    <t>91.50.207.176</t>
  </si>
  <si>
    <t>2022-05-15 15:46:28</t>
  </si>
  <si>
    <t>2022-05-15 15:45:11</t>
  </si>
  <si>
    <t>89.1.212.47</t>
  </si>
  <si>
    <t>2022-05-17 17:40:37</t>
  </si>
  <si>
    <t>2022-05-17 17:39:21</t>
  </si>
  <si>
    <t>87.169.24.223</t>
  </si>
  <si>
    <t>2022-05-19 11:54:30</t>
  </si>
  <si>
    <t>2022-05-19 11:53:26</t>
  </si>
  <si>
    <t>46.114.95.3</t>
  </si>
  <si>
    <t>2022-05-23 10:37:13</t>
  </si>
  <si>
    <t>2022-05-23 10:35:16</t>
  </si>
  <si>
    <t>80.187.82.111</t>
  </si>
  <si>
    <t>2022-05-23 14:48:46</t>
  </si>
  <si>
    <t>2022-05-23 14:45:53</t>
  </si>
  <si>
    <t>62.216.209.22</t>
  </si>
  <si>
    <t>2022-05-30 15:14:03</t>
  </si>
  <si>
    <t>2022-05-30 15:08:47</t>
  </si>
  <si>
    <t>195.90.21.63</t>
  </si>
  <si>
    <t>Die Antworten beziehen sich auf der Annahme, dass der unverfüllte Kunstrasen entsprechend bewässert ist.</t>
  </si>
  <si>
    <t>Sand</t>
  </si>
  <si>
    <t>unverfüllt</t>
  </si>
  <si>
    <t>Indoor-Atter-Flughafen</t>
  </si>
  <si>
    <t>2022-10-12</t>
  </si>
  <si>
    <t>Geschlecht</t>
  </si>
  <si>
    <t>Gummi</t>
  </si>
  <si>
    <t>männlich</t>
  </si>
  <si>
    <t>gewonnen</t>
  </si>
  <si>
    <t>Auswärts</t>
  </si>
  <si>
    <t>Alter</t>
  </si>
  <si>
    <t>eher schecht</t>
  </si>
  <si>
    <t>verloren</t>
  </si>
  <si>
    <t>eherg</t>
  </si>
  <si>
    <t>ka</t>
  </si>
  <si>
    <t>kA</t>
  </si>
  <si>
    <t>unentschieden</t>
  </si>
  <si>
    <t>sand</t>
  </si>
  <si>
    <t>sch.echt</t>
  </si>
  <si>
    <t>2022-10-17</t>
  </si>
  <si>
    <t>ehwe g</t>
  </si>
  <si>
    <t>hovh</t>
  </si>
  <si>
    <t>Verein</t>
  </si>
  <si>
    <t>2022-10-11 07:29:22</t>
  </si>
  <si>
    <t>2022-10-11 07:22:37</t>
  </si>
  <si>
    <t>109.43.240.109</t>
  </si>
  <si>
    <t>VfL Eintracht Mettingen</t>
  </si>
  <si>
    <t>2022-10-11 07:37:53</t>
  </si>
  <si>
    <t>2022-10-11 07:30:35</t>
  </si>
  <si>
    <t>94.31.87.103</t>
  </si>
  <si>
    <t>Mettingen</t>
  </si>
  <si>
    <t>2022-10-12 08:37:16</t>
  </si>
  <si>
    <t>2022-10-12 08:36:27</t>
  </si>
  <si>
    <t>85.8.124.28</t>
  </si>
  <si>
    <t>2022-10-12 08:44:34</t>
  </si>
  <si>
    <t>2022-10-12 08:45:36</t>
  </si>
  <si>
    <t>94.31.82.61</t>
  </si>
  <si>
    <t>2022-10-12 08:52:18</t>
  </si>
  <si>
    <t>2022-10-12 08:49:59</t>
  </si>
  <si>
    <t>80.187.75.210</t>
  </si>
  <si>
    <t>VFL Eintracht Mettingen</t>
  </si>
  <si>
    <t>2022-10-12 09:04:20</t>
  </si>
  <si>
    <t>2022-10-12 09:01:51</t>
  </si>
  <si>
    <t>178.24.234.205</t>
  </si>
  <si>
    <t>2022-10-12 09:16:31</t>
  </si>
  <si>
    <t>2022-10-12 09:14:51</t>
  </si>
  <si>
    <t>79.192.181.21</t>
  </si>
  <si>
    <t>2022-10-12 09:45:46</t>
  </si>
  <si>
    <t>2022-10-12 09:43:24</t>
  </si>
  <si>
    <t>85.8.124.243</t>
  </si>
  <si>
    <t>2022-10-12 10:00:41</t>
  </si>
  <si>
    <t>2022-10-12 09:59:36</t>
  </si>
  <si>
    <t>2022-10-12 10:08:08</t>
  </si>
  <si>
    <t>2022-10-12 10:05:13</t>
  </si>
  <si>
    <t>80.187.73.95</t>
  </si>
  <si>
    <t>2022-10-12 15:56:32</t>
  </si>
  <si>
    <t>2022-10-12 15:54:15</t>
  </si>
  <si>
    <t>37.201.152.22</t>
  </si>
  <si>
    <t>2022-10-12 15:57:46</t>
  </si>
  <si>
    <t>2022-10-12 16:00:16</t>
  </si>
  <si>
    <t>94.31.82.54</t>
  </si>
  <si>
    <t>2022-10-12 16:07:44</t>
  </si>
  <si>
    <t>2022-10-12 16:05:05</t>
  </si>
  <si>
    <t>84.177.200.54</t>
  </si>
  <si>
    <t>2022-10-12 16:05:18</t>
  </si>
  <si>
    <t>2022-10-12 16:06:50</t>
  </si>
  <si>
    <t>85.8.123.148</t>
  </si>
  <si>
    <t>2022-10-12 16:13:53</t>
  </si>
  <si>
    <t>2022-10-12 16:09:33</t>
  </si>
  <si>
    <t>2022-10-12 16:13:52</t>
  </si>
  <si>
    <t>85.8.72.7</t>
  </si>
  <si>
    <t>2022-10-12 16:11:52</t>
  </si>
  <si>
    <t>2022-10-12 16:09:56</t>
  </si>
  <si>
    <t>46.189.28.112</t>
  </si>
  <si>
    <t>2022-10-12 16:52:41</t>
  </si>
  <si>
    <t>2022-10-12 16:47:32</t>
  </si>
  <si>
    <t>80.187.115.142</t>
  </si>
  <si>
    <t>2022-10-12 16:53:55</t>
  </si>
  <si>
    <t>2022-10-12 16:52:30</t>
  </si>
  <si>
    <t>92.117.10.229</t>
  </si>
  <si>
    <t>2022-10-13 06:26:44</t>
  </si>
  <si>
    <t>2022-10-13 06:16:14</t>
  </si>
  <si>
    <t>46.114.223.170</t>
  </si>
  <si>
    <t>VfB Wilhelmshaven</t>
  </si>
  <si>
    <t>2022-10-13 06:30:16</t>
  </si>
  <si>
    <t>2022-10-13 06:27:11</t>
  </si>
  <si>
    <t>FT 03 Emden</t>
  </si>
  <si>
    <t>2022-10-13 07:05:50</t>
  </si>
  <si>
    <t>2022-10-13 07:04:18</t>
  </si>
  <si>
    <t>93.133.38.213</t>
  </si>
  <si>
    <t>2022-10-13 07:12:19</t>
  </si>
  <si>
    <t>2022-10-13 07:10:14</t>
  </si>
  <si>
    <t>92.209.15.48</t>
  </si>
  <si>
    <t>VfL eintracht Mettingen</t>
  </si>
  <si>
    <t>2022-10-13 07:26:13</t>
  </si>
  <si>
    <t>2022-10-13 07:19:24</t>
  </si>
  <si>
    <t>94.31.83.234</t>
  </si>
  <si>
    <t>2022-10-13 08:35:18</t>
  </si>
  <si>
    <t>2022-10-13 08:31:15</t>
  </si>
  <si>
    <t>80.187.73.66</t>
  </si>
  <si>
    <t>2022-10-13 09:18:57</t>
  </si>
  <si>
    <t>2022-10-13 09:14:30</t>
  </si>
  <si>
    <t>94.31.80.49</t>
  </si>
  <si>
    <t>2022-10-13 09:27:24</t>
  </si>
  <si>
    <t>2022-10-13 09:25:55</t>
  </si>
  <si>
    <t>80.187.109.160</t>
  </si>
  <si>
    <t>2022-10-14 05:56:32</t>
  </si>
  <si>
    <t>2022-10-14 05:54:17</t>
  </si>
  <si>
    <t>94.31.89.77</t>
  </si>
  <si>
    <t>VfL Mettingen</t>
  </si>
  <si>
    <t>2022-10-14 13:52:22</t>
  </si>
  <si>
    <t>2022-10-14 13:51:15</t>
  </si>
  <si>
    <t>82.135.83.193</t>
  </si>
  <si>
    <t>Sv Untermenzing</t>
  </si>
  <si>
    <t>2022-10-14 14:02:15</t>
  </si>
  <si>
    <t>2022-10-14 14:00:11</t>
  </si>
  <si>
    <t>82.135.82.145</t>
  </si>
  <si>
    <t>SV Untermenzing</t>
  </si>
  <si>
    <t>2022-10-14 14:05:15</t>
  </si>
  <si>
    <t>2022-10-14 14:01:19</t>
  </si>
  <si>
    <t>79.220.56.138</t>
  </si>
  <si>
    <t>SV Untermenzing, München</t>
  </si>
  <si>
    <t>2022-10-15 04:36:11</t>
  </si>
  <si>
    <t>2022-10-15 04:34:20</t>
  </si>
  <si>
    <t>178.24.234.29</t>
  </si>
  <si>
    <t>TuS Nahne</t>
  </si>
  <si>
    <t>2022-10-15 06:02:24</t>
  </si>
  <si>
    <t>2022-10-15 06:00:02</t>
  </si>
  <si>
    <t>88.152.9.32</t>
  </si>
  <si>
    <t>TuS Nahne in Osnabrück</t>
  </si>
  <si>
    <t>2022-10-15 06:06:40</t>
  </si>
  <si>
    <t>2022-10-15 06:03:40</t>
  </si>
  <si>
    <t>87.122.223.24</t>
  </si>
  <si>
    <t>FCR 09 Bramsche</t>
  </si>
  <si>
    <t>2022-10-15 06:19:24</t>
  </si>
  <si>
    <t>2022-10-15 06:16:23</t>
  </si>
  <si>
    <t>87.162.210.82</t>
  </si>
  <si>
    <t>2022-10-15 08:39:24</t>
  </si>
  <si>
    <t>2022-10-15 08:36:05</t>
  </si>
  <si>
    <t>178.24.232.187</t>
  </si>
  <si>
    <t>TuS nahne</t>
  </si>
  <si>
    <t>2022-10-15 09:21:51</t>
  </si>
  <si>
    <t>2022-10-15 09:19:52</t>
  </si>
  <si>
    <t>46.114.173.38</t>
  </si>
  <si>
    <t>TUS Nahne</t>
  </si>
  <si>
    <t>2022-10-15 16:12:31</t>
  </si>
  <si>
    <t>2022-10-15 16:10:16</t>
  </si>
  <si>
    <t>172.225.184.231</t>
  </si>
  <si>
    <t>2022-10-15 16:51:33</t>
  </si>
  <si>
    <t>2022-10-15 16:48:39</t>
  </si>
  <si>
    <t>178.24.235.69</t>
  </si>
  <si>
    <t>Tus Nahne</t>
  </si>
  <si>
    <t>2022-10-17 03:03:13</t>
  </si>
  <si>
    <t>2022-10-17 03:01:22</t>
  </si>
  <si>
    <t>104.28.62.24</t>
  </si>
  <si>
    <t>Tus Eintracht Hinte</t>
  </si>
  <si>
    <t>2022-10-17 13:41:33</t>
  </si>
  <si>
    <t>2022-10-17 13:38:33</t>
  </si>
  <si>
    <t>95.33.3.223</t>
  </si>
  <si>
    <t>Samtgemeinde Holtriem
(genutzt von TuS Holtriem, SV Blomberg-Neuschoo und dem SV Ochtersum</t>
  </si>
  <si>
    <t>2022-10-17 17:20:38</t>
  </si>
  <si>
    <t>2022-10-17 17:18:14</t>
  </si>
  <si>
    <t>91.96.154.87</t>
  </si>
  <si>
    <t>Indoor Soccer Center in Atter</t>
  </si>
  <si>
    <t>2022-10-17 17:45:02</t>
  </si>
  <si>
    <t>2022-10-17 17:43:34</t>
  </si>
  <si>
    <t>46.114.168.28</t>
  </si>
  <si>
    <t>2022-10-17 18:18:49</t>
  </si>
  <si>
    <t>2022-10-17 18:16:57</t>
  </si>
  <si>
    <t>Indoor Soccer Center Atter</t>
  </si>
  <si>
    <t>2022-10-17 22:00:41</t>
  </si>
  <si>
    <t>2022-10-17 21:59:15</t>
  </si>
  <si>
    <t>46.114.172.202</t>
  </si>
  <si>
    <t>Soccercenter atter</t>
  </si>
  <si>
    <t>2022-10-17 22:01:46</t>
  </si>
  <si>
    <t>2022-10-17 21:59:21</t>
  </si>
  <si>
    <t>92.252.74.173</t>
  </si>
  <si>
    <t>SoccerCenter Atter</t>
  </si>
  <si>
    <t>2022-10-17 22:02:54</t>
  </si>
  <si>
    <t>2022-10-17 21:59:36</t>
  </si>
  <si>
    <t>Soccercenter Atter</t>
  </si>
  <si>
    <t>2022-10-17 22:01:48</t>
  </si>
  <si>
    <t>2022-10-17 21:59:42</t>
  </si>
  <si>
    <t>Soccer center Atter</t>
  </si>
  <si>
    <t>2022-10-18 11:30:26</t>
  </si>
  <si>
    <t>2022-10-18 11:27:52</t>
  </si>
  <si>
    <t>46.114.173.40</t>
  </si>
  <si>
    <t>2022-10-18 19:17:09</t>
  </si>
  <si>
    <t>2022-10-18 19:15:11</t>
  </si>
  <si>
    <t>80.187.115.88</t>
  </si>
  <si>
    <t>Flugplatz atter</t>
  </si>
  <si>
    <t>2022-11-07 11:21:40</t>
  </si>
  <si>
    <t>2022-11-07 11:20:12</t>
  </si>
  <si>
    <t>77.21.74.192</t>
  </si>
  <si>
    <t>2022-11-07 13:00:53</t>
  </si>
  <si>
    <t>2022-11-07 12:54:20</t>
  </si>
  <si>
    <t>194.149.246.126</t>
  </si>
  <si>
    <t>SC Preußen Lengerich</t>
  </si>
  <si>
    <t>(Welchen Füllstofftyp wollen Sie bewerten?)</t>
  </si>
  <si>
    <t>weiblich</t>
  </si>
  <si>
    <t>Wie ist das Spiel ausgegangen?</t>
  </si>
  <si>
    <t>Bitte geben Sie eine Angabe zur Spielstätte an.</t>
  </si>
  <si>
    <t>Heim</t>
  </si>
  <si>
    <t>Die Spieleigenschaften verändern sich je nach Wetterlage. Der Kunstrasen hat klare Vorteile bei nasskalten Wetter. Im Sommer bei Hitze, ist es eher unangenehm auf einem Kunstrasenplatz zu spielen, da dieser sich stark aufheizt.</t>
  </si>
  <si>
    <t>Ich finde den Kunstrasen gut.</t>
  </si>
  <si>
    <t>Kork ist auf keinen Fall eine Alternative zu Gummi Granulat. Das Verletzungspausen ist viel höher und auch der Platz fühlt sich härter und schlechter an</t>
  </si>
  <si>
    <t>Erfahrung durch diverse Plätzte:
Platz 1: SC Preußen Lengerich: Kork auch leichte Flecken-Bildung (siehe unten), 
Platz 2: BSV Ostbevern: 15 Jahre alter KR mit Sand, 2020 neuer KR mit Sand: Sand tritt sich stärker aus, neigt zu "Flecken"-Bildung (Gebiete mit viel/wenig Sand)
Platz 3: SG Telgte/SC Füchtorf: KR mit Kunststoffgranulat (sehr heiß im Sommer und daher unangenehm zu bespielen)</t>
  </si>
  <si>
    <t>Umfrage Online</t>
  </si>
  <si>
    <t>Hinte</t>
  </si>
  <si>
    <t>Kork</t>
  </si>
  <si>
    <t>Lengerich</t>
  </si>
  <si>
    <t>Anzahl</t>
  </si>
  <si>
    <t>Gesamt</t>
  </si>
  <si>
    <t>Vor Ort Befragung</t>
  </si>
  <si>
    <t>2022-11-13</t>
  </si>
  <si>
    <t>VFL Senden</t>
  </si>
  <si>
    <t xml:space="preserve">gut </t>
  </si>
  <si>
    <t>k.A</t>
  </si>
  <si>
    <t>2022-10-12 16:07:45</t>
  </si>
  <si>
    <t>2022-11-10 17:41:46</t>
  </si>
  <si>
    <t>2022-11-10 17:39:57</t>
  </si>
  <si>
    <t>90.153.51.31</t>
  </si>
  <si>
    <t>Bünder SV</t>
  </si>
  <si>
    <t>2022-11-14 10:20:40</t>
  </si>
  <si>
    <t>2022-11-14 10:11:57</t>
  </si>
  <si>
    <t>80.187.101.156</t>
  </si>
  <si>
    <t>SV Mesum</t>
  </si>
  <si>
    <t>Es liegt auch viel daran wie gut die einzelnen Böden gefüllt sind und wie alt</t>
  </si>
  <si>
    <t>2022-11-14 10:16:46</t>
  </si>
  <si>
    <t>2022-11-14 10:15:08</t>
  </si>
  <si>
    <t>79.240.153.51</t>
  </si>
  <si>
    <t>Zuviel Füllmenge verändert das Sprungverhalten des Balles.</t>
  </si>
  <si>
    <t>2022-11-18 16:43:39</t>
  </si>
  <si>
    <t>2022-11-18 16:40:52</t>
  </si>
  <si>
    <t>131.173.7.174</t>
  </si>
  <si>
    <t>26</t>
  </si>
  <si>
    <t>2022-11-18 16:52:30</t>
  </si>
  <si>
    <t>2022-11-18 16:50:43</t>
  </si>
  <si>
    <t>92.252.57.160</t>
  </si>
  <si>
    <t>Ladbergen</t>
  </si>
  <si>
    <t>2022-11-18 16:53:02</t>
  </si>
  <si>
    <t>2022-11-18 16:51:07</t>
  </si>
  <si>
    <t>88.152.9.234</t>
  </si>
  <si>
    <t>Hollage</t>
  </si>
  <si>
    <t>ehr gut</t>
  </si>
  <si>
    <t>eher</t>
  </si>
  <si>
    <t xml:space="preserve">eher gut </t>
  </si>
  <si>
    <t>-</t>
  </si>
  <si>
    <t>auswärts</t>
  </si>
  <si>
    <t>2022-11-21 11:29:04</t>
  </si>
  <si>
    <t>2022-11-21 11:27:15</t>
  </si>
  <si>
    <t>46.114.173.102</t>
  </si>
  <si>
    <t>2022-11-21 11:28:50</t>
  </si>
  <si>
    <t>2022-11-21 11:27:19</t>
  </si>
  <si>
    <t>80.187.123.246</t>
  </si>
  <si>
    <t>109.42.115.86</t>
  </si>
  <si>
    <t>2022-11-21 11:35:28</t>
  </si>
  <si>
    <t>2022-11-21 11:33:22</t>
  </si>
  <si>
    <t>80.187.85.205</t>
  </si>
  <si>
    <t>2022-11-21 11:34:03</t>
  </si>
  <si>
    <t>Tus Pewsum</t>
  </si>
  <si>
    <t>2022-11-21 12:53:46</t>
  </si>
  <si>
    <t>2022-11-21 12:51:58</t>
  </si>
  <si>
    <t>95.91.197.176</t>
  </si>
  <si>
    <t>Pewsum</t>
  </si>
  <si>
    <t>TuS Pewsum</t>
  </si>
  <si>
    <t>2022-10-16</t>
  </si>
  <si>
    <t>2022-11-21 17:14:20</t>
  </si>
  <si>
    <t>2022-11-21 17:10:40</t>
  </si>
  <si>
    <t>213.135.201.187</t>
  </si>
  <si>
    <t>HSC</t>
  </si>
  <si>
    <t>2022-11-21 17:19:32</t>
  </si>
  <si>
    <t>2022-11-21 17:17:45</t>
  </si>
  <si>
    <t>91.56.113.231</t>
  </si>
  <si>
    <t>Weyhe Lahausen</t>
  </si>
  <si>
    <t>2022-11-21 17:20:19</t>
  </si>
  <si>
    <t>2022-11-21 17:18:07</t>
  </si>
  <si>
    <t>95.90.203.156</t>
  </si>
  <si>
    <t>HSG Hannover</t>
  </si>
  <si>
    <t>Unverfüllt</t>
  </si>
  <si>
    <t xml:space="preserve">Sand </t>
  </si>
  <si>
    <t>2022-11-21 18:01:13</t>
  </si>
  <si>
    <t>2022-11-21 17:59:07</t>
  </si>
  <si>
    <t>91.52.240.64</t>
  </si>
  <si>
    <t>HSC Hannover</t>
  </si>
  <si>
    <t>2022-11-21 18:06:17</t>
  </si>
  <si>
    <t>2022-11-21 17:59:59</t>
  </si>
  <si>
    <t>217.234.145.226</t>
  </si>
  <si>
    <t>2022-11-21 18:57:52</t>
  </si>
  <si>
    <t>2022-11-21 18:55:38</t>
  </si>
  <si>
    <t>213.135.200.227</t>
  </si>
  <si>
    <t>HSV Hannover 2</t>
  </si>
  <si>
    <t>Es war mehr Sand als alles andere</t>
  </si>
  <si>
    <t>2022-11-21 18:58:21</t>
  </si>
  <si>
    <t>2022-11-21 18:56:13</t>
  </si>
  <si>
    <t>91.52.242.110</t>
  </si>
  <si>
    <t>Der Platz war mangelhaft</t>
  </si>
  <si>
    <t>2022-11-21 20:44:55</t>
  </si>
  <si>
    <t>2022-11-21 20:43:13</t>
  </si>
  <si>
    <t>217.234.150.225</t>
  </si>
  <si>
    <t>Sulingen</t>
  </si>
  <si>
    <t>2022-11-22 14:23:31</t>
  </si>
  <si>
    <t>2022-11-22 14:22:22</t>
  </si>
  <si>
    <t>94.31.86.62</t>
  </si>
  <si>
    <t>Westerkappeln</t>
  </si>
  <si>
    <t>2022-11-22 22:16:40</t>
  </si>
  <si>
    <t>2022-11-22 22:14:26</t>
  </si>
  <si>
    <t>87.123.206.167</t>
  </si>
  <si>
    <t>VFR Merzhausen</t>
  </si>
  <si>
    <t>2022-11-22 22:30:17</t>
  </si>
  <si>
    <t>2022-11-22 22:28:35</t>
  </si>
  <si>
    <t>185.175.89.4</t>
  </si>
  <si>
    <t>2022-11-22 22:40:46</t>
  </si>
  <si>
    <t>2022-11-22 22:37:52</t>
  </si>
  <si>
    <t>217.238.221.80</t>
  </si>
  <si>
    <t>Vfr merzhausen</t>
  </si>
  <si>
    <t>93.208.134.68</t>
  </si>
  <si>
    <t>2022-11-22 22:47:51</t>
  </si>
  <si>
    <t>2022-11-22 22:45:12</t>
  </si>
  <si>
    <t>Vfr Merzhausen</t>
  </si>
  <si>
    <t>2022-11-22 22:51:05</t>
  </si>
  <si>
    <t>2022-11-22 22:48:57</t>
  </si>
  <si>
    <t>217.225.86.36</t>
  </si>
  <si>
    <t>VfR Merzhausen</t>
  </si>
  <si>
    <t>2022-11-22 23:50:03</t>
  </si>
  <si>
    <t>2022-11-22 23:46:57</t>
  </si>
  <si>
    <t>46.114.146.211</t>
  </si>
  <si>
    <t>VfR Merzhausen (unterer Hauptplatz)</t>
  </si>
  <si>
    <t>2022-11-23 08:04:11</t>
  </si>
  <si>
    <t>2022-11-23 08:01:50</t>
  </si>
  <si>
    <t>93.208.141.133</t>
  </si>
  <si>
    <t>2022-11-23 10:31:17</t>
  </si>
  <si>
    <t>2022-11-23 10:28:57</t>
  </si>
  <si>
    <t>82.82.249.251</t>
  </si>
  <si>
    <t>2022-11-25 08:21:43</t>
  </si>
  <si>
    <t>2022-11-25 08:19:17</t>
  </si>
  <si>
    <t>79.200.57.82</t>
  </si>
  <si>
    <t>SV BE Steimbke</t>
  </si>
  <si>
    <t>2022-11-25 08:26:55</t>
  </si>
  <si>
    <t>2022-11-25 08:22:54</t>
  </si>
  <si>
    <t>91.52.250.140</t>
  </si>
  <si>
    <t>TSV Weyhe Lahausen</t>
  </si>
  <si>
    <t>Auf Kunstrasenplätzen ist das Verletzungsrisiko deutlich höher und ich habe dort viele Narben davon getragen, wenn ich gestürzt bin.</t>
  </si>
  <si>
    <t>2022-11-25 08:32:11</t>
  </si>
  <si>
    <t>2022-11-25 08:29:59</t>
  </si>
  <si>
    <t>213.135.201.243</t>
  </si>
  <si>
    <t>2022-11-25 08:37:35</t>
  </si>
  <si>
    <t>2022-11-25 08:36:21</t>
  </si>
  <si>
    <t>46.114.175.29</t>
  </si>
  <si>
    <t>2022-11-25 09:25:10</t>
  </si>
  <si>
    <t>2022-11-25 09:23:10</t>
  </si>
  <si>
    <t>94.31.83.176</t>
  </si>
  <si>
    <t>Westfalia Hopste</t>
  </si>
  <si>
    <t>2022-11-25 16:41:04</t>
  </si>
  <si>
    <t>2022-11-25 16:34:05</t>
  </si>
  <si>
    <t>84.134.15.61</t>
  </si>
  <si>
    <t>TuS Hinte</t>
  </si>
  <si>
    <t>Mit Granulat 3</t>
  </si>
  <si>
    <t>2022-11-25 16:46:55</t>
  </si>
  <si>
    <t>2022-11-25 16:45:10</t>
  </si>
  <si>
    <t>95.90.226.107</t>
  </si>
  <si>
    <t>Jfv Emden/ Tus Hinte/ RW Emden/Kickers Emden</t>
  </si>
  <si>
    <t>2022-11-25 16:51:22</t>
  </si>
  <si>
    <t>2022-11-25 16:49:07</t>
  </si>
  <si>
    <t>109.43.241.233</t>
  </si>
  <si>
    <t>SuS Emden</t>
  </si>
  <si>
    <t>2022-11-25 17:09:35</t>
  </si>
  <si>
    <t>2022-11-25 17:08:08</t>
  </si>
  <si>
    <t>95.91.199.168</t>
  </si>
  <si>
    <t>TuS Eintracht Hinte</t>
  </si>
  <si>
    <t>2022-11-25 17:10:38</t>
  </si>
  <si>
    <t>2022-11-25 17:11:31</t>
  </si>
  <si>
    <t>95.91.196.13</t>
  </si>
  <si>
    <t>2022-11-25 17:15:40</t>
  </si>
  <si>
    <t>2022-11-25 17:12:58</t>
  </si>
  <si>
    <t>31.17.255.136</t>
  </si>
  <si>
    <t>2022-11-25 17:21:56</t>
  </si>
  <si>
    <t>2022-11-25 17:17:26</t>
  </si>
  <si>
    <t>80.187.75.109</t>
  </si>
  <si>
    <t>Es Ist weder Sand gummiverfüllt,sandverfüllt,bzw Sand korkverfüllt...</t>
  </si>
  <si>
    <t>2022-11-25 17:19:25</t>
  </si>
  <si>
    <t>2022-11-25 17:17:45</t>
  </si>
  <si>
    <t>185.68.78.230</t>
  </si>
  <si>
    <t>2022-11-25 17:23:34</t>
  </si>
  <si>
    <t>2022-11-25 17:18:29</t>
  </si>
  <si>
    <t>37.5.252.115</t>
  </si>
  <si>
    <t>Der Kunstrasen des TuS Pewsum ist viel zu rutschig.
Man hat keine Standfestigkeit und ständig Angst/Bedenken sich ohne Fremdeinwirkung zu verletzen.
Man läuft wie auf rohen Eiern über den Platz.</t>
  </si>
  <si>
    <t>2022-11-25 18:57:55</t>
  </si>
  <si>
    <t>2022-11-25 18:53:08</t>
  </si>
  <si>
    <t>31.150.61.232</t>
  </si>
  <si>
    <t>Platz unbespielbar, sehr sehr hohes Verletzungsrisiko. Keine Möglichkeit aus schnellen Bewegungen kontrolliert abzubremsen. Richtungswechsel sind nur mit angezogener Handbremse möglich.</t>
  </si>
  <si>
    <t>2022-11-26 07:16:22</t>
  </si>
  <si>
    <t>2022-11-26 07:14:37</t>
  </si>
  <si>
    <t>185.84.120.59</t>
  </si>
  <si>
    <t>2022-11-26 08:51:00</t>
  </si>
  <si>
    <t>2022-11-26 08:48:11</t>
  </si>
  <si>
    <t>87.179.110.184</t>
  </si>
  <si>
    <t>2022-11-26 09:35:47</t>
  </si>
  <si>
    <t>2022-11-26 09:32:53</t>
  </si>
  <si>
    <t>80.187.84.229</t>
  </si>
  <si>
    <t>TUS Eintracht Hinte</t>
  </si>
  <si>
    <t>2022-11-26 13:45:08</t>
  </si>
  <si>
    <t>2022-11-26 13:37:09</t>
  </si>
  <si>
    <t>109.42.115.182</t>
  </si>
  <si>
    <t>TSV Weyhe- Lahausen</t>
  </si>
  <si>
    <t>2022-11-26 14:30:44</t>
  </si>
  <si>
    <t>2022-11-26 14:29:31</t>
  </si>
  <si>
    <t>87.179.103.142</t>
  </si>
  <si>
    <t>2022-11-27 22:04:25</t>
  </si>
  <si>
    <t>2022-11-27 22:02:49</t>
  </si>
  <si>
    <t>Steimbke</t>
  </si>
  <si>
    <t>87.189.68.69</t>
  </si>
  <si>
    <t>2022-12-04 17:46:44</t>
  </si>
  <si>
    <t>2022-12-04 17:44:35</t>
  </si>
  <si>
    <t>82.149.185.186</t>
  </si>
  <si>
    <t>Spvgg Langenhorst Welbergen</t>
  </si>
  <si>
    <t>2022-12-04 18:04:37</t>
  </si>
  <si>
    <t>2022-12-04 17:57:29</t>
  </si>
  <si>
    <t>79.240.147.100</t>
  </si>
  <si>
    <t>SpVgg Langenhorst-Welbergen</t>
  </si>
  <si>
    <t>2022-12-04 18:11:42</t>
  </si>
  <si>
    <t>2022-12-04 18:08:38</t>
  </si>
  <si>
    <t>Langenhorst welbergen, Sand</t>
  </si>
  <si>
    <t>2022-12-04 18:53:59</t>
  </si>
  <si>
    <t>2022-12-04 18:51:09</t>
  </si>
  <si>
    <t>80.187.122.28</t>
  </si>
  <si>
    <t>Langenhorst Welbergen</t>
  </si>
  <si>
    <t>2022-12-04 19:35:07</t>
  </si>
  <si>
    <t>2022-12-04 19:27:34</t>
  </si>
  <si>
    <t>93.245.34.223</t>
  </si>
  <si>
    <t>SpVgg Langenhorst/Welbergen</t>
  </si>
  <si>
    <t>2022-12-04 20:04:01</t>
  </si>
  <si>
    <t>2022-12-04 20:00:29</t>
  </si>
  <si>
    <t>94.31.89.138</t>
  </si>
  <si>
    <t>Spielvereinigung langenhorst welbergen</t>
  </si>
  <si>
    <t>Ich finde den Kunstrasen top nicht diese kleinen Steinchen die man in den Schuhen hat einfach sauber neu schön. Außerdem kann man super drauf spielen</t>
  </si>
  <si>
    <t>2022-12-04 21:23:29</t>
  </si>
  <si>
    <t>2022-12-04 21:19:55</t>
  </si>
  <si>
    <t>93.244.203.93</t>
  </si>
  <si>
    <t>SV Langenhorst Welbergen e.V.</t>
  </si>
  <si>
    <t>2022-12-05 19:34:50</t>
  </si>
  <si>
    <t>2022-12-05 19:31:56</t>
  </si>
  <si>
    <t>94.31.86.197</t>
  </si>
  <si>
    <t>SV Langenhorst</t>
  </si>
  <si>
    <t>Gesmold</t>
  </si>
  <si>
    <t>Rieste</t>
  </si>
  <si>
    <t>Osnabrück</t>
  </si>
  <si>
    <t>Melle</t>
  </si>
  <si>
    <t>Tecklenburg</t>
  </si>
  <si>
    <t>Laggenbeck</t>
  </si>
  <si>
    <t>Hörstel</t>
  </si>
  <si>
    <t>Harderberg</t>
  </si>
  <si>
    <t>Wallenhorst</t>
  </si>
  <si>
    <t>Ibbenbüren A</t>
  </si>
  <si>
    <t>Lienen</t>
  </si>
  <si>
    <t>Ibbenbüren</t>
  </si>
  <si>
    <t>Saerbeck</t>
  </si>
  <si>
    <t>Bissendorf</t>
  </si>
  <si>
    <t>Riemsloh</t>
  </si>
  <si>
    <t>Senden II</t>
  </si>
  <si>
    <t>Mecklenbeck</t>
  </si>
  <si>
    <t>Atlantik 97</t>
  </si>
  <si>
    <t>Aumühle</t>
  </si>
  <si>
    <t>Sc Eilbek</t>
  </si>
  <si>
    <t>SC Eilbek</t>
  </si>
  <si>
    <t>VfL Senden</t>
  </si>
  <si>
    <t>Vfl Senden</t>
  </si>
  <si>
    <t>VfL Sendem</t>
  </si>
  <si>
    <t>VfL senden</t>
  </si>
  <si>
    <t>Fc Puchheim</t>
  </si>
  <si>
    <t>FC Puchheim</t>
  </si>
  <si>
    <t>Puchheim</t>
  </si>
  <si>
    <t>Fc puchheim</t>
  </si>
  <si>
    <t>Weiblich</t>
  </si>
  <si>
    <t>SVBösensell</t>
  </si>
  <si>
    <t>vor Ort</t>
  </si>
  <si>
    <t>2022-12-12 16:46:34</t>
  </si>
  <si>
    <t>2022-12-12 16:44:58</t>
  </si>
  <si>
    <t>91.55.135.45</t>
  </si>
  <si>
    <t>Gwa Rheine</t>
  </si>
  <si>
    <t>2022-12-12 20:48:50</t>
  </si>
  <si>
    <t>2022-12-12 20:46:29</t>
  </si>
  <si>
    <t>92.252.82.24</t>
  </si>
  <si>
    <t>Grün-Weiß Amisia Rheine
Haselweg 8
48429 Rheine</t>
  </si>
  <si>
    <t>2022-12-12 21:55:48</t>
  </si>
  <si>
    <t>2022-12-12 21:53:19</t>
  </si>
  <si>
    <t>89.166.213.70</t>
  </si>
  <si>
    <t>Grün-Weiß Amisia Rheine</t>
  </si>
  <si>
    <t>2022-12-12 21:57:34</t>
  </si>
  <si>
    <t>2022-12-12 21:54:16</t>
  </si>
  <si>
    <t>92.252.67.162</t>
  </si>
  <si>
    <t>2022-12-13 03:15:08</t>
  </si>
  <si>
    <t>2022-12-13 03:10:10</t>
  </si>
  <si>
    <t>93.231.92.251</t>
  </si>
  <si>
    <t>GW Amisia Rheine</t>
  </si>
  <si>
    <t>2022-12-13 05:44:55</t>
  </si>
  <si>
    <t>2022-12-13 05:43:14</t>
  </si>
  <si>
    <t>84.135.165.51</t>
  </si>
  <si>
    <t>GWA Rheine</t>
  </si>
  <si>
    <t>2022-12-13 11:56:33</t>
  </si>
  <si>
    <t>2022-12-13 11:54:08</t>
  </si>
  <si>
    <t>80.187.101.80</t>
  </si>
  <si>
    <t>SV Grün-Weiß Amisia Rheine</t>
  </si>
  <si>
    <t>2022-12-14 09:14:24</t>
  </si>
  <si>
    <t>2022-12-14 09:11:53</t>
  </si>
  <si>
    <t>89.166.161.70</t>
  </si>
  <si>
    <t>Teuto Riesenbeck</t>
  </si>
  <si>
    <t>2022-12-14 09:25:34</t>
  </si>
  <si>
    <t>2022-12-14 09:24:13</t>
  </si>
  <si>
    <t>94.31.83.242</t>
  </si>
  <si>
    <t>2022-12-14 09:27:09</t>
  </si>
  <si>
    <t>2022-12-14 09:25:07</t>
  </si>
  <si>
    <t>87.178.244.193</t>
  </si>
  <si>
    <t>Gemeinde Westerkappeln</t>
  </si>
  <si>
    <t>2022-12-14 09:51:19</t>
  </si>
  <si>
    <t>2022-12-14 09:49:05</t>
  </si>
  <si>
    <t>217.91.125.138</t>
  </si>
  <si>
    <t>Westfalia Westerkappeln</t>
  </si>
  <si>
    <t>2022-12-14 14:13:13</t>
  </si>
  <si>
    <t>2022-12-14 14:10:04</t>
  </si>
  <si>
    <t>91.249.183.10</t>
  </si>
  <si>
    <t>TuS Hunnebrock</t>
  </si>
  <si>
    <t>2022-12-14 18:13:34</t>
  </si>
  <si>
    <t>2022-12-14 18:09:21</t>
  </si>
  <si>
    <t>91.34.177.156</t>
  </si>
  <si>
    <t>Hunnebrock</t>
  </si>
  <si>
    <t>Neuer Platz , gefährlichster und rutschigster Platz</t>
  </si>
  <si>
    <t>2022-12-14 18:52:37</t>
  </si>
  <si>
    <t>2022-12-14 18:55:25</t>
  </si>
  <si>
    <t>37.201.146.200</t>
  </si>
  <si>
    <t>2022-12-14 18:54:50</t>
  </si>
  <si>
    <t>2022-12-14 18:53:00</t>
  </si>
  <si>
    <t>45.155.143.210</t>
  </si>
  <si>
    <t>Hunnebrock Sportplatz</t>
  </si>
  <si>
    <t>2022-12-14 19:00:13</t>
  </si>
  <si>
    <t>2022-12-14 18:58:15</t>
  </si>
  <si>
    <t>37.201.145.9</t>
  </si>
  <si>
    <t>Hunnebrock Bustedt</t>
  </si>
  <si>
    <t>2022-12-14 19:15:06</t>
  </si>
  <si>
    <t>2022-12-14 19:12:39</t>
  </si>
  <si>
    <t>217.247.86.145</t>
  </si>
  <si>
    <t>TuS Hunnebrock e.V.</t>
  </si>
  <si>
    <t>2022-12-15 07:51:33</t>
  </si>
  <si>
    <t>2022-12-15 07:41:35</t>
  </si>
  <si>
    <t>79.251.121.68</t>
  </si>
  <si>
    <t>2022-12-16 10:14:26</t>
  </si>
  <si>
    <t>2022-12-16 10:11:05</t>
  </si>
  <si>
    <t>89.246.36.184</t>
  </si>
  <si>
    <t>Der Platz nimmt kein Effet beim Rollen auf. Als wenn er "Wirbel" hätte und man mit Schnitt nicht "gegen den Strich" ankommt.</t>
  </si>
  <si>
    <t>2022-12-16 11:53:42</t>
  </si>
  <si>
    <t>2022-12-16 11:52:15</t>
  </si>
  <si>
    <t>46.114.91.232</t>
  </si>
  <si>
    <t>SG bustedt hunnebrock</t>
  </si>
  <si>
    <t>2022-12-16 14:26:48</t>
  </si>
  <si>
    <t>2022-12-16 14:24:44</t>
  </si>
  <si>
    <t>79.251.120.62</t>
  </si>
  <si>
    <t>2022-12-16 17:03:19</t>
  </si>
  <si>
    <t>2022-12-16 17:02:01</t>
  </si>
  <si>
    <t>95.90.201.77</t>
  </si>
  <si>
    <t>2023-01-02 17:08:25</t>
  </si>
  <si>
    <t>2023-01-02 17:05:37</t>
  </si>
  <si>
    <t>92.73.87.15</t>
  </si>
  <si>
    <t>FC Schwadorf</t>
  </si>
  <si>
    <t>2023-01-09 13:42:14</t>
  </si>
  <si>
    <t>2023-01-09 13:38:14</t>
  </si>
  <si>
    <t>2023-01-09 13:42:13</t>
  </si>
  <si>
    <t>80.187.108.106</t>
  </si>
  <si>
    <t>2023-01-09 13:45:07</t>
  </si>
  <si>
    <t>2023-01-09 13:42:40</t>
  </si>
  <si>
    <t>2023-01-09 14:11:47</t>
  </si>
  <si>
    <t>2023-01-09 14:10:24</t>
  </si>
  <si>
    <t>31.17.255.231</t>
  </si>
  <si>
    <t>2023-01-10 08:52:47</t>
  </si>
  <si>
    <t>2023-01-10 08:51:13</t>
  </si>
  <si>
    <t>2023-01-10 08:52:46</t>
  </si>
  <si>
    <t>5.147.232.98</t>
  </si>
  <si>
    <t>Sportstätte Schwarz Weiß Esch</t>
  </si>
  <si>
    <t>2023-01-12 17:24:38</t>
  </si>
  <si>
    <t>2023-01-12 17:22:34</t>
  </si>
  <si>
    <t>2.247.244.209</t>
  </si>
  <si>
    <t>SV Kripp</t>
  </si>
  <si>
    <t>2023-01-12 18:52:50</t>
  </si>
  <si>
    <t>2023-01-12 17:30:39</t>
  </si>
  <si>
    <t>79.236.64.189</t>
  </si>
  <si>
    <t>2023-01-12 21:10:17</t>
  </si>
  <si>
    <t>2023-01-12 21:08:18</t>
  </si>
  <si>
    <t>46.114.0.79</t>
  </si>
  <si>
    <t>Sportpark Kripp</t>
  </si>
  <si>
    <t>2023-01-13 07:38:41</t>
  </si>
  <si>
    <t>2023-01-13 07:37:11</t>
  </si>
  <si>
    <t>95.91.227.195</t>
  </si>
  <si>
    <t>Remagen Kripp, SV Kripp</t>
  </si>
  <si>
    <t>2023-01-13 08:42:52</t>
  </si>
  <si>
    <t>2023-01-13 08:40:58</t>
  </si>
  <si>
    <t>46.114.192.91</t>
  </si>
  <si>
    <t>Kunstrasen</t>
  </si>
  <si>
    <t>2023-01-16 16:33:53</t>
  </si>
  <si>
    <t>2023-01-16 16:30:29</t>
  </si>
  <si>
    <t>31.150.60.90</t>
  </si>
  <si>
    <t>2023-01-16 16:37:52</t>
  </si>
  <si>
    <t>2023-01-16 16:35:20</t>
  </si>
  <si>
    <t>KR mit Kork</t>
  </si>
  <si>
    <t>IP löschen</t>
  </si>
  <si>
    <t xml:space="preserve">Gummi </t>
  </si>
  <si>
    <t>&lt;=21</t>
  </si>
  <si>
    <t>Alterstruktur</t>
  </si>
  <si>
    <t>22-29</t>
  </si>
  <si>
    <t>&gt;=30</t>
  </si>
  <si>
    <t>Achtung nur von denen genannt wurde</t>
  </si>
  <si>
    <t>Allgemeine Daten</t>
  </si>
  <si>
    <t>TUS Pewsum</t>
  </si>
  <si>
    <t>TUS Mettingen</t>
  </si>
  <si>
    <t>Blau-Weiss Hollage e.V. von 1934</t>
  </si>
  <si>
    <t>München</t>
  </si>
  <si>
    <t>Rheine Mesum</t>
  </si>
  <si>
    <t>Samtgemeinde Holtriem</t>
  </si>
  <si>
    <t>Senden</t>
  </si>
  <si>
    <t>Börsensell</t>
  </si>
  <si>
    <t>Bielefeld Bünde</t>
  </si>
  <si>
    <t>Kirchlengern FC</t>
  </si>
  <si>
    <t>Rheine Amisia</t>
  </si>
  <si>
    <t>FCE Rheine</t>
  </si>
  <si>
    <t>SC Markdorf</t>
  </si>
  <si>
    <t>Löbtauer Kickers</t>
  </si>
  <si>
    <t>Merzhausen</t>
  </si>
  <si>
    <t>Steimbke SV</t>
  </si>
  <si>
    <t>Weyhe Layhausen</t>
  </si>
  <si>
    <t>Kripp e.V. Sportverein</t>
  </si>
  <si>
    <t>BSC Schwalbach</t>
  </si>
  <si>
    <t xml:space="preserve">Langenhorst Welbergen </t>
  </si>
  <si>
    <t>SV ISSUM</t>
  </si>
  <si>
    <t>SV Veert</t>
  </si>
  <si>
    <t>FC Schwadorf (Brühl)</t>
  </si>
  <si>
    <t>FC Brünninghausen e.V.</t>
  </si>
  <si>
    <t>TuS Jöllenbeck e.V.</t>
  </si>
  <si>
    <t>SpVG. Heepen e.V</t>
  </si>
  <si>
    <t>Sportclub Bielefeld 04/26 e.V. (Sudbrack)</t>
  </si>
  <si>
    <t>SV Höninger</t>
  </si>
  <si>
    <t>1. FC Düren</t>
  </si>
  <si>
    <t>SG Striesen</t>
  </si>
  <si>
    <t>VfR Wellensiek</t>
  </si>
  <si>
    <t>??</t>
  </si>
  <si>
    <t>teilgenommen</t>
  </si>
  <si>
    <t>angefragt, aber keine Rückmeldung</t>
  </si>
  <si>
    <t xml:space="preserve">Lengerich </t>
  </si>
  <si>
    <t>Westfalia Hopsten</t>
  </si>
  <si>
    <t>nicht erreicht</t>
  </si>
  <si>
    <t>Bachelorarbeit</t>
  </si>
  <si>
    <t>nicht teilnehmen (Datenschutz)</t>
  </si>
  <si>
    <t>Osnabrück SC</t>
  </si>
  <si>
    <t>Ibbenbüren Amisia</t>
  </si>
  <si>
    <t>Remsloh</t>
  </si>
  <si>
    <t>Amühle</t>
  </si>
  <si>
    <t>Mecklenberg</t>
  </si>
  <si>
    <t>Ja</t>
  </si>
  <si>
    <t>Nein</t>
  </si>
  <si>
    <t>Vereinsliste intern</t>
  </si>
  <si>
    <t>Altersstruktut</t>
  </si>
  <si>
    <t>Infill</t>
  </si>
  <si>
    <t>Altersstruktur im Jahr 2022</t>
  </si>
  <si>
    <t>Rohdaten</t>
  </si>
  <si>
    <t>Auswertung</t>
  </si>
  <si>
    <t>Anzahl angefragte Vereine</t>
  </si>
  <si>
    <t>Anzahl teilgenommene Vereine</t>
  </si>
  <si>
    <t>Alle waren bereit; einer aus Datenschutzgründen nicht, warum die anderen nicht, weiß man nicht</t>
  </si>
  <si>
    <t>Online Befragung</t>
  </si>
  <si>
    <t>Art der Durchführung der Umfrage</t>
  </si>
  <si>
    <t xml:space="preserve">Vor Ort   </t>
  </si>
  <si>
    <t>Anzahl der Vereinsmitglieder</t>
  </si>
  <si>
    <t xml:space="preserve">Umfrage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</si>
</sst>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amily val="2"/>
      <charset val="1"/>
    </font>
    <font>
      <b/>
      <sz val="10"/>
      <name val="Arial"/>
      <family val="2"/>
    </font>
    <font>
      <sz val="8"/>
      <name val="Arial"/>
      <family val="2"/>
      <charset val="1"/>
    </font>
    <font>
      <strike/>
      <sz val="10"/>
      <name val="Arial"/>
      <family val="2"/>
      <charset val="1"/>
    </font>
    <font>
      <b/>
      <sz val="10"/>
      <color rgb="FFFF0000"/>
      <name val="Arial"/>
      <family val="2"/>
    </font>
    <font>
      <sz val="10"/>
      <color theme="4" tint="-0.249977111117893"/>
      <name val="Arial"/>
      <family val="2"/>
      <charset val="1"/>
    </font>
    <font>
      <sz val="10"/>
      <color theme="4" tint="-0.249977111117893"/>
      <name val="Calibri"/>
      <family val="2"/>
      <scheme val="minor"/>
    </font>
    <font>
      <sz val="10"/>
      <name val="Arial"/>
      <family val="2"/>
    </font>
    <font>
      <sz val="10"/>
      <color theme="5"/>
      <name val="Arial"/>
      <family val="2"/>
      <charset val="1"/>
    </font>
    <font>
      <sz val="11"/>
      <name val="Calibri"/>
      <family val="2"/>
      <scheme val="minor"/>
    </font>
    <font>
      <i/>
      <sz val="10"/>
      <name val="Arial"/>
      <family val="2"/>
    </font>
    <font>
      <sz val="10"/>
      <color rgb="FFFF0000"/>
      <name val="Arial"/>
      <family val="2"/>
      <charset val="1"/>
    </font>
    <font>
      <b/>
      <sz val="12"/>
      <name val="Arial"/>
      <family val="2"/>
    </font>
  </fonts>
  <fills count="11">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bgColor indexed="64"/>
      </patternFill>
    </fill>
  </fills>
  <borders count="21">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s>
  <cellStyleXfs count="1">
    <xf numFmtId="0" fontId="0" fillId="0" borderId="0"/>
  </cellStyleXfs>
  <cellXfs count="72">
    <xf numFmtId="0" fontId="0" fillId="0" borderId="0" xfId="0"/>
    <xf numFmtId="0" fontId="0" fillId="0" borderId="1" xfId="0" applyBorder="1"/>
    <xf numFmtId="0" fontId="0" fillId="0" borderId="2" xfId="0" applyBorder="1"/>
    <xf numFmtId="49" fontId="0" fillId="0" borderId="0" xfId="0" applyNumberFormat="1"/>
    <xf numFmtId="0" fontId="0" fillId="0" borderId="0" xfId="0" applyAlignment="1">
      <alignment vertical="top" wrapText="1"/>
    </xf>
    <xf numFmtId="0" fontId="1" fillId="2" borderId="0" xfId="0" applyFont="1" applyFill="1"/>
    <xf numFmtId="0" fontId="1" fillId="0" borderId="0" xfId="0" applyFont="1"/>
    <xf numFmtId="0" fontId="1" fillId="0" borderId="0" xfId="0" applyFont="1" applyAlignment="1">
      <alignment horizontal="right"/>
    </xf>
    <xf numFmtId="0" fontId="0" fillId="0" borderId="0" xfId="0" applyAlignment="1">
      <alignment horizontal="right"/>
    </xf>
    <xf numFmtId="0" fontId="1" fillId="0" borderId="0" xfId="0" applyFont="1" applyAlignment="1">
      <alignment horizontal="left"/>
    </xf>
    <xf numFmtId="0" fontId="0" fillId="3" borderId="0" xfId="0" applyFill="1" applyAlignment="1">
      <alignment vertical="top" wrapText="1"/>
    </xf>
    <xf numFmtId="0" fontId="3" fillId="0" borderId="0" xfId="0" applyFont="1"/>
    <xf numFmtId="0" fontId="0" fillId="2" borderId="0" xfId="0" applyFill="1"/>
    <xf numFmtId="49" fontId="1" fillId="2" borderId="0" xfId="0" applyNumberFormat="1" applyFont="1" applyFill="1"/>
    <xf numFmtId="0" fontId="4" fillId="0" borderId="0" xfId="0" applyFont="1"/>
    <xf numFmtId="0" fontId="0" fillId="0" borderId="0" xfId="0" applyAlignment="1">
      <alignment horizontal="left"/>
    </xf>
    <xf numFmtId="0" fontId="5" fillId="0" borderId="0" xfId="0" applyFont="1" applyAlignment="1">
      <alignment horizontal="left"/>
    </xf>
    <xf numFmtId="0" fontId="1" fillId="2" borderId="0" xfId="0" applyFont="1" applyFill="1" applyAlignment="1">
      <alignment horizontal="left"/>
    </xf>
    <xf numFmtId="0" fontId="6" fillId="0" borderId="0" xfId="0" applyFont="1" applyAlignment="1">
      <alignment horizontal="left" wrapText="1"/>
    </xf>
    <xf numFmtId="0" fontId="0" fillId="4" borderId="0" xfId="0" applyFill="1"/>
    <xf numFmtId="3" fontId="0" fillId="0" borderId="0" xfId="0" applyNumberFormat="1"/>
    <xf numFmtId="0" fontId="0" fillId="0" borderId="3" xfId="0" applyBorder="1"/>
    <xf numFmtId="0" fontId="1" fillId="5" borderId="5" xfId="0" applyFont="1" applyFill="1" applyBorder="1"/>
    <xf numFmtId="0" fontId="1" fillId="5" borderId="6" xfId="0" applyFont="1" applyFill="1" applyBorder="1"/>
    <xf numFmtId="0" fontId="1" fillId="5" borderId="7" xfId="0" applyFont="1" applyFill="1" applyBorder="1"/>
    <xf numFmtId="0" fontId="0" fillId="0" borderId="3" xfId="0" applyBorder="1" applyAlignment="1">
      <alignment vertical="top"/>
    </xf>
    <xf numFmtId="0" fontId="0" fillId="6" borderId="3" xfId="0" applyFill="1" applyBorder="1" applyAlignment="1">
      <alignment vertical="top"/>
    </xf>
    <xf numFmtId="0" fontId="9" fillId="6" borderId="3" xfId="0" applyFont="1" applyFill="1" applyBorder="1" applyAlignment="1">
      <alignment vertical="top"/>
    </xf>
    <xf numFmtId="0" fontId="0" fillId="6" borderId="0" xfId="0" applyFill="1"/>
    <xf numFmtId="0" fontId="0" fillId="5" borderId="0" xfId="0" applyFill="1"/>
    <xf numFmtId="0" fontId="0" fillId="7" borderId="0" xfId="0" applyFill="1"/>
    <xf numFmtId="0" fontId="0" fillId="6" borderId="3" xfId="0" applyFill="1" applyBorder="1" applyAlignment="1">
      <alignment vertical="top" wrapText="1"/>
    </xf>
    <xf numFmtId="0" fontId="9" fillId="6" borderId="3" xfId="0" applyFont="1" applyFill="1" applyBorder="1" applyAlignment="1">
      <alignment vertical="top" wrapText="1"/>
    </xf>
    <xf numFmtId="0" fontId="9" fillId="5" borderId="3" xfId="0" applyFont="1" applyFill="1" applyBorder="1" applyAlignment="1">
      <alignment vertical="top"/>
    </xf>
    <xf numFmtId="0" fontId="9" fillId="5" borderId="3" xfId="0" applyFont="1" applyFill="1" applyBorder="1" applyAlignment="1">
      <alignment vertical="top" wrapText="1"/>
    </xf>
    <xf numFmtId="0" fontId="9" fillId="7" borderId="3" xfId="0" applyFont="1" applyFill="1" applyBorder="1" applyAlignment="1">
      <alignment vertical="top"/>
    </xf>
    <xf numFmtId="0" fontId="0" fillId="6" borderId="3" xfId="0" applyFill="1" applyBorder="1"/>
    <xf numFmtId="0" fontId="10" fillId="8" borderId="0" xfId="0" applyFont="1" applyFill="1"/>
    <xf numFmtId="0" fontId="11" fillId="0" borderId="0" xfId="0" applyFont="1"/>
    <xf numFmtId="0" fontId="1" fillId="0" borderId="4" xfId="0" applyFont="1" applyBorder="1"/>
    <xf numFmtId="0" fontId="1" fillId="0" borderId="5" xfId="0" applyFont="1" applyBorder="1"/>
    <xf numFmtId="0" fontId="1" fillId="0" borderId="0" xfId="0" applyFont="1" applyAlignment="1">
      <alignment horizontal="center" vertical="center"/>
    </xf>
    <xf numFmtId="0" fontId="0" fillId="9" borderId="0" xfId="0" applyFill="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4" borderId="0" xfId="0" applyFill="1" applyAlignment="1">
      <alignment horizontal="left"/>
    </xf>
    <xf numFmtId="0" fontId="8" fillId="0" borderId="0" xfId="0" applyFont="1" applyAlignment="1">
      <alignment horizontal="left"/>
    </xf>
    <xf numFmtId="0" fontId="7" fillId="0" borderId="0" xfId="0" applyFont="1" applyAlignment="1">
      <alignment horizontal="left"/>
    </xf>
    <xf numFmtId="0" fontId="1" fillId="3" borderId="0" xfId="0" applyFont="1" applyFill="1" applyAlignment="1">
      <alignment horizontal="left"/>
    </xf>
    <xf numFmtId="0" fontId="0" fillId="2" borderId="0" xfId="0" applyFill="1" applyAlignment="1">
      <alignment horizontal="left"/>
    </xf>
    <xf numFmtId="0" fontId="1" fillId="0" borderId="13" xfId="0" applyFont="1" applyBorder="1"/>
    <xf numFmtId="0" fontId="1" fillId="0" borderId="6" xfId="0" applyFont="1" applyBorder="1"/>
    <xf numFmtId="0" fontId="1" fillId="5" borderId="14" xfId="0" applyFont="1" applyFill="1" applyBorder="1"/>
    <xf numFmtId="0" fontId="1" fillId="5" borderId="15" xfId="0" applyFont="1" applyFill="1" applyBorder="1"/>
    <xf numFmtId="0" fontId="1" fillId="5" borderId="16" xfId="0" applyFont="1" applyFill="1" applyBorder="1"/>
    <xf numFmtId="0" fontId="1" fillId="5" borderId="9" xfId="0" applyFont="1" applyFill="1" applyBorder="1"/>
    <xf numFmtId="0" fontId="1" fillId="0" borderId="10" xfId="0" applyFont="1" applyBorder="1"/>
    <xf numFmtId="0" fontId="1" fillId="0" borderId="17" xfId="0" applyFont="1" applyBorder="1"/>
    <xf numFmtId="0" fontId="0" fillId="0" borderId="18" xfId="0" applyBorder="1"/>
    <xf numFmtId="0" fontId="1" fillId="0" borderId="19" xfId="0" applyFont="1" applyBorder="1"/>
    <xf numFmtId="0" fontId="1" fillId="0" borderId="10" xfId="0" applyFont="1" applyBorder="1" applyAlignment="1">
      <alignment horizontal="left"/>
    </xf>
    <xf numFmtId="0" fontId="12" fillId="10" borderId="0" xfId="0" applyFont="1" applyFill="1" applyAlignment="1">
      <alignment horizontal="left"/>
    </xf>
    <xf numFmtId="0" fontId="4" fillId="0" borderId="0" xfId="0" applyFont="1" applyAlignment="1">
      <alignment horizontal="center" vertical="center"/>
    </xf>
    <xf numFmtId="0" fontId="0" fillId="0" borderId="0" xfId="0" applyAlignment="1">
      <alignment horizontal="center" vertical="center"/>
    </xf>
    <xf numFmtId="0" fontId="1" fillId="3" borderId="0" xfId="0" applyFont="1" applyFill="1" applyAlignment="1">
      <alignment horizontal="center"/>
    </xf>
    <xf numFmtId="0" fontId="1" fillId="5" borderId="14" xfId="0" applyFont="1" applyFill="1" applyBorder="1" applyAlignment="1">
      <alignment horizontal="center"/>
    </xf>
    <xf numFmtId="0" fontId="1" fillId="5" borderId="20" xfId="0" applyFont="1" applyFill="1" applyBorder="1" applyAlignment="1">
      <alignment horizontal="center"/>
    </xf>
    <xf numFmtId="0" fontId="12" fillId="10" borderId="0" xfId="0" applyFont="1" applyFill="1" applyAlignment="1">
      <alignment horizontal="center"/>
    </xf>
    <xf numFmtId="0" fontId="1" fillId="3" borderId="0" xfId="0" applyFont="1" applyFill="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Altersstruktur der Teilnehmer nach Geschlecht</a:t>
            </a:r>
            <a:r>
              <a:rPr lang="de-DE" baseline="0"/>
              <a:t> </a:t>
            </a:r>
          </a:p>
          <a:p>
            <a:pPr>
              <a:defRPr/>
            </a:pPr>
            <a:r>
              <a:rPr lang="de-DE"/>
              <a:t>n=553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v>weiblich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Grundlagendaten!$O$6:$O$8</c:f>
              <c:strCache>
                <c:ptCount val="3"/>
                <c:pt idx="0">
                  <c:v>&lt;=21</c:v>
                </c:pt>
                <c:pt idx="1">
                  <c:v>22-29</c:v>
                </c:pt>
                <c:pt idx="2">
                  <c:v>&gt;=30</c:v>
                </c:pt>
              </c:strCache>
            </c:strRef>
          </c:cat>
          <c:val>
            <c:numRef>
              <c:f>Grundlagendaten!$P$6:$P$8</c:f>
              <c:numCache>
                <c:formatCode>General</c:formatCode>
                <c:ptCount val="3"/>
                <c:pt idx="0">
                  <c:v>33</c:v>
                </c:pt>
                <c:pt idx="1">
                  <c:v>42</c:v>
                </c:pt>
                <c:pt idx="2">
                  <c:v>16</c:v>
                </c:pt>
              </c:numCache>
            </c:numRef>
          </c:val>
          <c:extLst>
            <c:ext xmlns:c16="http://schemas.microsoft.com/office/drawing/2014/chart" uri="{C3380CC4-5D6E-409C-BE32-E72D297353CC}">
              <c16:uniqueId val="{00000000-061F-488E-8428-E1B68F0F2389}"/>
            </c:ext>
          </c:extLst>
        </c:ser>
        <c:ser>
          <c:idx val="1"/>
          <c:order val="1"/>
          <c:tx>
            <c:v>männlich</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Grundlagendaten!$O$6:$O$8</c:f>
              <c:strCache>
                <c:ptCount val="3"/>
                <c:pt idx="0">
                  <c:v>&lt;=21</c:v>
                </c:pt>
                <c:pt idx="1">
                  <c:v>22-29</c:v>
                </c:pt>
                <c:pt idx="2">
                  <c:v>&gt;=30</c:v>
                </c:pt>
              </c:strCache>
            </c:strRef>
          </c:cat>
          <c:val>
            <c:numRef>
              <c:f>Grundlagendaten!$Q$6:$Q$8</c:f>
              <c:numCache>
                <c:formatCode>General</c:formatCode>
                <c:ptCount val="3"/>
                <c:pt idx="0">
                  <c:v>133</c:v>
                </c:pt>
                <c:pt idx="1">
                  <c:v>209</c:v>
                </c:pt>
                <c:pt idx="2">
                  <c:v>121</c:v>
                </c:pt>
              </c:numCache>
            </c:numRef>
          </c:val>
          <c:extLst>
            <c:ext xmlns:c16="http://schemas.microsoft.com/office/drawing/2014/chart" uri="{C3380CC4-5D6E-409C-BE32-E72D297353CC}">
              <c16:uniqueId val="{00000001-061F-488E-8428-E1B68F0F2389}"/>
            </c:ext>
          </c:extLst>
        </c:ser>
        <c:dLbls>
          <c:dLblPos val="outEnd"/>
          <c:showLegendKey val="0"/>
          <c:showVal val="1"/>
          <c:showCatName val="0"/>
          <c:showSerName val="0"/>
          <c:showPercent val="0"/>
          <c:showBubbleSize val="0"/>
        </c:dLbls>
        <c:gapWidth val="219"/>
        <c:overlap val="-27"/>
        <c:axId val="748725728"/>
        <c:axId val="748726056"/>
      </c:barChart>
      <c:catAx>
        <c:axId val="74872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726056"/>
        <c:crosses val="autoZero"/>
        <c:auto val="1"/>
        <c:lblAlgn val="ctr"/>
        <c:lblOffset val="100"/>
        <c:noMultiLvlLbl val="0"/>
      </c:catAx>
      <c:valAx>
        <c:axId val="748726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Anzahl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725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Teilnehmerstruktur</a:t>
            </a:r>
            <a:r>
              <a:rPr lang="en-US" baseline="0"/>
              <a:t> nach Alter </a:t>
            </a:r>
          </a:p>
          <a:p>
            <a:pPr>
              <a:defRPr/>
            </a:pPr>
            <a:r>
              <a:rPr lang="en-US" baseline="0"/>
              <a:t>n= 568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Grundlagendaten!$O$18</c:f>
              <c:strCache>
                <c:ptCount val="1"/>
                <c:pt idx="0">
                  <c:v>Anzahl</c:v>
                </c:pt>
              </c:strCache>
            </c:strRef>
          </c:tx>
          <c:spPr>
            <a:solidFill>
              <a:schemeClr val="accent1"/>
            </a:solidFill>
            <a:ln>
              <a:noFill/>
            </a:ln>
            <a:effectLst/>
          </c:spPr>
          <c:invertIfNegative val="0"/>
          <c:cat>
            <c:numRef>
              <c:f>Grundlagendaten!$N$19:$N$81</c:f>
              <c:numCache>
                <c:formatCode>General</c:formatCode>
                <c:ptCount val="63"/>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pt idx="56">
                  <c:v>71</c:v>
                </c:pt>
                <c:pt idx="57">
                  <c:v>72</c:v>
                </c:pt>
                <c:pt idx="58">
                  <c:v>73</c:v>
                </c:pt>
                <c:pt idx="59">
                  <c:v>74</c:v>
                </c:pt>
                <c:pt idx="60">
                  <c:v>75</c:v>
                </c:pt>
                <c:pt idx="61">
                  <c:v>76</c:v>
                </c:pt>
                <c:pt idx="62">
                  <c:v>77</c:v>
                </c:pt>
              </c:numCache>
            </c:numRef>
          </c:cat>
          <c:val>
            <c:numRef>
              <c:f>Grundlagendaten!$O$19:$O$81</c:f>
              <c:numCache>
                <c:formatCode>General</c:formatCode>
                <c:ptCount val="63"/>
                <c:pt idx="0">
                  <c:v>5</c:v>
                </c:pt>
                <c:pt idx="1">
                  <c:v>5</c:v>
                </c:pt>
                <c:pt idx="2">
                  <c:v>10</c:v>
                </c:pt>
                <c:pt idx="3">
                  <c:v>21</c:v>
                </c:pt>
                <c:pt idx="4">
                  <c:v>40</c:v>
                </c:pt>
                <c:pt idx="5">
                  <c:v>43</c:v>
                </c:pt>
                <c:pt idx="6">
                  <c:v>48</c:v>
                </c:pt>
                <c:pt idx="7">
                  <c:v>25</c:v>
                </c:pt>
                <c:pt idx="8">
                  <c:v>34</c:v>
                </c:pt>
                <c:pt idx="9">
                  <c:v>30</c:v>
                </c:pt>
                <c:pt idx="10">
                  <c:v>35</c:v>
                </c:pt>
                <c:pt idx="11">
                  <c:v>41</c:v>
                </c:pt>
                <c:pt idx="12">
                  <c:v>33</c:v>
                </c:pt>
                <c:pt idx="13">
                  <c:v>27</c:v>
                </c:pt>
                <c:pt idx="14">
                  <c:v>32</c:v>
                </c:pt>
                <c:pt idx="15">
                  <c:v>26</c:v>
                </c:pt>
                <c:pt idx="16">
                  <c:v>17</c:v>
                </c:pt>
                <c:pt idx="17">
                  <c:v>24</c:v>
                </c:pt>
                <c:pt idx="18">
                  <c:v>11</c:v>
                </c:pt>
                <c:pt idx="19">
                  <c:v>10</c:v>
                </c:pt>
                <c:pt idx="20">
                  <c:v>7</c:v>
                </c:pt>
                <c:pt idx="21">
                  <c:v>11</c:v>
                </c:pt>
                <c:pt idx="22">
                  <c:v>6</c:v>
                </c:pt>
                <c:pt idx="23">
                  <c:v>5</c:v>
                </c:pt>
                <c:pt idx="24">
                  <c:v>4</c:v>
                </c:pt>
                <c:pt idx="25">
                  <c:v>2</c:v>
                </c:pt>
                <c:pt idx="26">
                  <c:v>1</c:v>
                </c:pt>
                <c:pt idx="27">
                  <c:v>2</c:v>
                </c:pt>
                <c:pt idx="28">
                  <c:v>2</c:v>
                </c:pt>
                <c:pt idx="29">
                  <c:v>0</c:v>
                </c:pt>
                <c:pt idx="30">
                  <c:v>0</c:v>
                </c:pt>
                <c:pt idx="31">
                  <c:v>1</c:v>
                </c:pt>
                <c:pt idx="32">
                  <c:v>0</c:v>
                </c:pt>
                <c:pt idx="33">
                  <c:v>0</c:v>
                </c:pt>
                <c:pt idx="34">
                  <c:v>0</c:v>
                </c:pt>
                <c:pt idx="35">
                  <c:v>0</c:v>
                </c:pt>
                <c:pt idx="36">
                  <c:v>1</c:v>
                </c:pt>
                <c:pt idx="37">
                  <c:v>3</c:v>
                </c:pt>
                <c:pt idx="38">
                  <c:v>1</c:v>
                </c:pt>
                <c:pt idx="39">
                  <c:v>0</c:v>
                </c:pt>
                <c:pt idx="40">
                  <c:v>3</c:v>
                </c:pt>
                <c:pt idx="41">
                  <c:v>0</c:v>
                </c:pt>
                <c:pt idx="42">
                  <c:v>0</c:v>
                </c:pt>
                <c:pt idx="43">
                  <c:v>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numCache>
            </c:numRef>
          </c:val>
          <c:extLst>
            <c:ext xmlns:c16="http://schemas.microsoft.com/office/drawing/2014/chart" uri="{C3380CC4-5D6E-409C-BE32-E72D297353CC}">
              <c16:uniqueId val="{00000000-213D-429B-84D0-9E925D2686E3}"/>
            </c:ext>
          </c:extLst>
        </c:ser>
        <c:dLbls>
          <c:showLegendKey val="0"/>
          <c:showVal val="0"/>
          <c:showCatName val="0"/>
          <c:showSerName val="0"/>
          <c:showPercent val="0"/>
          <c:showBubbleSize val="0"/>
        </c:dLbls>
        <c:gapWidth val="219"/>
        <c:overlap val="-27"/>
        <c:axId val="1176205704"/>
        <c:axId val="1176207016"/>
      </c:barChart>
      <c:catAx>
        <c:axId val="1176205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Altersangabe</a:t>
                </a:r>
                <a:r>
                  <a:rPr lang="de-DE" baseline="0"/>
                  <a:t> am Tag der Teilnahme</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76207016"/>
        <c:crosses val="autoZero"/>
        <c:auto val="1"/>
        <c:lblAlgn val="ctr"/>
        <c:lblOffset val="100"/>
        <c:noMultiLvlLbl val="0"/>
      </c:catAx>
      <c:valAx>
        <c:axId val="1176207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Anzahl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76205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34636</xdr:colOff>
      <xdr:row>1</xdr:row>
      <xdr:rowOff>56903</xdr:rowOff>
    </xdr:from>
    <xdr:to>
      <xdr:col>23</xdr:col>
      <xdr:colOff>460170</xdr:colOff>
      <xdr:row>25</xdr:row>
      <xdr:rowOff>161308</xdr:rowOff>
    </xdr:to>
    <xdr:graphicFrame macro="">
      <xdr:nvGraphicFramePr>
        <xdr:cNvPr id="2" name="Diagramm 1">
          <a:extLst>
            <a:ext uri="{FF2B5EF4-FFF2-40B4-BE49-F238E27FC236}">
              <a16:creationId xmlns:a16="http://schemas.microsoft.com/office/drawing/2014/main" id="{6C2F9099-0272-954D-C1CF-0EE516D7E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952500</xdr:colOff>
      <xdr:row>29</xdr:row>
      <xdr:rowOff>19050</xdr:rowOff>
    </xdr:from>
    <xdr:to>
      <xdr:col>24</xdr:col>
      <xdr:colOff>529937</xdr:colOff>
      <xdr:row>58</xdr:row>
      <xdr:rowOff>102176</xdr:rowOff>
    </xdr:to>
    <xdr:graphicFrame macro="">
      <xdr:nvGraphicFramePr>
        <xdr:cNvPr id="4" name="Diagramm 3">
          <a:extLst>
            <a:ext uri="{FF2B5EF4-FFF2-40B4-BE49-F238E27FC236}">
              <a16:creationId xmlns:a16="http://schemas.microsoft.com/office/drawing/2014/main" id="{475D9090-9100-5411-86C3-2CF0E62A6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C7D6-274D-4CDD-BA83-5DEE4C811056}">
  <dimension ref="A1:Y628"/>
  <sheetViews>
    <sheetView topLeftCell="A172" zoomScale="82" zoomScaleNormal="82" workbookViewId="0">
      <selection activeCell="O14" sqref="O14"/>
    </sheetView>
  </sheetViews>
  <sheetFormatPr baseColWidth="10" defaultRowHeight="12.5" x14ac:dyDescent="0.25"/>
  <cols>
    <col min="1" max="1" width="11.54296875" style="15"/>
    <col min="2" max="2" width="17.453125" style="15" customWidth="1"/>
    <col min="3" max="3" width="40.6328125" style="15" customWidth="1"/>
    <col min="4" max="4" width="24.81640625" style="15" customWidth="1"/>
    <col min="5" max="5" width="27.54296875" style="15" customWidth="1"/>
    <col min="8" max="8" width="20.08984375" customWidth="1"/>
    <col min="9" max="9" width="29.453125" customWidth="1"/>
    <col min="10" max="10" width="34.453125" customWidth="1"/>
    <col min="11" max="11" width="31.36328125" customWidth="1"/>
    <col min="12" max="12" width="22.08984375" customWidth="1"/>
    <col min="13" max="13" width="22.453125" customWidth="1"/>
    <col min="14" max="14" width="14.54296875" customWidth="1"/>
    <col min="15" max="17" width="14.36328125" customWidth="1"/>
    <col min="19" max="19" width="17.90625" customWidth="1"/>
    <col min="20" max="21" width="19.6328125" customWidth="1"/>
    <col min="24" max="24" width="15.6328125" customWidth="1"/>
  </cols>
  <sheetData>
    <row r="1" spans="1:25" ht="15.5" x14ac:dyDescent="0.35">
      <c r="A1" s="64" t="s">
        <v>825</v>
      </c>
      <c r="B1" s="64"/>
      <c r="C1" s="64"/>
      <c r="D1" s="64"/>
      <c r="E1" s="64"/>
      <c r="H1" s="70" t="s">
        <v>826</v>
      </c>
      <c r="I1" s="70"/>
      <c r="J1" s="70"/>
      <c r="K1" s="70"/>
      <c r="L1" s="70"/>
      <c r="M1" s="70"/>
      <c r="N1" s="70"/>
      <c r="O1" s="70"/>
      <c r="P1" s="70"/>
      <c r="Q1" s="70"/>
      <c r="R1" s="70"/>
      <c r="S1" s="70"/>
      <c r="T1" s="70"/>
      <c r="U1" s="70"/>
      <c r="V1" s="70"/>
      <c r="W1" s="70"/>
      <c r="X1" s="70"/>
      <c r="Y1" s="70"/>
    </row>
    <row r="3" spans="1:25" s="6" customFormat="1" ht="13" x14ac:dyDescent="0.3">
      <c r="A3" s="51" t="s">
        <v>768</v>
      </c>
      <c r="B3" s="51"/>
      <c r="C3" s="51"/>
      <c r="D3" s="51"/>
      <c r="E3" s="51"/>
      <c r="H3" s="67" t="s">
        <v>774</v>
      </c>
      <c r="I3" s="67"/>
      <c r="J3" s="67"/>
      <c r="K3" s="67"/>
      <c r="L3" s="67"/>
      <c r="M3" s="67"/>
      <c r="N3" s="67"/>
      <c r="O3" s="67"/>
      <c r="P3" s="67"/>
      <c r="Q3" s="67"/>
    </row>
    <row r="4" spans="1:25" ht="13" thickBot="1" x14ac:dyDescent="0.3">
      <c r="A4" s="15">
        <v>1</v>
      </c>
      <c r="C4" s="15" t="s">
        <v>55</v>
      </c>
    </row>
    <row r="5" spans="1:25" ht="13.5" thickBot="1" x14ac:dyDescent="0.35">
      <c r="A5" s="15">
        <v>2</v>
      </c>
      <c r="C5" s="15" t="s">
        <v>55</v>
      </c>
      <c r="H5" s="55" t="s">
        <v>823</v>
      </c>
      <c r="I5" s="56" t="s">
        <v>827</v>
      </c>
      <c r="J5" s="57" t="s">
        <v>828</v>
      </c>
      <c r="K5" s="58" t="s">
        <v>833</v>
      </c>
      <c r="L5" s="68" t="s">
        <v>831</v>
      </c>
      <c r="M5" s="69"/>
      <c r="O5" s="24" t="s">
        <v>770</v>
      </c>
      <c r="P5" s="22" t="s">
        <v>364</v>
      </c>
      <c r="Q5" s="23" t="s">
        <v>172</v>
      </c>
    </row>
    <row r="6" spans="1:25" ht="13" x14ac:dyDescent="0.3">
      <c r="A6" s="15">
        <v>32</v>
      </c>
      <c r="C6" s="15" t="s">
        <v>55</v>
      </c>
      <c r="H6" s="59" t="s">
        <v>171</v>
      </c>
      <c r="I6" s="21">
        <f>COUNTIF(K19:K79,H6)</f>
        <v>16</v>
      </c>
      <c r="J6" s="21">
        <f>COUNTIFS(K19:K79,H6,J19:J79,"Ja")</f>
        <v>16</v>
      </c>
      <c r="K6" s="46">
        <v>144</v>
      </c>
      <c r="L6" s="59" t="s">
        <v>832</v>
      </c>
      <c r="M6" s="46">
        <f>68+254</f>
        <v>322</v>
      </c>
      <c r="N6" s="65"/>
      <c r="O6" s="2" t="s">
        <v>769</v>
      </c>
      <c r="P6" s="2">
        <f>COUNTIFS($D$4:$D$628,$P$5,$E$4:$E$628,$O$6)</f>
        <v>33</v>
      </c>
      <c r="Q6" s="2">
        <f>COUNTIFS($D$4:$D$628,$Q$5,$E$4:$E$628,$O$6)</f>
        <v>133</v>
      </c>
    </row>
    <row r="7" spans="1:25" ht="13" x14ac:dyDescent="0.3">
      <c r="A7" s="15">
        <v>35</v>
      </c>
      <c r="C7" s="15" t="s">
        <v>55</v>
      </c>
      <c r="H7" s="59" t="s">
        <v>374</v>
      </c>
      <c r="I7" s="21">
        <f>COUNTIF(K19:K79,H7)</f>
        <v>25</v>
      </c>
      <c r="J7" s="21">
        <f>COUNTIFS(K21:K81,H7,J21:J81,"Ja")</f>
        <v>11</v>
      </c>
      <c r="K7" s="46">
        <v>143</v>
      </c>
      <c r="L7" s="63" t="s">
        <v>830</v>
      </c>
      <c r="M7" s="46">
        <f>109+42+145</f>
        <v>296</v>
      </c>
      <c r="N7" s="65"/>
      <c r="O7" s="21" t="s">
        <v>771</v>
      </c>
      <c r="P7" s="21">
        <f>COUNTIFS($D$4:$D$628,$P$5,$E$4:$E$628,"&gt;21",$E$4:$E$628,"&lt;30")</f>
        <v>42</v>
      </c>
      <c r="Q7" s="21">
        <f>COUNTIFS($D$4:$D$628,$Q$5,$E$4:$E$628,"&gt;21",E4:E628,"&lt;30")</f>
        <v>209</v>
      </c>
    </row>
    <row r="8" spans="1:25" ht="13.5" thickBot="1" x14ac:dyDescent="0.35">
      <c r="A8" s="15">
        <v>36</v>
      </c>
      <c r="C8" s="15" t="s">
        <v>55</v>
      </c>
      <c r="H8" s="59" t="s">
        <v>445</v>
      </c>
      <c r="I8" s="21">
        <f>COUNTIF(K19:K79,H8)</f>
        <v>13</v>
      </c>
      <c r="J8" s="21">
        <f>COUNTIFS(K22:K82,H8,J22:J82,"Ja")</f>
        <v>12</v>
      </c>
      <c r="K8" s="46">
        <v>175</v>
      </c>
      <c r="N8" s="65"/>
      <c r="O8" s="1" t="s">
        <v>772</v>
      </c>
      <c r="P8" s="1">
        <f>COUNTIFS($D$4:$D$628,$P$5,$E$4:$E$628,$O$8)</f>
        <v>16</v>
      </c>
      <c r="Q8" s="1">
        <f>COUNTIFS($D$4:$D$628,$Q$5,$E$4:$E$628,$O$8)</f>
        <v>121</v>
      </c>
    </row>
    <row r="9" spans="1:25" ht="13.5" thickBot="1" x14ac:dyDescent="0.35">
      <c r="A9" s="15">
        <v>37</v>
      </c>
      <c r="C9" s="15" t="s">
        <v>55</v>
      </c>
      <c r="H9" s="60" t="s">
        <v>167</v>
      </c>
      <c r="I9" s="1">
        <f>COUNTIF(K19:K79,H9)</f>
        <v>7</v>
      </c>
      <c r="J9" s="1">
        <f>COUNTIFS(K24:K84,H9,J24:J84,"Ja")</f>
        <v>4</v>
      </c>
      <c r="K9" s="61">
        <v>156</v>
      </c>
      <c r="L9" s="59"/>
      <c r="M9" s="46"/>
      <c r="O9" s="39" t="s">
        <v>377</v>
      </c>
      <c r="P9" s="40">
        <f>SUM(P6:P8)</f>
        <v>91</v>
      </c>
      <c r="Q9" s="54">
        <f>SUM(Q6:Q8)</f>
        <v>463</v>
      </c>
    </row>
    <row r="10" spans="1:25" ht="13.5" thickBot="1" x14ac:dyDescent="0.35">
      <c r="A10" s="15">
        <v>40</v>
      </c>
      <c r="C10" s="15" t="s">
        <v>55</v>
      </c>
      <c r="H10" s="39" t="s">
        <v>377</v>
      </c>
      <c r="I10" s="40">
        <f>SUM(I6,I7,I8,I9)</f>
        <v>61</v>
      </c>
      <c r="J10" s="53">
        <f>SUM(J6,J7,J8,J9)</f>
        <v>43</v>
      </c>
      <c r="K10" s="62">
        <f ca="1">SUM(K6:K10)</f>
        <v>618</v>
      </c>
      <c r="L10" s="39" t="s">
        <v>377</v>
      </c>
      <c r="M10" s="54">
        <f>SUM(M6:M7)</f>
        <v>618</v>
      </c>
      <c r="P10" s="38" t="s">
        <v>773</v>
      </c>
    </row>
    <row r="11" spans="1:25" x14ac:dyDescent="0.25">
      <c r="A11" s="15">
        <v>41</v>
      </c>
      <c r="C11" s="15" t="s">
        <v>55</v>
      </c>
    </row>
    <row r="12" spans="1:25" x14ac:dyDescent="0.25">
      <c r="A12" s="15">
        <v>43</v>
      </c>
      <c r="C12" s="15" t="s">
        <v>55</v>
      </c>
    </row>
    <row r="13" spans="1:25" ht="13" x14ac:dyDescent="0.3">
      <c r="A13" s="15">
        <v>45</v>
      </c>
      <c r="C13" s="15" t="s">
        <v>55</v>
      </c>
      <c r="H13" s="41"/>
      <c r="I13" s="6"/>
      <c r="J13" s="6"/>
      <c r="K13" s="6"/>
    </row>
    <row r="14" spans="1:25" ht="13" x14ac:dyDescent="0.3">
      <c r="A14" s="15">
        <v>47</v>
      </c>
      <c r="C14" s="15" t="s">
        <v>55</v>
      </c>
      <c r="H14" s="41"/>
      <c r="I14" s="6"/>
      <c r="J14" s="6"/>
      <c r="K14" s="6"/>
    </row>
    <row r="15" spans="1:25" ht="13" x14ac:dyDescent="0.3">
      <c r="A15" s="15">
        <v>63</v>
      </c>
      <c r="C15" s="15" t="s">
        <v>55</v>
      </c>
      <c r="H15" s="41"/>
      <c r="I15" s="6"/>
      <c r="J15" s="6"/>
      <c r="K15" s="6"/>
    </row>
    <row r="16" spans="1:25" ht="13.25" customHeight="1" x14ac:dyDescent="0.3">
      <c r="A16" s="15">
        <v>69</v>
      </c>
      <c r="C16" s="15" t="s">
        <v>55</v>
      </c>
      <c r="G16" s="38" t="s">
        <v>829</v>
      </c>
      <c r="H16" s="41"/>
      <c r="I16" s="6"/>
      <c r="J16" s="6"/>
      <c r="K16" s="6"/>
    </row>
    <row r="17" spans="1:15" ht="13.25" customHeight="1" x14ac:dyDescent="0.3">
      <c r="A17" s="15">
        <v>70</v>
      </c>
      <c r="C17" s="15" t="s">
        <v>55</v>
      </c>
      <c r="H17" s="41"/>
      <c r="I17" s="67" t="s">
        <v>821</v>
      </c>
      <c r="J17" s="67"/>
      <c r="K17" s="67"/>
      <c r="L17" s="67"/>
      <c r="N17" s="67" t="s">
        <v>824</v>
      </c>
      <c r="O17" s="67"/>
    </row>
    <row r="18" spans="1:15" ht="13" thickBot="1" x14ac:dyDescent="0.3">
      <c r="A18" s="15">
        <v>74</v>
      </c>
      <c r="C18" s="15" t="s">
        <v>55</v>
      </c>
      <c r="N18" s="42" t="s">
        <v>822</v>
      </c>
      <c r="O18" s="42" t="s">
        <v>376</v>
      </c>
    </row>
    <row r="19" spans="1:15" ht="13" thickBot="1" x14ac:dyDescent="0.3">
      <c r="A19" s="15">
        <v>7</v>
      </c>
      <c r="B19" s="15" t="s">
        <v>191</v>
      </c>
      <c r="C19" s="15" t="s">
        <v>171</v>
      </c>
      <c r="D19" s="15" t="s">
        <v>364</v>
      </c>
      <c r="E19" s="15">
        <v>30</v>
      </c>
      <c r="I19" s="26" t="s">
        <v>309</v>
      </c>
      <c r="J19" s="26" t="s">
        <v>819</v>
      </c>
      <c r="K19" s="21" t="s">
        <v>374</v>
      </c>
      <c r="L19" s="25">
        <v>2020</v>
      </c>
      <c r="N19" s="43">
        <v>15</v>
      </c>
      <c r="O19" s="44">
        <f>COUNTIF($E$4:$E$628,N19)</f>
        <v>5</v>
      </c>
    </row>
    <row r="20" spans="1:15" ht="13" thickBot="1" x14ac:dyDescent="0.3">
      <c r="A20" s="15">
        <v>8</v>
      </c>
      <c r="B20" s="15" t="s">
        <v>195</v>
      </c>
      <c r="C20" s="15" t="s">
        <v>171</v>
      </c>
      <c r="D20" s="15" t="s">
        <v>172</v>
      </c>
      <c r="E20" s="15">
        <v>32</v>
      </c>
      <c r="I20" s="26" t="s">
        <v>775</v>
      </c>
      <c r="J20" s="26" t="s">
        <v>819</v>
      </c>
      <c r="K20" s="21" t="s">
        <v>445</v>
      </c>
      <c r="L20" s="25">
        <v>2021</v>
      </c>
      <c r="N20" s="45">
        <v>16</v>
      </c>
      <c r="O20" s="44">
        <f t="shared" ref="O20:O83" si="0">COUNTIF($E$4:$E$628,N20)</f>
        <v>5</v>
      </c>
    </row>
    <row r="21" spans="1:15" ht="15" thickBot="1" x14ac:dyDescent="0.3">
      <c r="A21" s="15">
        <v>14</v>
      </c>
      <c r="B21" s="15" t="s">
        <v>195</v>
      </c>
      <c r="C21" s="15" t="s">
        <v>171</v>
      </c>
      <c r="D21" s="15" t="s">
        <v>172</v>
      </c>
      <c r="E21" s="15">
        <v>26</v>
      </c>
      <c r="I21" s="27" t="s">
        <v>776</v>
      </c>
      <c r="J21" s="26" t="s">
        <v>819</v>
      </c>
      <c r="K21" s="21" t="s">
        <v>171</v>
      </c>
      <c r="L21" s="25">
        <v>2011</v>
      </c>
      <c r="N21" s="45">
        <v>17</v>
      </c>
      <c r="O21" s="44">
        <f t="shared" si="0"/>
        <v>10</v>
      </c>
    </row>
    <row r="22" spans="1:15" ht="13" thickBot="1" x14ac:dyDescent="0.3">
      <c r="A22" s="15">
        <v>16</v>
      </c>
      <c r="B22" s="15" t="s">
        <v>191</v>
      </c>
      <c r="C22" s="15" t="s">
        <v>171</v>
      </c>
      <c r="D22" s="15" t="s">
        <v>172</v>
      </c>
      <c r="E22" s="15">
        <v>25</v>
      </c>
      <c r="I22" s="26" t="s">
        <v>614</v>
      </c>
      <c r="J22" s="26" t="s">
        <v>819</v>
      </c>
      <c r="K22" s="21" t="s">
        <v>171</v>
      </c>
      <c r="L22" s="25">
        <v>2014</v>
      </c>
      <c r="N22" s="45">
        <v>18</v>
      </c>
      <c r="O22" s="44">
        <f t="shared" si="0"/>
        <v>21</v>
      </c>
    </row>
    <row r="23" spans="1:15" ht="13" thickBot="1" x14ac:dyDescent="0.3">
      <c r="A23" s="15">
        <v>17</v>
      </c>
      <c r="B23" s="15" t="s">
        <v>205</v>
      </c>
      <c r="C23" s="15" t="s">
        <v>171</v>
      </c>
      <c r="D23" s="15" t="s">
        <v>172</v>
      </c>
      <c r="E23" s="15">
        <v>22</v>
      </c>
      <c r="I23" s="31" t="s">
        <v>777</v>
      </c>
      <c r="J23" s="26" t="s">
        <v>819</v>
      </c>
      <c r="K23" s="21" t="s">
        <v>445</v>
      </c>
      <c r="L23" s="21">
        <v>2020</v>
      </c>
      <c r="N23" s="45">
        <v>19</v>
      </c>
      <c r="O23" s="44">
        <f t="shared" si="0"/>
        <v>40</v>
      </c>
    </row>
    <row r="24" spans="1:15" ht="13" thickBot="1" x14ac:dyDescent="0.3">
      <c r="A24" s="15">
        <v>18</v>
      </c>
      <c r="B24" s="15" t="s">
        <v>191</v>
      </c>
      <c r="C24" s="15" t="s">
        <v>171</v>
      </c>
      <c r="D24" s="15" t="s">
        <v>172</v>
      </c>
      <c r="E24" s="15">
        <v>25</v>
      </c>
      <c r="I24" s="26" t="s">
        <v>373</v>
      </c>
      <c r="J24" s="26" t="s">
        <v>819</v>
      </c>
      <c r="K24" s="21" t="s">
        <v>171</v>
      </c>
      <c r="L24" s="25">
        <v>2018</v>
      </c>
      <c r="N24" s="45">
        <v>20</v>
      </c>
      <c r="O24" s="44">
        <f t="shared" si="0"/>
        <v>43</v>
      </c>
    </row>
    <row r="25" spans="1:15" ht="15" thickBot="1" x14ac:dyDescent="0.3">
      <c r="A25" s="15">
        <v>19</v>
      </c>
      <c r="B25" s="15" t="s">
        <v>205</v>
      </c>
      <c r="C25" s="15" t="s">
        <v>171</v>
      </c>
      <c r="D25" s="15" t="s">
        <v>172</v>
      </c>
      <c r="E25" s="15">
        <v>22</v>
      </c>
      <c r="I25" s="27" t="s">
        <v>778</v>
      </c>
      <c r="J25" s="26" t="s">
        <v>819</v>
      </c>
      <c r="K25" s="21" t="s">
        <v>171</v>
      </c>
      <c r="L25" s="25"/>
      <c r="N25" s="45">
        <v>21</v>
      </c>
      <c r="O25" s="44">
        <f t="shared" si="0"/>
        <v>48</v>
      </c>
    </row>
    <row r="26" spans="1:15" ht="15" thickBot="1" x14ac:dyDescent="0.3">
      <c r="A26" s="15">
        <v>20</v>
      </c>
      <c r="B26" s="15" t="s">
        <v>205</v>
      </c>
      <c r="C26" s="15" t="s">
        <v>171</v>
      </c>
      <c r="D26" s="15" t="s">
        <v>172</v>
      </c>
      <c r="E26" s="15">
        <v>20</v>
      </c>
      <c r="I26" s="32" t="s">
        <v>809</v>
      </c>
      <c r="J26" s="26" t="s">
        <v>819</v>
      </c>
      <c r="K26" s="21" t="s">
        <v>374</v>
      </c>
      <c r="L26" s="25">
        <v>2019</v>
      </c>
      <c r="N26" s="45">
        <v>22</v>
      </c>
      <c r="O26" s="44">
        <f t="shared" si="0"/>
        <v>25</v>
      </c>
    </row>
    <row r="27" spans="1:15" ht="13" thickBot="1" x14ac:dyDescent="0.3">
      <c r="A27" s="15">
        <v>21</v>
      </c>
      <c r="B27" s="15" t="s">
        <v>191</v>
      </c>
      <c r="C27" s="15" t="s">
        <v>171</v>
      </c>
      <c r="D27" s="15" t="s">
        <v>172</v>
      </c>
      <c r="E27" s="15">
        <v>26</v>
      </c>
      <c r="I27" s="26" t="s">
        <v>779</v>
      </c>
      <c r="J27" s="26" t="s">
        <v>819</v>
      </c>
      <c r="K27" s="21" t="s">
        <v>374</v>
      </c>
      <c r="L27" s="25">
        <v>2020</v>
      </c>
      <c r="N27" s="45">
        <v>23</v>
      </c>
      <c r="O27" s="44">
        <f t="shared" si="0"/>
        <v>34</v>
      </c>
    </row>
    <row r="28" spans="1:15" ht="13" thickBot="1" x14ac:dyDescent="0.3">
      <c r="A28" s="15">
        <v>22</v>
      </c>
      <c r="B28" s="15" t="s">
        <v>205</v>
      </c>
      <c r="C28" s="15" t="s">
        <v>171</v>
      </c>
      <c r="D28" s="15" t="s">
        <v>172</v>
      </c>
      <c r="E28" s="15">
        <v>25</v>
      </c>
      <c r="I28" s="26" t="s">
        <v>780</v>
      </c>
      <c r="J28" s="26" t="s">
        <v>819</v>
      </c>
      <c r="K28" s="21" t="s">
        <v>171</v>
      </c>
      <c r="L28" s="25">
        <v>2013</v>
      </c>
      <c r="N28" s="45">
        <v>24</v>
      </c>
      <c r="O28" s="44">
        <f t="shared" si="0"/>
        <v>30</v>
      </c>
    </row>
    <row r="29" spans="1:15" ht="13" thickBot="1" x14ac:dyDescent="0.3">
      <c r="A29" s="15">
        <v>23</v>
      </c>
      <c r="B29" s="15" t="s">
        <v>195</v>
      </c>
      <c r="C29" s="15" t="s">
        <v>171</v>
      </c>
      <c r="D29" s="15" t="s">
        <v>172</v>
      </c>
      <c r="E29" s="15">
        <v>23</v>
      </c>
      <c r="I29" s="26" t="s">
        <v>781</v>
      </c>
      <c r="J29" s="26" t="s">
        <v>819</v>
      </c>
      <c r="K29" s="25" t="s">
        <v>167</v>
      </c>
      <c r="L29" s="25">
        <v>2015</v>
      </c>
      <c r="N29" s="45">
        <v>25</v>
      </c>
      <c r="O29" s="44">
        <f t="shared" si="0"/>
        <v>35</v>
      </c>
    </row>
    <row r="30" spans="1:15" ht="15" thickBot="1" x14ac:dyDescent="0.3">
      <c r="A30" s="15">
        <v>27</v>
      </c>
      <c r="B30" s="15" t="s">
        <v>195</v>
      </c>
      <c r="C30" s="15" t="s">
        <v>171</v>
      </c>
      <c r="D30" s="15" t="s">
        <v>364</v>
      </c>
      <c r="E30" s="15">
        <v>18</v>
      </c>
      <c r="I30" s="33" t="s">
        <v>782</v>
      </c>
      <c r="J30" s="33" t="s">
        <v>820</v>
      </c>
      <c r="K30" s="25" t="s">
        <v>167</v>
      </c>
      <c r="L30" s="25">
        <v>2015</v>
      </c>
      <c r="N30" s="45">
        <v>26</v>
      </c>
      <c r="O30" s="44">
        <f t="shared" si="0"/>
        <v>41</v>
      </c>
    </row>
    <row r="31" spans="1:15" ht="13" thickBot="1" x14ac:dyDescent="0.3">
      <c r="A31" s="15">
        <v>28</v>
      </c>
      <c r="B31" s="15" t="s">
        <v>195</v>
      </c>
      <c r="C31" s="15" t="s">
        <v>171</v>
      </c>
      <c r="D31" s="15" t="s">
        <v>172</v>
      </c>
      <c r="I31" s="26" t="s">
        <v>783</v>
      </c>
      <c r="J31" s="26" t="s">
        <v>819</v>
      </c>
      <c r="K31" s="21" t="s">
        <v>171</v>
      </c>
      <c r="L31" s="25">
        <v>2022</v>
      </c>
      <c r="N31" s="45">
        <v>27</v>
      </c>
      <c r="O31" s="44">
        <f t="shared" si="0"/>
        <v>33</v>
      </c>
    </row>
    <row r="32" spans="1:15" ht="15" thickBot="1" x14ac:dyDescent="0.3">
      <c r="A32" s="15">
        <v>29</v>
      </c>
      <c r="B32" s="15" t="s">
        <v>195</v>
      </c>
      <c r="C32" s="15" t="s">
        <v>171</v>
      </c>
      <c r="D32" s="15" t="s">
        <v>364</v>
      </c>
      <c r="E32" s="15">
        <v>16</v>
      </c>
      <c r="I32" s="27" t="s">
        <v>404</v>
      </c>
      <c r="J32" s="26" t="s">
        <v>819</v>
      </c>
      <c r="K32" s="21" t="s">
        <v>171</v>
      </c>
      <c r="L32" s="25">
        <v>2014</v>
      </c>
      <c r="N32" s="45">
        <v>28</v>
      </c>
      <c r="O32" s="44">
        <f t="shared" si="0"/>
        <v>27</v>
      </c>
    </row>
    <row r="33" spans="1:15" ht="15" thickBot="1" x14ac:dyDescent="0.3">
      <c r="A33" s="15">
        <v>31</v>
      </c>
      <c r="B33" s="15" t="s">
        <v>205</v>
      </c>
      <c r="C33" s="15" t="s">
        <v>171</v>
      </c>
      <c r="D33" s="15" t="s">
        <v>172</v>
      </c>
      <c r="E33" s="15">
        <v>22</v>
      </c>
      <c r="I33" s="27" t="s">
        <v>686</v>
      </c>
      <c r="J33" s="26" t="s">
        <v>819</v>
      </c>
      <c r="K33" s="21" t="s">
        <v>445</v>
      </c>
      <c r="L33" s="25">
        <v>2020</v>
      </c>
      <c r="N33" s="45">
        <v>29</v>
      </c>
      <c r="O33" s="44">
        <f t="shared" si="0"/>
        <v>32</v>
      </c>
    </row>
    <row r="34" spans="1:15" ht="15" thickBot="1" x14ac:dyDescent="0.3">
      <c r="A34" s="15">
        <v>33</v>
      </c>
      <c r="B34" s="15" t="s">
        <v>195</v>
      </c>
      <c r="C34" s="15" t="s">
        <v>171</v>
      </c>
      <c r="D34" s="15" t="s">
        <v>364</v>
      </c>
      <c r="E34" s="15">
        <v>18</v>
      </c>
      <c r="I34" s="33" t="s">
        <v>784</v>
      </c>
      <c r="J34" s="33" t="s">
        <v>820</v>
      </c>
      <c r="K34" s="21" t="s">
        <v>374</v>
      </c>
      <c r="L34" s="25">
        <v>2018</v>
      </c>
      <c r="N34" s="45">
        <v>30</v>
      </c>
      <c r="O34" s="44">
        <f t="shared" si="0"/>
        <v>26</v>
      </c>
    </row>
    <row r="35" spans="1:15" ht="15" thickBot="1" x14ac:dyDescent="0.3">
      <c r="A35" s="15">
        <v>37</v>
      </c>
      <c r="B35" s="15" t="s">
        <v>195</v>
      </c>
      <c r="C35" s="15" t="s">
        <v>171</v>
      </c>
      <c r="D35" s="15" t="s">
        <v>364</v>
      </c>
      <c r="E35" s="15">
        <v>16</v>
      </c>
      <c r="I35" s="27" t="s">
        <v>785</v>
      </c>
      <c r="J35" s="26" t="s">
        <v>819</v>
      </c>
      <c r="K35" s="21" t="s">
        <v>374</v>
      </c>
      <c r="L35" s="25">
        <v>2022</v>
      </c>
      <c r="N35" s="45">
        <v>31</v>
      </c>
      <c r="O35" s="44">
        <f t="shared" si="0"/>
        <v>17</v>
      </c>
    </row>
    <row r="36" spans="1:15" ht="15" thickBot="1" x14ac:dyDescent="0.3">
      <c r="A36" s="15">
        <v>38</v>
      </c>
      <c r="B36" s="15" t="s">
        <v>195</v>
      </c>
      <c r="C36" s="15" t="s">
        <v>171</v>
      </c>
      <c r="D36" s="15" t="s">
        <v>364</v>
      </c>
      <c r="E36" s="15">
        <v>20</v>
      </c>
      <c r="I36" s="33" t="s">
        <v>786</v>
      </c>
      <c r="J36" s="33" t="s">
        <v>820</v>
      </c>
      <c r="K36" s="21" t="s">
        <v>374</v>
      </c>
      <c r="L36" s="25">
        <v>2021</v>
      </c>
      <c r="N36" s="45">
        <v>32</v>
      </c>
      <c r="O36" s="44">
        <f t="shared" si="0"/>
        <v>24</v>
      </c>
    </row>
    <row r="37" spans="1:15" ht="15" thickBot="1" x14ac:dyDescent="0.3">
      <c r="A37" s="15">
        <v>44</v>
      </c>
      <c r="B37" s="15" t="s">
        <v>191</v>
      </c>
      <c r="C37" s="15" t="s">
        <v>171</v>
      </c>
      <c r="D37" s="15" t="s">
        <v>364</v>
      </c>
      <c r="E37" s="15">
        <v>37</v>
      </c>
      <c r="I37" s="27" t="s">
        <v>449</v>
      </c>
      <c r="J37" s="26" t="s">
        <v>819</v>
      </c>
      <c r="K37" s="21" t="s">
        <v>445</v>
      </c>
      <c r="L37" s="25">
        <v>2021</v>
      </c>
      <c r="N37" s="45">
        <v>33</v>
      </c>
      <c r="O37" s="44">
        <f t="shared" si="0"/>
        <v>11</v>
      </c>
    </row>
    <row r="38" spans="1:15" ht="15" thickBot="1" x14ac:dyDescent="0.3">
      <c r="A38" s="15">
        <v>45</v>
      </c>
      <c r="B38" s="15" t="s">
        <v>258</v>
      </c>
      <c r="C38" s="15" t="s">
        <v>171</v>
      </c>
      <c r="D38" s="15" t="s">
        <v>364</v>
      </c>
      <c r="E38" s="15">
        <v>26</v>
      </c>
      <c r="I38" s="33" t="s">
        <v>787</v>
      </c>
      <c r="J38" s="33" t="s">
        <v>820</v>
      </c>
      <c r="K38" s="25" t="s">
        <v>167</v>
      </c>
      <c r="L38" s="25">
        <v>2020</v>
      </c>
      <c r="N38" s="45">
        <v>34</v>
      </c>
      <c r="O38" s="44">
        <f t="shared" si="0"/>
        <v>10</v>
      </c>
    </row>
    <row r="39" spans="1:15" ht="15" thickBot="1" x14ac:dyDescent="0.3">
      <c r="A39" s="15">
        <v>46</v>
      </c>
      <c r="B39" s="15" t="s">
        <v>191</v>
      </c>
      <c r="C39" s="15" t="s">
        <v>171</v>
      </c>
      <c r="D39" s="15" t="s">
        <v>364</v>
      </c>
      <c r="E39" s="15">
        <v>30</v>
      </c>
      <c r="I39" s="33" t="s">
        <v>788</v>
      </c>
      <c r="J39" s="33" t="s">
        <v>820</v>
      </c>
      <c r="K39" s="25" t="s">
        <v>167</v>
      </c>
      <c r="L39" s="25">
        <v>2020</v>
      </c>
      <c r="N39" s="45">
        <v>35</v>
      </c>
      <c r="O39" s="44">
        <f t="shared" si="0"/>
        <v>7</v>
      </c>
    </row>
    <row r="40" spans="1:15" ht="15" thickBot="1" x14ac:dyDescent="0.3">
      <c r="A40" s="15">
        <v>47</v>
      </c>
      <c r="B40" s="15" t="s">
        <v>205</v>
      </c>
      <c r="C40" s="15" t="s">
        <v>171</v>
      </c>
      <c r="D40" s="15" t="s">
        <v>172</v>
      </c>
      <c r="E40" s="15">
        <v>20</v>
      </c>
      <c r="I40" s="27" t="s">
        <v>789</v>
      </c>
      <c r="J40" s="26" t="s">
        <v>819</v>
      </c>
      <c r="K40" s="25" t="s">
        <v>167</v>
      </c>
      <c r="L40" s="25">
        <v>2011</v>
      </c>
      <c r="N40" s="45">
        <v>36</v>
      </c>
      <c r="O40" s="44">
        <f t="shared" si="0"/>
        <v>11</v>
      </c>
    </row>
    <row r="41" spans="1:15" ht="15" thickBot="1" x14ac:dyDescent="0.3">
      <c r="A41" s="15">
        <v>49</v>
      </c>
      <c r="B41" s="15" t="s">
        <v>205</v>
      </c>
      <c r="C41" s="15" t="s">
        <v>171</v>
      </c>
      <c r="D41" s="15" t="s">
        <v>364</v>
      </c>
      <c r="E41" s="15">
        <v>28</v>
      </c>
      <c r="I41" s="27" t="s">
        <v>790</v>
      </c>
      <c r="J41" s="26" t="s">
        <v>819</v>
      </c>
      <c r="K41" s="21" t="s">
        <v>445</v>
      </c>
      <c r="L41" s="25">
        <v>2014</v>
      </c>
      <c r="N41" s="45">
        <v>37</v>
      </c>
      <c r="O41" s="44">
        <f t="shared" si="0"/>
        <v>6</v>
      </c>
    </row>
    <row r="42" spans="1:15" ht="15" thickBot="1" x14ac:dyDescent="0.3">
      <c r="A42" s="15">
        <v>50</v>
      </c>
      <c r="B42" s="15" t="s">
        <v>205</v>
      </c>
      <c r="C42" s="15" t="s">
        <v>171</v>
      </c>
      <c r="D42" s="15" t="s">
        <v>364</v>
      </c>
      <c r="E42" s="15">
        <v>20</v>
      </c>
      <c r="I42" s="27" t="s">
        <v>791</v>
      </c>
      <c r="J42" s="26" t="s">
        <v>819</v>
      </c>
      <c r="K42" s="21" t="s">
        <v>445</v>
      </c>
      <c r="L42" s="25"/>
      <c r="N42" s="45">
        <v>38</v>
      </c>
      <c r="O42" s="44">
        <f t="shared" si="0"/>
        <v>5</v>
      </c>
    </row>
    <row r="43" spans="1:15" ht="15" thickBot="1" x14ac:dyDescent="0.3">
      <c r="A43" s="15">
        <v>54</v>
      </c>
      <c r="B43" s="15" t="s">
        <v>274</v>
      </c>
      <c r="C43" s="15" t="s">
        <v>171</v>
      </c>
      <c r="D43" s="15" t="s">
        <v>364</v>
      </c>
      <c r="E43" s="15">
        <v>34</v>
      </c>
      <c r="I43" s="27" t="s">
        <v>465</v>
      </c>
      <c r="J43" s="26" t="s">
        <v>819</v>
      </c>
      <c r="K43" s="21" t="s">
        <v>171</v>
      </c>
      <c r="L43" s="25">
        <v>2018</v>
      </c>
      <c r="N43" s="45">
        <v>39</v>
      </c>
      <c r="O43" s="44">
        <f t="shared" si="0"/>
        <v>4</v>
      </c>
    </row>
    <row r="44" spans="1:15" ht="15" thickBot="1" x14ac:dyDescent="0.3">
      <c r="A44" s="15">
        <v>59</v>
      </c>
      <c r="B44" s="15" t="s">
        <v>278</v>
      </c>
      <c r="C44" s="15" t="s">
        <v>171</v>
      </c>
      <c r="D44" s="15" t="s">
        <v>364</v>
      </c>
      <c r="E44" s="15">
        <v>20</v>
      </c>
      <c r="I44" s="27" t="s">
        <v>810</v>
      </c>
      <c r="J44" s="26" t="s">
        <v>819</v>
      </c>
      <c r="K44" s="21" t="s">
        <v>171</v>
      </c>
      <c r="L44" s="25">
        <v>2016</v>
      </c>
      <c r="N44" s="45">
        <v>40</v>
      </c>
      <c r="O44" s="44">
        <f t="shared" si="0"/>
        <v>2</v>
      </c>
    </row>
    <row r="45" spans="1:15" ht="15" thickBot="1" x14ac:dyDescent="0.3">
      <c r="A45" s="15">
        <v>60</v>
      </c>
      <c r="B45" s="15" t="s">
        <v>282</v>
      </c>
      <c r="C45" s="15" t="s">
        <v>171</v>
      </c>
      <c r="D45" s="15" t="s">
        <v>364</v>
      </c>
      <c r="E45" s="15">
        <v>28</v>
      </c>
      <c r="I45" s="27" t="s">
        <v>530</v>
      </c>
      <c r="J45" s="26" t="s">
        <v>819</v>
      </c>
      <c r="K45" s="21" t="s">
        <v>445</v>
      </c>
      <c r="L45" s="25">
        <v>2018</v>
      </c>
      <c r="N45" s="45">
        <v>41</v>
      </c>
      <c r="O45" s="44">
        <f t="shared" si="0"/>
        <v>1</v>
      </c>
    </row>
    <row r="46" spans="1:15" ht="15" thickBot="1" x14ac:dyDescent="0.3">
      <c r="A46" s="15">
        <v>61</v>
      </c>
      <c r="B46" s="15" t="s">
        <v>286</v>
      </c>
      <c r="C46" s="15" t="s">
        <v>171</v>
      </c>
      <c r="D46" s="15" t="s">
        <v>364</v>
      </c>
      <c r="E46" s="15">
        <v>21</v>
      </c>
      <c r="I46" s="27" t="s">
        <v>792</v>
      </c>
      <c r="J46" s="26" t="s">
        <v>819</v>
      </c>
      <c r="K46" s="21" t="s">
        <v>374</v>
      </c>
      <c r="L46" s="25">
        <v>2021</v>
      </c>
      <c r="N46" s="45">
        <v>42</v>
      </c>
      <c r="O46" s="44">
        <f t="shared" si="0"/>
        <v>2</v>
      </c>
    </row>
    <row r="47" spans="1:15" ht="15" thickBot="1" x14ac:dyDescent="0.3">
      <c r="A47" s="15">
        <v>73</v>
      </c>
      <c r="B47" s="15" t="s">
        <v>373</v>
      </c>
      <c r="C47" s="15" t="s">
        <v>171</v>
      </c>
      <c r="D47" s="15" t="s">
        <v>364</v>
      </c>
      <c r="E47" s="15">
        <v>20</v>
      </c>
      <c r="I47" s="33" t="s">
        <v>793</v>
      </c>
      <c r="J47" s="33" t="s">
        <v>820</v>
      </c>
      <c r="K47" s="21" t="s">
        <v>374</v>
      </c>
      <c r="L47" s="25">
        <v>2020</v>
      </c>
      <c r="N47" s="45">
        <v>43</v>
      </c>
      <c r="O47" s="44">
        <f t="shared" si="0"/>
        <v>2</v>
      </c>
    </row>
    <row r="48" spans="1:15" ht="15" thickBot="1" x14ac:dyDescent="0.3">
      <c r="A48" s="15">
        <v>75</v>
      </c>
      <c r="B48" s="15" t="s">
        <v>320</v>
      </c>
      <c r="C48" s="15" t="s">
        <v>171</v>
      </c>
      <c r="D48" s="15" t="s">
        <v>364</v>
      </c>
      <c r="E48" s="15">
        <v>19</v>
      </c>
      <c r="I48" s="27" t="s">
        <v>794</v>
      </c>
      <c r="J48" s="26" t="s">
        <v>819</v>
      </c>
      <c r="K48" s="21" t="s">
        <v>445</v>
      </c>
      <c r="L48" s="25">
        <v>2020</v>
      </c>
      <c r="N48" s="45">
        <v>44</v>
      </c>
      <c r="O48" s="44">
        <f t="shared" si="0"/>
        <v>0</v>
      </c>
    </row>
    <row r="49" spans="1:15" ht="15" thickBot="1" x14ac:dyDescent="0.3">
      <c r="A49" s="15">
        <v>76</v>
      </c>
      <c r="B49" s="15" t="s">
        <v>324</v>
      </c>
      <c r="C49" s="15" t="s">
        <v>171</v>
      </c>
      <c r="D49" s="15" t="s">
        <v>172</v>
      </c>
      <c r="E49" s="15">
        <v>26</v>
      </c>
      <c r="I49" s="27" t="s">
        <v>469</v>
      </c>
      <c r="J49" s="26" t="s">
        <v>819</v>
      </c>
      <c r="K49" s="21" t="s">
        <v>171</v>
      </c>
      <c r="L49" s="25">
        <v>2018</v>
      </c>
      <c r="N49" s="45">
        <v>45</v>
      </c>
      <c r="O49" s="44">
        <f t="shared" si="0"/>
        <v>0</v>
      </c>
    </row>
    <row r="50" spans="1:15" ht="15" thickBot="1" x14ac:dyDescent="0.3">
      <c r="A50" s="15">
        <v>95</v>
      </c>
      <c r="B50" s="15" t="s">
        <v>387</v>
      </c>
      <c r="C50" s="15" t="s">
        <v>171</v>
      </c>
      <c r="D50" s="15" t="s">
        <v>172</v>
      </c>
      <c r="E50" s="15">
        <v>25</v>
      </c>
      <c r="I50" s="33" t="s">
        <v>795</v>
      </c>
      <c r="J50" s="33" t="s">
        <v>820</v>
      </c>
      <c r="K50" s="21" t="s">
        <v>374</v>
      </c>
      <c r="L50" s="25">
        <v>2019</v>
      </c>
      <c r="N50" s="45">
        <v>46</v>
      </c>
      <c r="O50" s="44">
        <f t="shared" si="0"/>
        <v>1</v>
      </c>
    </row>
    <row r="51" spans="1:15" ht="15" thickBot="1" x14ac:dyDescent="0.3">
      <c r="A51" s="15">
        <v>102</v>
      </c>
      <c r="B51" s="15" t="s">
        <v>205</v>
      </c>
      <c r="C51" s="15" t="s">
        <v>171</v>
      </c>
      <c r="D51" s="15" t="s">
        <v>172</v>
      </c>
      <c r="E51" s="15" t="s">
        <v>400</v>
      </c>
      <c r="I51" s="33" t="s">
        <v>796</v>
      </c>
      <c r="J51" s="33" t="s">
        <v>820</v>
      </c>
      <c r="K51" s="21" t="s">
        <v>374</v>
      </c>
      <c r="L51" s="25">
        <v>2018</v>
      </c>
      <c r="N51" s="45">
        <v>47</v>
      </c>
      <c r="O51" s="44">
        <f t="shared" si="0"/>
        <v>0</v>
      </c>
    </row>
    <row r="52" spans="1:15" ht="15" thickBot="1" x14ac:dyDescent="0.3">
      <c r="A52" s="15">
        <v>103</v>
      </c>
      <c r="B52" s="15" t="s">
        <v>404</v>
      </c>
      <c r="C52" s="15" t="s">
        <v>171</v>
      </c>
      <c r="D52" s="15" t="s">
        <v>172</v>
      </c>
      <c r="E52" s="15">
        <v>32</v>
      </c>
      <c r="I52" s="27" t="s">
        <v>797</v>
      </c>
      <c r="J52" s="26" t="s">
        <v>819</v>
      </c>
      <c r="K52" s="21" t="s">
        <v>374</v>
      </c>
      <c r="L52" s="25">
        <v>2018</v>
      </c>
      <c r="N52" s="45">
        <v>48</v>
      </c>
      <c r="O52" s="44">
        <f t="shared" si="0"/>
        <v>0</v>
      </c>
    </row>
    <row r="53" spans="1:15" ht="15" thickBot="1" x14ac:dyDescent="0.3">
      <c r="A53" s="15">
        <v>104</v>
      </c>
      <c r="B53" s="15" t="s">
        <v>408</v>
      </c>
      <c r="C53" s="15" t="s">
        <v>171</v>
      </c>
      <c r="D53" s="15" t="s">
        <v>172</v>
      </c>
      <c r="E53" s="15">
        <v>27</v>
      </c>
      <c r="I53" s="33" t="s">
        <v>798</v>
      </c>
      <c r="J53" s="33" t="s">
        <v>820</v>
      </c>
      <c r="K53" s="21" t="s">
        <v>374</v>
      </c>
      <c r="L53" s="25">
        <v>2021</v>
      </c>
      <c r="N53" s="45">
        <v>49</v>
      </c>
      <c r="O53" s="44">
        <f t="shared" si="0"/>
        <v>0</v>
      </c>
    </row>
    <row r="54" spans="1:15" ht="15" thickBot="1" x14ac:dyDescent="0.3">
      <c r="A54" s="15">
        <v>107</v>
      </c>
      <c r="B54" s="15" t="s">
        <v>373</v>
      </c>
      <c r="C54" s="15" t="s">
        <v>171</v>
      </c>
      <c r="D54" s="15" t="s">
        <v>172</v>
      </c>
      <c r="E54" s="15">
        <v>25</v>
      </c>
      <c r="I54" s="33" t="s">
        <v>799</v>
      </c>
      <c r="J54" s="33" t="s">
        <v>820</v>
      </c>
      <c r="K54" s="21" t="s">
        <v>374</v>
      </c>
      <c r="L54" s="25">
        <v>2018</v>
      </c>
      <c r="N54" s="45">
        <v>50</v>
      </c>
      <c r="O54" s="44">
        <f t="shared" si="0"/>
        <v>0</v>
      </c>
    </row>
    <row r="55" spans="1:15" ht="15" thickBot="1" x14ac:dyDescent="0.3">
      <c r="A55" s="15">
        <v>113</v>
      </c>
      <c r="B55" s="15" t="s">
        <v>373</v>
      </c>
      <c r="C55" s="15" t="s">
        <v>171</v>
      </c>
      <c r="D55" s="15" t="s">
        <v>172</v>
      </c>
      <c r="E55" s="15">
        <v>25</v>
      </c>
      <c r="I55" s="33" t="s">
        <v>800</v>
      </c>
      <c r="J55" s="33" t="s">
        <v>820</v>
      </c>
      <c r="K55" s="21" t="s">
        <v>374</v>
      </c>
      <c r="L55" s="25" t="s">
        <v>806</v>
      </c>
      <c r="N55" s="45">
        <v>51</v>
      </c>
      <c r="O55" s="44">
        <f t="shared" si="0"/>
        <v>1</v>
      </c>
    </row>
    <row r="56" spans="1:15" ht="29.5" thickBot="1" x14ac:dyDescent="0.3">
      <c r="A56" s="15">
        <v>125</v>
      </c>
      <c r="B56" s="15" t="s">
        <v>465</v>
      </c>
      <c r="C56" s="15" t="s">
        <v>171</v>
      </c>
      <c r="D56" s="15" t="s">
        <v>364</v>
      </c>
      <c r="E56" s="15">
        <v>27</v>
      </c>
      <c r="I56" s="34" t="s">
        <v>801</v>
      </c>
      <c r="J56" s="33" t="s">
        <v>820</v>
      </c>
      <c r="K56" s="21" t="s">
        <v>374</v>
      </c>
      <c r="L56" s="25"/>
      <c r="N56" s="45">
        <v>52</v>
      </c>
      <c r="O56" s="44">
        <f t="shared" si="0"/>
        <v>3</v>
      </c>
    </row>
    <row r="57" spans="1:15" ht="15" thickBot="1" x14ac:dyDescent="0.35">
      <c r="A57" s="15">
        <v>126</v>
      </c>
      <c r="B57" s="15" t="s">
        <v>469</v>
      </c>
      <c r="C57" s="15" t="s">
        <v>171</v>
      </c>
      <c r="D57" s="15" t="s">
        <v>364</v>
      </c>
      <c r="E57" s="15">
        <v>32</v>
      </c>
      <c r="H57" s="37" t="s">
        <v>811</v>
      </c>
      <c r="I57" s="33" t="s">
        <v>802</v>
      </c>
      <c r="J57" s="33" t="s">
        <v>820</v>
      </c>
      <c r="K57" s="21" t="s">
        <v>374</v>
      </c>
      <c r="L57" s="25">
        <v>2020</v>
      </c>
      <c r="N57" s="45">
        <v>53</v>
      </c>
      <c r="O57" s="44">
        <f t="shared" si="0"/>
        <v>1</v>
      </c>
    </row>
    <row r="58" spans="1:15" ht="15" thickBot="1" x14ac:dyDescent="0.35">
      <c r="A58" s="15">
        <v>147</v>
      </c>
      <c r="B58" s="15" t="s">
        <v>465</v>
      </c>
      <c r="C58" s="15" t="s">
        <v>171</v>
      </c>
      <c r="D58" s="15" t="s">
        <v>364</v>
      </c>
      <c r="E58" s="15">
        <v>30</v>
      </c>
      <c r="H58" s="37" t="s">
        <v>811</v>
      </c>
      <c r="I58" s="33" t="s">
        <v>803</v>
      </c>
      <c r="J58" s="33" t="s">
        <v>820</v>
      </c>
      <c r="K58" s="21" t="s">
        <v>374</v>
      </c>
      <c r="L58" s="25">
        <v>2019</v>
      </c>
      <c r="N58" s="45">
        <v>54</v>
      </c>
      <c r="O58" s="44">
        <f t="shared" si="0"/>
        <v>0</v>
      </c>
    </row>
    <row r="59" spans="1:15" ht="15" thickBot="1" x14ac:dyDescent="0.35">
      <c r="A59" s="15">
        <v>148</v>
      </c>
      <c r="B59" s="15" t="s">
        <v>517</v>
      </c>
      <c r="C59" s="15" t="s">
        <v>171</v>
      </c>
      <c r="D59" s="15" t="s">
        <v>364</v>
      </c>
      <c r="E59" s="15">
        <v>23</v>
      </c>
      <c r="H59" s="37" t="s">
        <v>811</v>
      </c>
      <c r="I59" s="33" t="s">
        <v>804</v>
      </c>
      <c r="J59" s="33" t="s">
        <v>820</v>
      </c>
      <c r="K59" s="21" t="s">
        <v>374</v>
      </c>
      <c r="L59" s="25">
        <v>2021</v>
      </c>
      <c r="N59" s="45">
        <v>55</v>
      </c>
      <c r="O59" s="44">
        <f t="shared" si="0"/>
        <v>3</v>
      </c>
    </row>
    <row r="60" spans="1:15" ht="15" thickBot="1" x14ac:dyDescent="0.3">
      <c r="A60" s="15">
        <v>149</v>
      </c>
      <c r="B60" s="15" t="s">
        <v>521</v>
      </c>
      <c r="C60" s="15" t="s">
        <v>171</v>
      </c>
      <c r="D60" s="15" t="s">
        <v>172</v>
      </c>
      <c r="E60" s="15">
        <v>33</v>
      </c>
      <c r="I60" s="35" t="s">
        <v>805</v>
      </c>
      <c r="J60" s="33" t="s">
        <v>820</v>
      </c>
      <c r="K60" s="21" t="s">
        <v>374</v>
      </c>
      <c r="L60" s="25">
        <v>2018</v>
      </c>
      <c r="N60" s="45">
        <v>56</v>
      </c>
      <c r="O60" s="44">
        <f t="shared" si="0"/>
        <v>0</v>
      </c>
    </row>
    <row r="61" spans="1:15" ht="15" thickBot="1" x14ac:dyDescent="0.3">
      <c r="A61" s="15">
        <v>150</v>
      </c>
      <c r="B61" s="15" t="s">
        <v>526</v>
      </c>
      <c r="C61" s="15" t="s">
        <v>171</v>
      </c>
      <c r="D61" s="15" t="s">
        <v>172</v>
      </c>
      <c r="E61" s="15">
        <v>25</v>
      </c>
      <c r="H61" s="66" t="s">
        <v>812</v>
      </c>
      <c r="I61" s="27" t="s">
        <v>609</v>
      </c>
      <c r="J61" s="26" t="s">
        <v>819</v>
      </c>
      <c r="K61" s="21" t="s">
        <v>171</v>
      </c>
      <c r="L61" s="25">
        <v>2015</v>
      </c>
      <c r="N61" s="45">
        <v>57</v>
      </c>
      <c r="O61" s="44">
        <f t="shared" si="0"/>
        <v>0</v>
      </c>
    </row>
    <row r="62" spans="1:15" ht="15" thickBot="1" x14ac:dyDescent="0.3">
      <c r="A62" s="15">
        <v>153</v>
      </c>
      <c r="B62" s="15" t="s">
        <v>534</v>
      </c>
      <c r="C62" s="15" t="s">
        <v>171</v>
      </c>
      <c r="D62" s="15" t="s">
        <v>172</v>
      </c>
      <c r="E62" s="15">
        <v>26</v>
      </c>
      <c r="H62" s="66"/>
      <c r="I62" s="27" t="s">
        <v>610</v>
      </c>
      <c r="J62" s="26" t="s">
        <v>819</v>
      </c>
      <c r="K62" s="21" t="s">
        <v>171</v>
      </c>
      <c r="L62" s="21"/>
      <c r="N62" s="45">
        <v>58</v>
      </c>
      <c r="O62" s="44">
        <f t="shared" si="0"/>
        <v>2</v>
      </c>
    </row>
    <row r="63" spans="1:15" ht="13" thickBot="1" x14ac:dyDescent="0.3">
      <c r="A63" s="15">
        <v>154</v>
      </c>
      <c r="B63" s="15" t="s">
        <v>534</v>
      </c>
      <c r="C63" s="15" t="s">
        <v>171</v>
      </c>
      <c r="D63" s="15" t="s">
        <v>172</v>
      </c>
      <c r="E63" s="15">
        <v>26</v>
      </c>
      <c r="H63" s="66"/>
      <c r="I63" s="36" t="s">
        <v>814</v>
      </c>
      <c r="J63" s="26" t="s">
        <v>819</v>
      </c>
      <c r="K63" s="21" t="s">
        <v>171</v>
      </c>
      <c r="L63" s="25">
        <v>2015</v>
      </c>
      <c r="N63" s="45">
        <v>59</v>
      </c>
      <c r="O63" s="44">
        <f t="shared" si="0"/>
        <v>0</v>
      </c>
    </row>
    <row r="64" spans="1:15" ht="13" thickBot="1" x14ac:dyDescent="0.3">
      <c r="A64" s="15">
        <v>169</v>
      </c>
      <c r="B64" s="15" t="s">
        <v>534</v>
      </c>
      <c r="C64" s="15" t="s">
        <v>171</v>
      </c>
      <c r="D64" s="15" t="s">
        <v>172</v>
      </c>
      <c r="H64" s="66"/>
      <c r="I64" s="36" t="s">
        <v>612</v>
      </c>
      <c r="J64" s="26" t="s">
        <v>819</v>
      </c>
      <c r="K64" s="21" t="s">
        <v>171</v>
      </c>
      <c r="L64" s="21"/>
      <c r="N64" s="45">
        <v>60</v>
      </c>
      <c r="O64" s="44">
        <f t="shared" si="0"/>
        <v>0</v>
      </c>
    </row>
    <row r="65" spans="1:15" ht="13" thickBot="1" x14ac:dyDescent="0.3">
      <c r="A65" s="15">
        <v>171</v>
      </c>
      <c r="B65" s="15" t="s">
        <v>565</v>
      </c>
      <c r="C65" s="15" t="s">
        <v>171</v>
      </c>
      <c r="D65" s="15" t="s">
        <v>172</v>
      </c>
      <c r="E65" s="15">
        <v>19</v>
      </c>
      <c r="H65" s="66"/>
      <c r="I65" s="36" t="s">
        <v>613</v>
      </c>
      <c r="J65" s="26" t="s">
        <v>819</v>
      </c>
      <c r="K65" s="21" t="s">
        <v>171</v>
      </c>
      <c r="L65" s="25">
        <v>2018</v>
      </c>
      <c r="N65" s="45">
        <v>61</v>
      </c>
      <c r="O65" s="44">
        <f t="shared" si="0"/>
        <v>0</v>
      </c>
    </row>
    <row r="66" spans="1:15" ht="13" thickBot="1" x14ac:dyDescent="0.3">
      <c r="A66" s="15">
        <v>176</v>
      </c>
      <c r="B66" s="15" t="s">
        <v>565</v>
      </c>
      <c r="C66" s="15" t="s">
        <v>171</v>
      </c>
      <c r="D66" s="15" t="s">
        <v>172</v>
      </c>
      <c r="E66" s="15">
        <v>29</v>
      </c>
      <c r="H66" s="66"/>
      <c r="I66" s="36" t="s">
        <v>614</v>
      </c>
      <c r="J66" s="26" t="s">
        <v>819</v>
      </c>
      <c r="K66" s="21" t="s">
        <v>171</v>
      </c>
      <c r="L66" s="21"/>
      <c r="N66" s="45">
        <v>62</v>
      </c>
      <c r="O66" s="44">
        <f t="shared" si="0"/>
        <v>0</v>
      </c>
    </row>
    <row r="67" spans="1:15" ht="13" thickBot="1" x14ac:dyDescent="0.3">
      <c r="A67" s="15">
        <v>207</v>
      </c>
      <c r="B67" s="48" t="s">
        <v>671</v>
      </c>
      <c r="C67" s="48" t="s">
        <v>171</v>
      </c>
      <c r="D67" s="15" t="s">
        <v>172</v>
      </c>
      <c r="H67" s="66"/>
      <c r="I67" s="36" t="s">
        <v>615</v>
      </c>
      <c r="J67" s="26" t="s">
        <v>819</v>
      </c>
      <c r="K67" s="21" t="s">
        <v>374</v>
      </c>
      <c r="L67" s="21"/>
      <c r="N67" s="45">
        <v>63</v>
      </c>
      <c r="O67" s="44">
        <f t="shared" si="0"/>
        <v>0</v>
      </c>
    </row>
    <row r="68" spans="1:15" ht="13" thickBot="1" x14ac:dyDescent="0.3">
      <c r="A68" s="15">
        <v>208</v>
      </c>
      <c r="B68" s="15" t="s">
        <v>469</v>
      </c>
      <c r="C68" s="15" t="s">
        <v>171</v>
      </c>
      <c r="D68" s="15" t="s">
        <v>172</v>
      </c>
      <c r="E68" s="15">
        <v>37</v>
      </c>
      <c r="H68" s="66"/>
      <c r="I68" s="36" t="s">
        <v>616</v>
      </c>
      <c r="J68" s="26" t="s">
        <v>819</v>
      </c>
      <c r="K68" s="21" t="s">
        <v>374</v>
      </c>
      <c r="L68" s="21">
        <v>2017</v>
      </c>
      <c r="N68" s="45">
        <v>64</v>
      </c>
      <c r="O68" s="44">
        <f t="shared" si="0"/>
        <v>0</v>
      </c>
    </row>
    <row r="69" spans="1:15" ht="13" thickBot="1" x14ac:dyDescent="0.3">
      <c r="A69" s="15">
        <v>209</v>
      </c>
      <c r="B69" s="15" t="s">
        <v>678</v>
      </c>
      <c r="C69" s="15" t="s">
        <v>171</v>
      </c>
      <c r="D69" s="15" t="s">
        <v>172</v>
      </c>
      <c r="E69" s="15">
        <v>23</v>
      </c>
      <c r="H69" s="66"/>
      <c r="I69" s="36" t="s">
        <v>617</v>
      </c>
      <c r="J69" s="26" t="s">
        <v>819</v>
      </c>
      <c r="K69" s="21" t="s">
        <v>374</v>
      </c>
      <c r="L69" s="21"/>
      <c r="N69" s="45">
        <v>65</v>
      </c>
      <c r="O69" s="44">
        <f t="shared" si="0"/>
        <v>0</v>
      </c>
    </row>
    <row r="70" spans="1:15" ht="13" thickBot="1" x14ac:dyDescent="0.3">
      <c r="A70" s="15">
        <v>210</v>
      </c>
      <c r="B70" s="15" t="s">
        <v>682</v>
      </c>
      <c r="C70" s="15" t="s">
        <v>171</v>
      </c>
      <c r="D70" s="15" t="s">
        <v>172</v>
      </c>
      <c r="E70" s="15">
        <v>33</v>
      </c>
      <c r="H70" s="66"/>
      <c r="I70" s="36" t="s">
        <v>815</v>
      </c>
      <c r="J70" s="26" t="s">
        <v>819</v>
      </c>
      <c r="K70" s="21" t="s">
        <v>374</v>
      </c>
      <c r="L70" s="21">
        <v>2019</v>
      </c>
      <c r="N70" s="45">
        <v>66</v>
      </c>
      <c r="O70" s="44">
        <f t="shared" si="0"/>
        <v>0</v>
      </c>
    </row>
    <row r="71" spans="1:15" ht="13" thickBot="1" x14ac:dyDescent="0.3">
      <c r="A71" s="15">
        <v>212</v>
      </c>
      <c r="B71" s="15" t="s">
        <v>469</v>
      </c>
      <c r="C71" s="15" t="s">
        <v>171</v>
      </c>
      <c r="D71" s="15" t="s">
        <v>172</v>
      </c>
      <c r="E71" s="15">
        <v>24</v>
      </c>
      <c r="H71" s="66"/>
      <c r="I71" s="36" t="s">
        <v>619</v>
      </c>
      <c r="J71" s="26" t="s">
        <v>819</v>
      </c>
      <c r="K71" s="21" t="s">
        <v>374</v>
      </c>
      <c r="L71" s="21"/>
      <c r="N71" s="45">
        <v>67</v>
      </c>
      <c r="O71" s="44">
        <f t="shared" si="0"/>
        <v>0</v>
      </c>
    </row>
    <row r="72" spans="1:15" ht="13" thickBot="1" x14ac:dyDescent="0.3">
      <c r="A72" s="15">
        <v>228</v>
      </c>
      <c r="B72" s="15" t="s">
        <v>521</v>
      </c>
      <c r="C72" s="15" t="s">
        <v>171</v>
      </c>
      <c r="D72" s="15" t="s">
        <v>172</v>
      </c>
      <c r="E72" s="15">
        <v>27</v>
      </c>
      <c r="H72" s="66"/>
      <c r="I72" s="36" t="s">
        <v>621</v>
      </c>
      <c r="J72" s="26" t="s">
        <v>819</v>
      </c>
      <c r="K72" s="21" t="s">
        <v>374</v>
      </c>
      <c r="L72" s="21"/>
      <c r="N72" s="45">
        <v>68</v>
      </c>
      <c r="O72" s="44">
        <f t="shared" si="0"/>
        <v>0</v>
      </c>
    </row>
    <row r="73" spans="1:15" ht="13" thickBot="1" x14ac:dyDescent="0.3">
      <c r="A73" s="16">
        <v>1</v>
      </c>
      <c r="B73" s="16" t="s">
        <v>609</v>
      </c>
      <c r="C73" s="16" t="s">
        <v>171</v>
      </c>
      <c r="D73" s="16" t="s">
        <v>172</v>
      </c>
      <c r="E73" s="16">
        <v>30</v>
      </c>
      <c r="H73" s="66"/>
      <c r="I73" s="36" t="s">
        <v>622</v>
      </c>
      <c r="J73" s="26" t="s">
        <v>819</v>
      </c>
      <c r="K73" s="21" t="s">
        <v>445</v>
      </c>
      <c r="L73" s="21">
        <v>2018</v>
      </c>
      <c r="N73" s="45">
        <v>69</v>
      </c>
      <c r="O73" s="44">
        <f t="shared" si="0"/>
        <v>0</v>
      </c>
    </row>
    <row r="74" spans="1:15" ht="13" thickBot="1" x14ac:dyDescent="0.3">
      <c r="A74" s="16">
        <v>2</v>
      </c>
      <c r="B74" s="16" t="s">
        <v>609</v>
      </c>
      <c r="C74" s="16" t="s">
        <v>171</v>
      </c>
      <c r="D74" s="16" t="s">
        <v>172</v>
      </c>
      <c r="E74" s="16">
        <v>25</v>
      </c>
      <c r="H74" s="66"/>
      <c r="I74" s="36" t="s">
        <v>816</v>
      </c>
      <c r="J74" s="26" t="s">
        <v>819</v>
      </c>
      <c r="K74" s="21" t="s">
        <v>445</v>
      </c>
      <c r="L74" s="21"/>
      <c r="N74" s="45">
        <v>70</v>
      </c>
      <c r="O74" s="44">
        <f t="shared" si="0"/>
        <v>0</v>
      </c>
    </row>
    <row r="75" spans="1:15" ht="13" thickBot="1" x14ac:dyDescent="0.3">
      <c r="A75" s="16">
        <v>3</v>
      </c>
      <c r="B75" s="16" t="s">
        <v>609</v>
      </c>
      <c r="C75" s="16" t="s">
        <v>171</v>
      </c>
      <c r="D75" s="16" t="s">
        <v>172</v>
      </c>
      <c r="E75" s="16">
        <v>26</v>
      </c>
      <c r="H75" s="66"/>
      <c r="I75" s="36" t="s">
        <v>626</v>
      </c>
      <c r="J75" s="26" t="s">
        <v>819</v>
      </c>
      <c r="K75" s="21" t="s">
        <v>445</v>
      </c>
      <c r="L75" s="21">
        <v>2019</v>
      </c>
      <c r="N75" s="45">
        <v>71</v>
      </c>
      <c r="O75" s="44">
        <f t="shared" si="0"/>
        <v>0</v>
      </c>
    </row>
    <row r="76" spans="1:15" ht="13" thickBot="1" x14ac:dyDescent="0.3">
      <c r="A76" s="16">
        <v>4</v>
      </c>
      <c r="B76" s="16" t="s">
        <v>609</v>
      </c>
      <c r="C76" s="16" t="s">
        <v>171</v>
      </c>
      <c r="D76" s="16" t="s">
        <v>172</v>
      </c>
      <c r="E76" s="16">
        <v>19</v>
      </c>
      <c r="H76" s="66"/>
      <c r="I76" s="36" t="s">
        <v>817</v>
      </c>
      <c r="J76" s="26" t="s">
        <v>819</v>
      </c>
      <c r="K76" s="21" t="s">
        <v>445</v>
      </c>
      <c r="L76" s="21"/>
      <c r="N76" s="45">
        <v>72</v>
      </c>
      <c r="O76" s="44">
        <f t="shared" si="0"/>
        <v>0</v>
      </c>
    </row>
    <row r="77" spans="1:15" ht="13" thickBot="1" x14ac:dyDescent="0.3">
      <c r="A77" s="16">
        <v>5</v>
      </c>
      <c r="B77" s="16" t="s">
        <v>609</v>
      </c>
      <c r="C77" s="16" t="s">
        <v>171</v>
      </c>
      <c r="D77" s="16" t="s">
        <v>172</v>
      </c>
      <c r="E77" s="16">
        <v>26</v>
      </c>
      <c r="H77" s="66"/>
      <c r="I77" s="36" t="s">
        <v>629</v>
      </c>
      <c r="J77" s="26" t="s">
        <v>819</v>
      </c>
      <c r="K77" s="21" t="s">
        <v>445</v>
      </c>
      <c r="L77" s="21">
        <v>2018</v>
      </c>
      <c r="N77" s="45">
        <v>73</v>
      </c>
      <c r="O77" s="44">
        <f t="shared" si="0"/>
        <v>0</v>
      </c>
    </row>
    <row r="78" spans="1:15" ht="13" thickBot="1" x14ac:dyDescent="0.3">
      <c r="A78" s="16">
        <v>6</v>
      </c>
      <c r="B78" s="16" t="s">
        <v>609</v>
      </c>
      <c r="C78" s="16" t="s">
        <v>171</v>
      </c>
      <c r="D78" s="16" t="s">
        <v>172</v>
      </c>
      <c r="E78" s="16">
        <v>23</v>
      </c>
      <c r="H78" s="66"/>
      <c r="I78" s="36" t="s">
        <v>635</v>
      </c>
      <c r="J78" s="26" t="s">
        <v>819</v>
      </c>
      <c r="K78" s="25" t="s">
        <v>167</v>
      </c>
      <c r="L78" s="21">
        <v>2018</v>
      </c>
      <c r="N78" s="45">
        <v>74</v>
      </c>
      <c r="O78" s="44">
        <f t="shared" si="0"/>
        <v>0</v>
      </c>
    </row>
    <row r="79" spans="1:15" ht="13" thickBot="1" x14ac:dyDescent="0.3">
      <c r="A79" s="16">
        <v>7</v>
      </c>
      <c r="B79" s="16" t="s">
        <v>609</v>
      </c>
      <c r="C79" s="16" t="s">
        <v>171</v>
      </c>
      <c r="D79" s="16" t="s">
        <v>172</v>
      </c>
      <c r="E79" s="16">
        <v>22</v>
      </c>
      <c r="H79" s="66"/>
      <c r="I79" s="36" t="s">
        <v>818</v>
      </c>
      <c r="J79" s="26" t="s">
        <v>819</v>
      </c>
      <c r="K79" s="25" t="s">
        <v>167</v>
      </c>
      <c r="L79" s="21"/>
      <c r="N79" s="45">
        <v>75</v>
      </c>
      <c r="O79" s="44">
        <f t="shared" si="0"/>
        <v>0</v>
      </c>
    </row>
    <row r="80" spans="1:15" ht="13" thickBot="1" x14ac:dyDescent="0.3">
      <c r="A80" s="16">
        <v>8</v>
      </c>
      <c r="B80" s="16" t="s">
        <v>609</v>
      </c>
      <c r="C80" s="16" t="s">
        <v>171</v>
      </c>
      <c r="D80" s="16" t="s">
        <v>172</v>
      </c>
      <c r="E80" s="16">
        <v>18</v>
      </c>
      <c r="H80" s="66"/>
      <c r="N80" s="45">
        <v>76</v>
      </c>
      <c r="O80" s="44">
        <f t="shared" si="0"/>
        <v>0</v>
      </c>
    </row>
    <row r="81" spans="1:15" ht="13" thickBot="1" x14ac:dyDescent="0.3">
      <c r="A81" s="16">
        <v>9</v>
      </c>
      <c r="B81" s="16" t="s">
        <v>609</v>
      </c>
      <c r="C81" s="16" t="s">
        <v>171</v>
      </c>
      <c r="D81" s="16" t="s">
        <v>172</v>
      </c>
      <c r="E81" s="16">
        <v>26</v>
      </c>
      <c r="N81" s="45">
        <v>77</v>
      </c>
      <c r="O81" s="44">
        <f t="shared" si="0"/>
        <v>0</v>
      </c>
    </row>
    <row r="82" spans="1:15" ht="13" thickBot="1" x14ac:dyDescent="0.3">
      <c r="A82" s="16">
        <v>10</v>
      </c>
      <c r="B82" s="16" t="s">
        <v>609</v>
      </c>
      <c r="C82" s="16" t="s">
        <v>171</v>
      </c>
      <c r="D82" s="16" t="s">
        <v>172</v>
      </c>
      <c r="E82" s="16">
        <v>20</v>
      </c>
      <c r="I82" s="28" t="s">
        <v>807</v>
      </c>
      <c r="N82" s="45">
        <v>78</v>
      </c>
      <c r="O82" s="44">
        <f t="shared" si="0"/>
        <v>0</v>
      </c>
    </row>
    <row r="83" spans="1:15" ht="13" thickBot="1" x14ac:dyDescent="0.3">
      <c r="A83" s="16">
        <v>11</v>
      </c>
      <c r="B83" s="16" t="s">
        <v>609</v>
      </c>
      <c r="C83" s="16" t="s">
        <v>171</v>
      </c>
      <c r="D83" s="16" t="s">
        <v>172</v>
      </c>
      <c r="E83" s="16">
        <v>20</v>
      </c>
      <c r="I83" s="29" t="s">
        <v>808</v>
      </c>
      <c r="N83" s="45">
        <v>79</v>
      </c>
      <c r="O83" s="44">
        <f t="shared" si="0"/>
        <v>0</v>
      </c>
    </row>
    <row r="84" spans="1:15" ht="13" thickBot="1" x14ac:dyDescent="0.3">
      <c r="A84" s="16">
        <v>12</v>
      </c>
      <c r="B84" s="16" t="s">
        <v>609</v>
      </c>
      <c r="C84" s="16" t="s">
        <v>171</v>
      </c>
      <c r="D84" s="16" t="s">
        <v>172</v>
      </c>
      <c r="E84" s="16">
        <v>21</v>
      </c>
      <c r="I84" s="30" t="s">
        <v>813</v>
      </c>
      <c r="N84" s="47">
        <v>80</v>
      </c>
      <c r="O84" s="44">
        <f t="shared" ref="O84" si="1">COUNTIF($E$4:$E$628,N84)</f>
        <v>0</v>
      </c>
    </row>
    <row r="85" spans="1:15" x14ac:dyDescent="0.25">
      <c r="A85" s="16">
        <v>13</v>
      </c>
      <c r="B85" s="16" t="s">
        <v>609</v>
      </c>
      <c r="C85" s="16" t="s">
        <v>171</v>
      </c>
      <c r="D85" s="16" t="s">
        <v>172</v>
      </c>
      <c r="E85" s="16">
        <v>22</v>
      </c>
    </row>
    <row r="86" spans="1:15" ht="13" x14ac:dyDescent="0.3">
      <c r="A86" s="16">
        <v>14</v>
      </c>
      <c r="B86" s="16" t="s">
        <v>609</v>
      </c>
      <c r="C86" s="16" t="s">
        <v>171</v>
      </c>
      <c r="D86" s="16" t="s">
        <v>172</v>
      </c>
      <c r="E86" s="16">
        <v>29</v>
      </c>
      <c r="O86" s="6">
        <f>SUM(O19:O84)</f>
        <v>568</v>
      </c>
    </row>
    <row r="87" spans="1:15" x14ac:dyDescent="0.25">
      <c r="A87" s="16">
        <v>15</v>
      </c>
      <c r="B87" s="16" t="s">
        <v>610</v>
      </c>
      <c r="C87" s="16" t="s">
        <v>171</v>
      </c>
      <c r="D87" s="16" t="s">
        <v>172</v>
      </c>
      <c r="E87" s="16">
        <v>22</v>
      </c>
    </row>
    <row r="88" spans="1:15" x14ac:dyDescent="0.25">
      <c r="A88" s="16">
        <v>16</v>
      </c>
      <c r="B88" s="16" t="s">
        <v>610</v>
      </c>
      <c r="C88" s="16" t="s">
        <v>171</v>
      </c>
      <c r="D88" s="16" t="s">
        <v>172</v>
      </c>
      <c r="E88" s="16">
        <v>30</v>
      </c>
    </row>
    <row r="89" spans="1:15" x14ac:dyDescent="0.25">
      <c r="A89" s="16">
        <v>17</v>
      </c>
      <c r="B89" s="16" t="s">
        <v>610</v>
      </c>
      <c r="C89" s="16" t="s">
        <v>171</v>
      </c>
      <c r="D89" s="16" t="s">
        <v>172</v>
      </c>
      <c r="E89" s="16">
        <v>28</v>
      </c>
    </row>
    <row r="90" spans="1:15" x14ac:dyDescent="0.25">
      <c r="A90" s="16">
        <v>18</v>
      </c>
      <c r="B90" s="16" t="s">
        <v>610</v>
      </c>
      <c r="C90" s="16" t="s">
        <v>171</v>
      </c>
      <c r="D90" s="16" t="s">
        <v>172</v>
      </c>
      <c r="E90" s="16">
        <v>24</v>
      </c>
    </row>
    <row r="91" spans="1:15" x14ac:dyDescent="0.25">
      <c r="A91" s="16">
        <v>19</v>
      </c>
      <c r="B91" s="16" t="s">
        <v>610</v>
      </c>
      <c r="C91" s="16" t="s">
        <v>171</v>
      </c>
      <c r="D91" s="16" t="s">
        <v>172</v>
      </c>
      <c r="E91" s="16">
        <v>20</v>
      </c>
    </row>
    <row r="92" spans="1:15" x14ac:dyDescent="0.25">
      <c r="A92" s="16">
        <v>20</v>
      </c>
      <c r="B92" s="16" t="s">
        <v>610</v>
      </c>
      <c r="C92" s="16" t="s">
        <v>171</v>
      </c>
      <c r="D92" s="16" t="s">
        <v>172</v>
      </c>
      <c r="E92" s="16">
        <v>30</v>
      </c>
    </row>
    <row r="93" spans="1:15" x14ac:dyDescent="0.25">
      <c r="A93" s="16">
        <v>21</v>
      </c>
      <c r="B93" s="16" t="s">
        <v>610</v>
      </c>
      <c r="C93" s="16" t="s">
        <v>171</v>
      </c>
      <c r="D93" s="16" t="s">
        <v>172</v>
      </c>
      <c r="E93" s="16">
        <v>20</v>
      </c>
    </row>
    <row r="94" spans="1:15" x14ac:dyDescent="0.25">
      <c r="A94" s="16">
        <v>22</v>
      </c>
      <c r="B94" s="16" t="s">
        <v>610</v>
      </c>
      <c r="C94" s="16" t="s">
        <v>171</v>
      </c>
      <c r="D94" s="16" t="s">
        <v>172</v>
      </c>
      <c r="E94" s="16">
        <v>26</v>
      </c>
    </row>
    <row r="95" spans="1:15" x14ac:dyDescent="0.25">
      <c r="A95" s="16">
        <v>23</v>
      </c>
      <c r="B95" s="16" t="s">
        <v>610</v>
      </c>
      <c r="C95" s="16" t="s">
        <v>171</v>
      </c>
      <c r="D95" s="16" t="s">
        <v>172</v>
      </c>
      <c r="E95" s="16">
        <v>24</v>
      </c>
    </row>
    <row r="96" spans="1:15" x14ac:dyDescent="0.25">
      <c r="A96" s="16">
        <v>24</v>
      </c>
      <c r="B96" s="16" t="s">
        <v>610</v>
      </c>
      <c r="C96" s="16" t="s">
        <v>171</v>
      </c>
      <c r="D96" s="16" t="s">
        <v>172</v>
      </c>
      <c r="E96" s="16">
        <v>27</v>
      </c>
    </row>
    <row r="97" spans="1:5" x14ac:dyDescent="0.25">
      <c r="A97" s="16">
        <v>25</v>
      </c>
      <c r="B97" s="16" t="s">
        <v>610</v>
      </c>
      <c r="C97" s="16" t="s">
        <v>171</v>
      </c>
      <c r="D97" s="16" t="s">
        <v>172</v>
      </c>
      <c r="E97" s="16">
        <v>29</v>
      </c>
    </row>
    <row r="98" spans="1:5" x14ac:dyDescent="0.25">
      <c r="A98" s="16">
        <v>26</v>
      </c>
      <c r="B98" s="16" t="s">
        <v>610</v>
      </c>
      <c r="C98" s="16" t="s">
        <v>171</v>
      </c>
      <c r="D98" s="16" t="s">
        <v>172</v>
      </c>
      <c r="E98" s="16">
        <v>22</v>
      </c>
    </row>
    <row r="99" spans="1:5" x14ac:dyDescent="0.25">
      <c r="A99" s="16">
        <v>27</v>
      </c>
      <c r="B99" s="16" t="s">
        <v>611</v>
      </c>
      <c r="C99" s="16" t="s">
        <v>171</v>
      </c>
      <c r="D99" s="16" t="s">
        <v>172</v>
      </c>
      <c r="E99" s="16">
        <v>38</v>
      </c>
    </row>
    <row r="100" spans="1:5" x14ac:dyDescent="0.25">
      <c r="A100" s="16">
        <v>28</v>
      </c>
      <c r="B100" s="16" t="s">
        <v>611</v>
      </c>
      <c r="C100" s="16" t="s">
        <v>171</v>
      </c>
      <c r="D100" s="16" t="s">
        <v>172</v>
      </c>
      <c r="E100" s="16">
        <v>36</v>
      </c>
    </row>
    <row r="101" spans="1:5" x14ac:dyDescent="0.25">
      <c r="A101" s="16">
        <v>29</v>
      </c>
      <c r="B101" s="16" t="s">
        <v>611</v>
      </c>
      <c r="C101" s="16" t="s">
        <v>171</v>
      </c>
      <c r="D101" s="16" t="s">
        <v>172</v>
      </c>
      <c r="E101" s="16">
        <v>26</v>
      </c>
    </row>
    <row r="102" spans="1:5" x14ac:dyDescent="0.25">
      <c r="A102" s="16">
        <v>30</v>
      </c>
      <c r="B102" s="16" t="s">
        <v>611</v>
      </c>
      <c r="C102" s="16" t="s">
        <v>171</v>
      </c>
      <c r="D102" s="16" t="s">
        <v>172</v>
      </c>
      <c r="E102" s="16">
        <v>19</v>
      </c>
    </row>
    <row r="103" spans="1:5" x14ac:dyDescent="0.25">
      <c r="A103" s="16">
        <v>31</v>
      </c>
      <c r="B103" s="16" t="s">
        <v>611</v>
      </c>
      <c r="C103" s="16" t="s">
        <v>171</v>
      </c>
      <c r="D103" s="16" t="s">
        <v>172</v>
      </c>
      <c r="E103" s="16">
        <v>31</v>
      </c>
    </row>
    <row r="104" spans="1:5" x14ac:dyDescent="0.25">
      <c r="A104" s="16">
        <v>32</v>
      </c>
      <c r="B104" s="16" t="s">
        <v>611</v>
      </c>
      <c r="C104" s="16" t="s">
        <v>171</v>
      </c>
      <c r="D104" s="16" t="s">
        <v>172</v>
      </c>
      <c r="E104" s="16">
        <v>27</v>
      </c>
    </row>
    <row r="105" spans="1:5" x14ac:dyDescent="0.25">
      <c r="A105" s="16">
        <v>33</v>
      </c>
      <c r="B105" s="16" t="s">
        <v>611</v>
      </c>
      <c r="C105" s="16" t="s">
        <v>171</v>
      </c>
      <c r="D105" s="16" t="s">
        <v>172</v>
      </c>
      <c r="E105" s="16">
        <v>21</v>
      </c>
    </row>
    <row r="106" spans="1:5" x14ac:dyDescent="0.25">
      <c r="A106" s="16">
        <v>34</v>
      </c>
      <c r="B106" s="16" t="s">
        <v>611</v>
      </c>
      <c r="C106" s="16" t="s">
        <v>171</v>
      </c>
      <c r="D106" s="16" t="s">
        <v>172</v>
      </c>
      <c r="E106" s="16">
        <v>25</v>
      </c>
    </row>
    <row r="107" spans="1:5" x14ac:dyDescent="0.25">
      <c r="A107" s="16">
        <v>35</v>
      </c>
      <c r="B107" s="16" t="s">
        <v>611</v>
      </c>
      <c r="C107" s="16" t="s">
        <v>171</v>
      </c>
      <c r="D107" s="16" t="s">
        <v>172</v>
      </c>
      <c r="E107" s="16">
        <v>20</v>
      </c>
    </row>
    <row r="108" spans="1:5" x14ac:dyDescent="0.25">
      <c r="A108" s="16">
        <v>36</v>
      </c>
      <c r="B108" s="16" t="s">
        <v>611</v>
      </c>
      <c r="C108" s="16" t="s">
        <v>171</v>
      </c>
      <c r="D108" s="16" t="s">
        <v>172</v>
      </c>
      <c r="E108" s="16">
        <v>24</v>
      </c>
    </row>
    <row r="109" spans="1:5" x14ac:dyDescent="0.25">
      <c r="A109" s="16">
        <v>37</v>
      </c>
      <c r="B109" s="16" t="s">
        <v>611</v>
      </c>
      <c r="C109" s="16" t="s">
        <v>171</v>
      </c>
      <c r="D109" s="16" t="s">
        <v>172</v>
      </c>
      <c r="E109" s="16">
        <v>26</v>
      </c>
    </row>
    <row r="110" spans="1:5" x14ac:dyDescent="0.25">
      <c r="A110" s="16">
        <v>38</v>
      </c>
      <c r="B110" s="16" t="s">
        <v>611</v>
      </c>
      <c r="C110" s="16" t="s">
        <v>171</v>
      </c>
      <c r="D110" s="16" t="s">
        <v>172</v>
      </c>
      <c r="E110" s="16">
        <v>23</v>
      </c>
    </row>
    <row r="111" spans="1:5" x14ac:dyDescent="0.25">
      <c r="A111" s="16">
        <v>39</v>
      </c>
      <c r="B111" s="16" t="s">
        <v>611</v>
      </c>
      <c r="C111" s="16" t="s">
        <v>171</v>
      </c>
      <c r="D111" s="16" t="s">
        <v>172</v>
      </c>
      <c r="E111" s="16">
        <v>20</v>
      </c>
    </row>
    <row r="112" spans="1:5" x14ac:dyDescent="0.25">
      <c r="A112" s="16">
        <v>40</v>
      </c>
      <c r="B112" s="16" t="s">
        <v>611</v>
      </c>
      <c r="C112" s="16" t="s">
        <v>171</v>
      </c>
      <c r="D112" s="16" t="s">
        <v>172</v>
      </c>
      <c r="E112" s="16">
        <v>27</v>
      </c>
    </row>
    <row r="113" spans="1:5" x14ac:dyDescent="0.25">
      <c r="A113" s="16">
        <v>41</v>
      </c>
      <c r="B113" s="16" t="s">
        <v>612</v>
      </c>
      <c r="C113" s="16" t="s">
        <v>171</v>
      </c>
      <c r="D113" s="16" t="s">
        <v>172</v>
      </c>
      <c r="E113" s="16">
        <v>20</v>
      </c>
    </row>
    <row r="114" spans="1:5" x14ac:dyDescent="0.25">
      <c r="A114" s="16">
        <v>42</v>
      </c>
      <c r="B114" s="16" t="s">
        <v>612</v>
      </c>
      <c r="C114" s="16" t="s">
        <v>171</v>
      </c>
      <c r="D114" s="16" t="s">
        <v>172</v>
      </c>
      <c r="E114" s="16">
        <v>21</v>
      </c>
    </row>
    <row r="115" spans="1:5" x14ac:dyDescent="0.25">
      <c r="A115" s="16">
        <v>43</v>
      </c>
      <c r="B115" s="16" t="s">
        <v>612</v>
      </c>
      <c r="C115" s="16" t="s">
        <v>171</v>
      </c>
      <c r="D115" s="16" t="s">
        <v>172</v>
      </c>
      <c r="E115" s="16">
        <v>30</v>
      </c>
    </row>
    <row r="116" spans="1:5" x14ac:dyDescent="0.25">
      <c r="A116" s="16">
        <v>44</v>
      </c>
      <c r="B116" s="16" t="s">
        <v>612</v>
      </c>
      <c r="C116" s="16" t="s">
        <v>171</v>
      </c>
      <c r="D116" s="16" t="s">
        <v>172</v>
      </c>
      <c r="E116" s="16">
        <v>30</v>
      </c>
    </row>
    <row r="117" spans="1:5" x14ac:dyDescent="0.25">
      <c r="A117" s="16">
        <v>45</v>
      </c>
      <c r="B117" s="16" t="s">
        <v>612</v>
      </c>
      <c r="C117" s="16" t="s">
        <v>171</v>
      </c>
      <c r="D117" s="16" t="s">
        <v>172</v>
      </c>
      <c r="E117" s="16">
        <v>21</v>
      </c>
    </row>
    <row r="118" spans="1:5" x14ac:dyDescent="0.25">
      <c r="A118" s="16">
        <v>46</v>
      </c>
      <c r="B118" s="16" t="s">
        <v>612</v>
      </c>
      <c r="C118" s="16" t="s">
        <v>171</v>
      </c>
      <c r="D118" s="16" t="s">
        <v>172</v>
      </c>
      <c r="E118" s="16">
        <v>24</v>
      </c>
    </row>
    <row r="119" spans="1:5" x14ac:dyDescent="0.25">
      <c r="A119" s="16">
        <v>47</v>
      </c>
      <c r="B119" s="16" t="s">
        <v>612</v>
      </c>
      <c r="C119" s="16" t="s">
        <v>171</v>
      </c>
      <c r="D119" s="16" t="s">
        <v>172</v>
      </c>
      <c r="E119" s="16">
        <v>26</v>
      </c>
    </row>
    <row r="120" spans="1:5" x14ac:dyDescent="0.25">
      <c r="A120" s="16">
        <v>48</v>
      </c>
      <c r="B120" s="16" t="s">
        <v>612</v>
      </c>
      <c r="C120" s="16" t="s">
        <v>171</v>
      </c>
      <c r="D120" s="16" t="s">
        <v>172</v>
      </c>
      <c r="E120" s="16">
        <v>25</v>
      </c>
    </row>
    <row r="121" spans="1:5" x14ac:dyDescent="0.25">
      <c r="A121" s="16">
        <v>49</v>
      </c>
      <c r="B121" s="16" t="s">
        <v>612</v>
      </c>
      <c r="C121" s="16" t="s">
        <v>171</v>
      </c>
      <c r="D121" s="16" t="s">
        <v>172</v>
      </c>
      <c r="E121" s="16">
        <v>23</v>
      </c>
    </row>
    <row r="122" spans="1:5" x14ac:dyDescent="0.25">
      <c r="A122" s="16">
        <v>50</v>
      </c>
      <c r="B122" s="16" t="s">
        <v>612</v>
      </c>
      <c r="C122" s="16" t="s">
        <v>171</v>
      </c>
      <c r="D122" s="16" t="s">
        <v>172</v>
      </c>
      <c r="E122" s="16">
        <v>25</v>
      </c>
    </row>
    <row r="123" spans="1:5" x14ac:dyDescent="0.25">
      <c r="A123" s="16">
        <v>51</v>
      </c>
      <c r="B123" s="16" t="s">
        <v>612</v>
      </c>
      <c r="C123" s="16" t="s">
        <v>171</v>
      </c>
      <c r="D123" s="16" t="s">
        <v>172</v>
      </c>
      <c r="E123" s="16">
        <v>26</v>
      </c>
    </row>
    <row r="124" spans="1:5" x14ac:dyDescent="0.25">
      <c r="A124" s="16">
        <v>52</v>
      </c>
      <c r="B124" s="16" t="s">
        <v>612</v>
      </c>
      <c r="C124" s="16" t="s">
        <v>171</v>
      </c>
      <c r="D124" s="16" t="s">
        <v>172</v>
      </c>
      <c r="E124" s="16">
        <v>25</v>
      </c>
    </row>
    <row r="125" spans="1:5" x14ac:dyDescent="0.25">
      <c r="A125" s="16">
        <v>53</v>
      </c>
      <c r="B125" s="16" t="s">
        <v>613</v>
      </c>
      <c r="C125" s="16" t="s">
        <v>171</v>
      </c>
      <c r="D125" s="16" t="s">
        <v>172</v>
      </c>
      <c r="E125" s="16">
        <v>21</v>
      </c>
    </row>
    <row r="126" spans="1:5" x14ac:dyDescent="0.25">
      <c r="A126" s="16">
        <v>54</v>
      </c>
      <c r="B126" s="16" t="s">
        <v>613</v>
      </c>
      <c r="C126" s="16" t="s">
        <v>171</v>
      </c>
      <c r="D126" s="16" t="s">
        <v>172</v>
      </c>
      <c r="E126" s="16">
        <v>23</v>
      </c>
    </row>
    <row r="127" spans="1:5" x14ac:dyDescent="0.25">
      <c r="A127" s="16">
        <v>55</v>
      </c>
      <c r="B127" s="16" t="s">
        <v>613</v>
      </c>
      <c r="C127" s="16" t="s">
        <v>171</v>
      </c>
      <c r="D127" s="16" t="s">
        <v>172</v>
      </c>
      <c r="E127" s="16">
        <v>29</v>
      </c>
    </row>
    <row r="128" spans="1:5" x14ac:dyDescent="0.25">
      <c r="A128" s="16">
        <v>56</v>
      </c>
      <c r="B128" s="16" t="s">
        <v>613</v>
      </c>
      <c r="C128" s="16" t="s">
        <v>171</v>
      </c>
      <c r="D128" s="16" t="s">
        <v>172</v>
      </c>
      <c r="E128" s="16">
        <v>20</v>
      </c>
    </row>
    <row r="129" spans="1:5" x14ac:dyDescent="0.25">
      <c r="A129" s="16">
        <v>57</v>
      </c>
      <c r="B129" s="16" t="s">
        <v>613</v>
      </c>
      <c r="C129" s="16" t="s">
        <v>171</v>
      </c>
      <c r="D129" s="16" t="s">
        <v>172</v>
      </c>
      <c r="E129" s="16">
        <v>19</v>
      </c>
    </row>
    <row r="130" spans="1:5" x14ac:dyDescent="0.25">
      <c r="A130" s="16">
        <v>58</v>
      </c>
      <c r="B130" s="16" t="s">
        <v>613</v>
      </c>
      <c r="C130" s="16" t="s">
        <v>171</v>
      </c>
      <c r="D130" s="16" t="s">
        <v>172</v>
      </c>
      <c r="E130" s="16">
        <v>20</v>
      </c>
    </row>
    <row r="131" spans="1:5" x14ac:dyDescent="0.25">
      <c r="A131" s="16">
        <v>59</v>
      </c>
      <c r="B131" s="16" t="s">
        <v>613</v>
      </c>
      <c r="C131" s="16" t="s">
        <v>171</v>
      </c>
      <c r="D131" s="16" t="s">
        <v>172</v>
      </c>
      <c r="E131" s="16">
        <v>22</v>
      </c>
    </row>
    <row r="132" spans="1:5" x14ac:dyDescent="0.25">
      <c r="A132" s="16">
        <v>60</v>
      </c>
      <c r="B132" s="16" t="s">
        <v>613</v>
      </c>
      <c r="C132" s="16" t="s">
        <v>171</v>
      </c>
      <c r="D132" s="16" t="s">
        <v>172</v>
      </c>
      <c r="E132" s="16">
        <v>35</v>
      </c>
    </row>
    <row r="133" spans="1:5" x14ac:dyDescent="0.25">
      <c r="A133" s="16">
        <v>61</v>
      </c>
      <c r="B133" s="16" t="s">
        <v>613</v>
      </c>
      <c r="C133" s="16" t="s">
        <v>171</v>
      </c>
      <c r="D133" s="16" t="s">
        <v>172</v>
      </c>
      <c r="E133" s="16">
        <v>24</v>
      </c>
    </row>
    <row r="134" spans="1:5" x14ac:dyDescent="0.25">
      <c r="A134" s="16">
        <v>62</v>
      </c>
      <c r="B134" s="16" t="s">
        <v>613</v>
      </c>
      <c r="C134" s="16" t="s">
        <v>171</v>
      </c>
      <c r="D134" s="16" t="s">
        <v>172</v>
      </c>
      <c r="E134" s="16">
        <v>46</v>
      </c>
    </row>
    <row r="135" spans="1:5" x14ac:dyDescent="0.25">
      <c r="A135" s="16">
        <v>63</v>
      </c>
      <c r="B135" s="16" t="s">
        <v>613</v>
      </c>
      <c r="C135" s="16" t="s">
        <v>171</v>
      </c>
      <c r="D135" s="16" t="s">
        <v>172</v>
      </c>
      <c r="E135" s="16">
        <v>27</v>
      </c>
    </row>
    <row r="136" spans="1:5" x14ac:dyDescent="0.25">
      <c r="A136" s="16">
        <v>64</v>
      </c>
      <c r="B136" s="16" t="s">
        <v>614</v>
      </c>
      <c r="C136" s="16" t="s">
        <v>171</v>
      </c>
      <c r="D136" s="16" t="s">
        <v>172</v>
      </c>
      <c r="E136" s="16">
        <v>24</v>
      </c>
    </row>
    <row r="137" spans="1:5" x14ac:dyDescent="0.25">
      <c r="A137" s="16">
        <v>65</v>
      </c>
      <c r="B137" s="16" t="s">
        <v>614</v>
      </c>
      <c r="C137" s="16" t="s">
        <v>171</v>
      </c>
      <c r="D137" s="16" t="s">
        <v>172</v>
      </c>
      <c r="E137" s="16">
        <v>27</v>
      </c>
    </row>
    <row r="138" spans="1:5" x14ac:dyDescent="0.25">
      <c r="A138" s="16">
        <v>66</v>
      </c>
      <c r="B138" s="16" t="s">
        <v>614</v>
      </c>
      <c r="C138" s="16" t="s">
        <v>171</v>
      </c>
      <c r="D138" s="16" t="s">
        <v>172</v>
      </c>
      <c r="E138" s="16">
        <v>19</v>
      </c>
    </row>
    <row r="139" spans="1:5" x14ac:dyDescent="0.25">
      <c r="A139" s="16">
        <v>67</v>
      </c>
      <c r="B139" s="16" t="s">
        <v>614</v>
      </c>
      <c r="C139" s="16" t="s">
        <v>171</v>
      </c>
      <c r="D139" s="16" t="s">
        <v>172</v>
      </c>
      <c r="E139" s="16">
        <v>22</v>
      </c>
    </row>
    <row r="140" spans="1:5" x14ac:dyDescent="0.25">
      <c r="A140" s="16">
        <v>68</v>
      </c>
      <c r="B140" s="16" t="s">
        <v>614</v>
      </c>
      <c r="C140" s="16" t="s">
        <v>171</v>
      </c>
      <c r="D140" s="16" t="s">
        <v>172</v>
      </c>
      <c r="E140" s="16">
        <v>24</v>
      </c>
    </row>
    <row r="141" spans="1:5" x14ac:dyDescent="0.25">
      <c r="A141" s="16">
        <v>69</v>
      </c>
      <c r="B141" s="16" t="s">
        <v>614</v>
      </c>
      <c r="C141" s="16" t="s">
        <v>171</v>
      </c>
      <c r="D141" s="16" t="s">
        <v>172</v>
      </c>
      <c r="E141" s="16">
        <v>19</v>
      </c>
    </row>
    <row r="142" spans="1:5" x14ac:dyDescent="0.25">
      <c r="A142" s="16">
        <v>70</v>
      </c>
      <c r="B142" s="16" t="s">
        <v>614</v>
      </c>
      <c r="C142" s="16" t="s">
        <v>171</v>
      </c>
      <c r="D142" s="16" t="s">
        <v>172</v>
      </c>
      <c r="E142" s="16">
        <v>23</v>
      </c>
    </row>
    <row r="143" spans="1:5" x14ac:dyDescent="0.25">
      <c r="A143" s="16">
        <v>71</v>
      </c>
      <c r="B143" s="16" t="s">
        <v>614</v>
      </c>
      <c r="C143" s="16" t="s">
        <v>171</v>
      </c>
      <c r="D143" s="16" t="s">
        <v>172</v>
      </c>
      <c r="E143" s="16">
        <v>27</v>
      </c>
    </row>
    <row r="144" spans="1:5" x14ac:dyDescent="0.25">
      <c r="A144" s="16">
        <v>72</v>
      </c>
      <c r="B144" s="16" t="s">
        <v>614</v>
      </c>
      <c r="C144" s="16" t="s">
        <v>171</v>
      </c>
      <c r="D144" s="16" t="s">
        <v>172</v>
      </c>
      <c r="E144" s="16">
        <v>23</v>
      </c>
    </row>
    <row r="145" spans="1:5" x14ac:dyDescent="0.25">
      <c r="A145" s="16">
        <v>73</v>
      </c>
      <c r="B145" s="16" t="s">
        <v>614</v>
      </c>
      <c r="C145" s="16" t="s">
        <v>171</v>
      </c>
      <c r="D145" s="16" t="s">
        <v>172</v>
      </c>
      <c r="E145" s="16">
        <v>32</v>
      </c>
    </row>
    <row r="146" spans="1:5" x14ac:dyDescent="0.25">
      <c r="A146" s="16">
        <v>74</v>
      </c>
      <c r="B146" s="16" t="s">
        <v>614</v>
      </c>
      <c r="C146" s="16" t="s">
        <v>171</v>
      </c>
      <c r="D146" s="16" t="s">
        <v>172</v>
      </c>
      <c r="E146" s="16">
        <v>30</v>
      </c>
    </row>
    <row r="147" spans="1:5" x14ac:dyDescent="0.25">
      <c r="A147" s="16">
        <v>75</v>
      </c>
      <c r="B147" s="16" t="s">
        <v>614</v>
      </c>
      <c r="C147" s="16" t="s">
        <v>171</v>
      </c>
      <c r="D147" s="16" t="s">
        <v>172</v>
      </c>
      <c r="E147" s="16">
        <v>20</v>
      </c>
    </row>
    <row r="149" spans="1:5" s="12" customFormat="1" ht="13" x14ac:dyDescent="0.3">
      <c r="A149" s="17" t="s">
        <v>374</v>
      </c>
      <c r="B149" s="17"/>
      <c r="C149" s="17"/>
      <c r="D149" s="17"/>
      <c r="E149" s="17"/>
    </row>
    <row r="150" spans="1:5" x14ac:dyDescent="0.25">
      <c r="A150" s="15">
        <v>90</v>
      </c>
      <c r="C150" s="15" t="s">
        <v>40</v>
      </c>
    </row>
    <row r="151" spans="1:5" x14ac:dyDescent="0.25">
      <c r="A151" s="15">
        <v>118</v>
      </c>
      <c r="C151" s="15" t="s">
        <v>40</v>
      </c>
    </row>
    <row r="152" spans="1:5" x14ac:dyDescent="0.25">
      <c r="A152" s="15">
        <v>122</v>
      </c>
      <c r="C152" s="15" t="s">
        <v>40</v>
      </c>
    </row>
    <row r="153" spans="1:5" x14ac:dyDescent="0.25">
      <c r="A153" s="15">
        <v>123</v>
      </c>
      <c r="C153" s="15" t="s">
        <v>40</v>
      </c>
    </row>
    <row r="154" spans="1:5" x14ac:dyDescent="0.25">
      <c r="A154" s="15">
        <v>124</v>
      </c>
      <c r="C154" s="15" t="s">
        <v>40</v>
      </c>
    </row>
    <row r="155" spans="1:5" x14ac:dyDescent="0.25">
      <c r="A155" s="15">
        <v>125</v>
      </c>
      <c r="C155" s="15" t="s">
        <v>40</v>
      </c>
    </row>
    <row r="156" spans="1:5" x14ac:dyDescent="0.25">
      <c r="A156" s="15">
        <v>126</v>
      </c>
      <c r="C156" s="15" t="s">
        <v>40</v>
      </c>
    </row>
    <row r="157" spans="1:5" x14ac:dyDescent="0.25">
      <c r="A157" s="15">
        <v>65</v>
      </c>
      <c r="B157" s="15" t="s">
        <v>290</v>
      </c>
      <c r="C157" s="15" t="s">
        <v>374</v>
      </c>
      <c r="D157" s="15" t="s">
        <v>172</v>
      </c>
      <c r="E157" s="15">
        <v>32</v>
      </c>
    </row>
    <row r="158" spans="1:5" x14ac:dyDescent="0.25">
      <c r="A158" s="15">
        <v>67</v>
      </c>
      <c r="B158" s="15" t="s">
        <v>294</v>
      </c>
      <c r="C158" s="15" t="s">
        <v>374</v>
      </c>
      <c r="D158" s="15" t="s">
        <v>172</v>
      </c>
      <c r="E158" s="15">
        <v>28</v>
      </c>
    </row>
    <row r="159" spans="1:5" x14ac:dyDescent="0.25">
      <c r="A159" s="15">
        <v>69</v>
      </c>
      <c r="B159" s="15" t="s">
        <v>290</v>
      </c>
      <c r="C159" s="15" t="s">
        <v>374</v>
      </c>
      <c r="D159" s="15" t="s">
        <v>172</v>
      </c>
      <c r="E159" s="15">
        <v>36</v>
      </c>
    </row>
    <row r="160" spans="1:5" x14ac:dyDescent="0.25">
      <c r="A160" s="15">
        <v>70</v>
      </c>
      <c r="B160" s="15" t="s">
        <v>305</v>
      </c>
      <c r="C160" s="15" t="s">
        <v>374</v>
      </c>
      <c r="D160" s="15" t="s">
        <v>172</v>
      </c>
      <c r="E160" s="15">
        <v>31</v>
      </c>
    </row>
    <row r="161" spans="1:5" x14ac:dyDescent="0.25">
      <c r="A161" s="15">
        <v>71</v>
      </c>
      <c r="B161" s="15" t="s">
        <v>309</v>
      </c>
      <c r="C161" s="15" t="s">
        <v>374</v>
      </c>
      <c r="D161" s="15" t="s">
        <v>172</v>
      </c>
      <c r="E161" s="15">
        <v>32</v>
      </c>
    </row>
    <row r="162" spans="1:5" x14ac:dyDescent="0.25">
      <c r="A162" s="15">
        <v>74</v>
      </c>
      <c r="B162" s="15" t="s">
        <v>316</v>
      </c>
      <c r="C162" s="15" t="s">
        <v>374</v>
      </c>
      <c r="D162" s="15" t="s">
        <v>172</v>
      </c>
      <c r="E162" s="15">
        <v>32</v>
      </c>
    </row>
    <row r="163" spans="1:5" x14ac:dyDescent="0.25">
      <c r="A163" s="15">
        <v>91</v>
      </c>
      <c r="B163" s="15" t="s">
        <v>290</v>
      </c>
      <c r="C163" s="15" t="s">
        <v>374</v>
      </c>
      <c r="D163" s="15" t="s">
        <v>172</v>
      </c>
      <c r="E163" s="15">
        <v>31</v>
      </c>
    </row>
    <row r="164" spans="1:5" x14ac:dyDescent="0.25">
      <c r="A164" s="15">
        <v>94</v>
      </c>
      <c r="B164" s="15" t="s">
        <v>362</v>
      </c>
      <c r="C164" s="15" t="s">
        <v>374</v>
      </c>
      <c r="D164" s="15" t="s">
        <v>172</v>
      </c>
      <c r="E164" s="15">
        <v>52</v>
      </c>
    </row>
    <row r="165" spans="1:5" x14ac:dyDescent="0.25">
      <c r="A165" s="15">
        <v>99</v>
      </c>
      <c r="B165" s="15" t="s">
        <v>391</v>
      </c>
      <c r="C165" s="15" t="s">
        <v>374</v>
      </c>
      <c r="D165" s="15" t="s">
        <v>172</v>
      </c>
      <c r="E165" s="15">
        <v>24</v>
      </c>
    </row>
    <row r="166" spans="1:5" x14ac:dyDescent="0.25">
      <c r="A166" s="15">
        <v>100</v>
      </c>
      <c r="B166" s="15" t="s">
        <v>391</v>
      </c>
      <c r="C166" s="15" t="s">
        <v>374</v>
      </c>
      <c r="D166" s="15" t="s">
        <v>172</v>
      </c>
      <c r="E166" s="15">
        <v>23</v>
      </c>
    </row>
    <row r="167" spans="1:5" x14ac:dyDescent="0.25">
      <c r="A167" s="15">
        <v>194</v>
      </c>
      <c r="B167" s="15" t="s">
        <v>644</v>
      </c>
      <c r="C167" s="15" t="s">
        <v>374</v>
      </c>
      <c r="D167" s="15" t="s">
        <v>172</v>
      </c>
      <c r="E167" s="15">
        <v>39</v>
      </c>
    </row>
    <row r="168" spans="1:5" x14ac:dyDescent="0.25">
      <c r="A168" s="15">
        <v>195</v>
      </c>
      <c r="B168" s="15" t="s">
        <v>648</v>
      </c>
      <c r="C168" s="15" t="s">
        <v>374</v>
      </c>
      <c r="D168" s="15" t="s">
        <v>172</v>
      </c>
      <c r="E168" s="15">
        <v>52</v>
      </c>
    </row>
    <row r="169" spans="1:5" x14ac:dyDescent="0.25">
      <c r="A169" s="15">
        <v>197</v>
      </c>
      <c r="B169" s="15" t="s">
        <v>652</v>
      </c>
      <c r="C169" s="15" t="s">
        <v>374</v>
      </c>
      <c r="D169" s="15" t="s">
        <v>172</v>
      </c>
      <c r="E169" s="15">
        <v>28</v>
      </c>
    </row>
    <row r="170" spans="1:5" x14ac:dyDescent="0.25">
      <c r="A170" s="15">
        <v>198</v>
      </c>
      <c r="B170" s="15" t="s">
        <v>652</v>
      </c>
      <c r="C170" s="15" t="s">
        <v>374</v>
      </c>
      <c r="D170" s="15" t="s">
        <v>172</v>
      </c>
      <c r="E170" s="15">
        <v>43</v>
      </c>
    </row>
    <row r="171" spans="1:5" x14ac:dyDescent="0.25">
      <c r="A171" s="15">
        <v>199</v>
      </c>
      <c r="B171" s="15" t="s">
        <v>659</v>
      </c>
      <c r="C171" s="15" t="s">
        <v>374</v>
      </c>
      <c r="D171" s="15" t="s">
        <v>172</v>
      </c>
      <c r="E171" s="15">
        <v>55</v>
      </c>
    </row>
    <row r="172" spans="1:5" x14ac:dyDescent="0.25">
      <c r="A172" s="15">
        <v>203</v>
      </c>
      <c r="B172" s="15" t="s">
        <v>663</v>
      </c>
      <c r="C172" s="15" t="s">
        <v>374</v>
      </c>
      <c r="D172" s="15" t="s">
        <v>172</v>
      </c>
      <c r="E172" s="15">
        <v>29</v>
      </c>
    </row>
    <row r="173" spans="1:5" x14ac:dyDescent="0.25">
      <c r="A173" s="15">
        <v>206</v>
      </c>
      <c r="B173" s="15" t="s">
        <v>667</v>
      </c>
      <c r="C173" s="15" t="s">
        <v>374</v>
      </c>
      <c r="D173" s="15" t="s">
        <v>172</v>
      </c>
      <c r="E173" s="15">
        <v>29</v>
      </c>
    </row>
    <row r="174" spans="1:5" x14ac:dyDescent="0.25">
      <c r="A174" s="15">
        <v>231</v>
      </c>
      <c r="B174" s="15" t="s">
        <v>727</v>
      </c>
      <c r="C174" s="15" t="s">
        <v>374</v>
      </c>
      <c r="D174" s="15" t="s">
        <v>172</v>
      </c>
      <c r="E174" s="15">
        <v>58</v>
      </c>
    </row>
    <row r="175" spans="1:5" x14ac:dyDescent="0.25">
      <c r="A175" s="15">
        <v>232</v>
      </c>
      <c r="B175" s="15" t="s">
        <v>374</v>
      </c>
      <c r="C175" s="15" t="s">
        <v>374</v>
      </c>
      <c r="D175" s="15" t="s">
        <v>364</v>
      </c>
      <c r="E175" s="15">
        <v>25</v>
      </c>
    </row>
    <row r="176" spans="1:5" x14ac:dyDescent="0.25">
      <c r="A176" s="15">
        <v>233</v>
      </c>
      <c r="B176" s="15" t="s">
        <v>374</v>
      </c>
      <c r="C176" s="15" t="s">
        <v>374</v>
      </c>
      <c r="D176" s="15" t="s">
        <v>172</v>
      </c>
      <c r="E176" s="15">
        <v>28</v>
      </c>
    </row>
    <row r="177" spans="1:5" x14ac:dyDescent="0.25">
      <c r="A177" s="15">
        <v>234</v>
      </c>
      <c r="B177" s="15" t="s">
        <v>374</v>
      </c>
      <c r="C177" s="15" t="s">
        <v>374</v>
      </c>
      <c r="D177" s="15" t="s">
        <v>364</v>
      </c>
      <c r="E177" s="15">
        <v>20</v>
      </c>
    </row>
    <row r="178" spans="1:5" x14ac:dyDescent="0.25">
      <c r="A178" s="15">
        <v>236</v>
      </c>
      <c r="B178" s="15" t="s">
        <v>745</v>
      </c>
      <c r="C178" s="15" t="s">
        <v>374</v>
      </c>
      <c r="D178" s="15" t="s">
        <v>172</v>
      </c>
      <c r="E178" s="15">
        <v>42</v>
      </c>
    </row>
    <row r="179" spans="1:5" x14ac:dyDescent="0.25">
      <c r="A179" s="15">
        <v>237</v>
      </c>
      <c r="B179" s="15" t="s">
        <v>374</v>
      </c>
      <c r="C179" s="15" t="s">
        <v>374</v>
      </c>
    </row>
    <row r="180" spans="1:5" x14ac:dyDescent="0.25">
      <c r="A180" s="15">
        <v>241</v>
      </c>
      <c r="B180" s="15" t="s">
        <v>752</v>
      </c>
      <c r="C180" s="15" t="s">
        <v>374</v>
      </c>
      <c r="D180" s="15" t="s">
        <v>172</v>
      </c>
      <c r="E180" s="15">
        <v>31</v>
      </c>
    </row>
    <row r="181" spans="1:5" x14ac:dyDescent="0.25">
      <c r="A181" s="15">
        <v>242</v>
      </c>
      <c r="B181" s="15" t="s">
        <v>756</v>
      </c>
      <c r="C181" s="15" t="s">
        <v>374</v>
      </c>
      <c r="D181" s="15" t="s">
        <v>172</v>
      </c>
      <c r="E181" s="15">
        <v>39</v>
      </c>
    </row>
    <row r="182" spans="1:5" x14ac:dyDescent="0.25">
      <c r="A182" s="15">
        <v>243</v>
      </c>
      <c r="B182" s="15" t="s">
        <v>760</v>
      </c>
      <c r="C182" s="15" t="s">
        <v>374</v>
      </c>
      <c r="D182" s="15" t="s">
        <v>172</v>
      </c>
      <c r="E182" s="15">
        <v>22</v>
      </c>
    </row>
    <row r="183" spans="1:5" x14ac:dyDescent="0.25">
      <c r="A183" s="15">
        <v>244</v>
      </c>
      <c r="B183" s="15" t="s">
        <v>374</v>
      </c>
      <c r="C183" s="15" t="s">
        <v>374</v>
      </c>
      <c r="D183" s="15" t="s">
        <v>172</v>
      </c>
      <c r="E183" s="15">
        <v>30</v>
      </c>
    </row>
    <row r="184" spans="1:5" x14ac:dyDescent="0.25">
      <c r="A184" s="15">
        <v>245</v>
      </c>
      <c r="B184" s="15" t="s">
        <v>766</v>
      </c>
      <c r="C184" s="15" t="s">
        <v>374</v>
      </c>
      <c r="D184" s="15" t="s">
        <v>172</v>
      </c>
      <c r="E184" s="15">
        <v>31</v>
      </c>
    </row>
    <row r="185" spans="1:5" x14ac:dyDescent="0.25">
      <c r="C185" s="49" t="s">
        <v>374</v>
      </c>
      <c r="D185" s="15" t="s">
        <v>172</v>
      </c>
      <c r="E185" s="15">
        <v>36</v>
      </c>
    </row>
    <row r="186" spans="1:5" x14ac:dyDescent="0.25">
      <c r="C186" s="49" t="s">
        <v>374</v>
      </c>
      <c r="D186" s="15" t="s">
        <v>172</v>
      </c>
      <c r="E186" s="15">
        <v>19</v>
      </c>
    </row>
    <row r="187" spans="1:5" x14ac:dyDescent="0.25">
      <c r="C187" s="49" t="s">
        <v>374</v>
      </c>
      <c r="D187" s="15" t="s">
        <v>172</v>
      </c>
      <c r="E187" s="15">
        <v>32</v>
      </c>
    </row>
    <row r="188" spans="1:5" x14ac:dyDescent="0.25">
      <c r="C188" s="49" t="s">
        <v>374</v>
      </c>
      <c r="D188" s="15" t="s">
        <v>172</v>
      </c>
      <c r="E188" s="15">
        <v>43</v>
      </c>
    </row>
    <row r="189" spans="1:5" x14ac:dyDescent="0.25">
      <c r="C189" s="49" t="s">
        <v>374</v>
      </c>
      <c r="D189" s="15" t="s">
        <v>172</v>
      </c>
      <c r="E189" s="15">
        <v>29</v>
      </c>
    </row>
    <row r="190" spans="1:5" x14ac:dyDescent="0.25">
      <c r="C190" s="49" t="s">
        <v>374</v>
      </c>
      <c r="D190" s="15" t="s">
        <v>172</v>
      </c>
      <c r="E190" s="15">
        <v>35</v>
      </c>
    </row>
    <row r="191" spans="1:5" x14ac:dyDescent="0.25">
      <c r="C191" s="49" t="s">
        <v>374</v>
      </c>
      <c r="D191" s="15" t="s">
        <v>172</v>
      </c>
      <c r="E191" s="15">
        <v>55</v>
      </c>
    </row>
    <row r="192" spans="1:5" x14ac:dyDescent="0.25">
      <c r="C192" s="49" t="s">
        <v>374</v>
      </c>
      <c r="D192" s="15" t="s">
        <v>172</v>
      </c>
      <c r="E192" s="15">
        <v>37</v>
      </c>
    </row>
    <row r="193" spans="1:5" x14ac:dyDescent="0.25">
      <c r="C193" s="49" t="s">
        <v>374</v>
      </c>
      <c r="D193" s="15" t="s">
        <v>172</v>
      </c>
      <c r="E193" s="15">
        <v>21</v>
      </c>
    </row>
    <row r="194" spans="1:5" x14ac:dyDescent="0.25">
      <c r="C194" s="49" t="s">
        <v>374</v>
      </c>
      <c r="D194" s="15" t="s">
        <v>172</v>
      </c>
      <c r="E194" s="15">
        <v>22</v>
      </c>
    </row>
    <row r="195" spans="1:5" x14ac:dyDescent="0.25">
      <c r="C195" s="49" t="s">
        <v>374</v>
      </c>
      <c r="D195" s="15" t="s">
        <v>172</v>
      </c>
      <c r="E195" s="15">
        <v>58</v>
      </c>
    </row>
    <row r="196" spans="1:5" x14ac:dyDescent="0.25">
      <c r="C196" s="49" t="s">
        <v>374</v>
      </c>
      <c r="D196" s="15" t="s">
        <v>172</v>
      </c>
      <c r="E196" s="15">
        <v>29</v>
      </c>
    </row>
    <row r="197" spans="1:5" x14ac:dyDescent="0.25">
      <c r="A197" s="16">
        <v>76</v>
      </c>
      <c r="B197" s="16" t="s">
        <v>375</v>
      </c>
      <c r="C197" s="16" t="s">
        <v>374</v>
      </c>
      <c r="D197" s="16"/>
      <c r="E197" s="16">
        <v>18</v>
      </c>
    </row>
    <row r="198" spans="1:5" x14ac:dyDescent="0.25">
      <c r="A198" s="16">
        <v>77</v>
      </c>
      <c r="B198" s="16" t="s">
        <v>375</v>
      </c>
      <c r="C198" s="16" t="s">
        <v>374</v>
      </c>
      <c r="D198" s="16"/>
      <c r="E198" s="16">
        <v>19</v>
      </c>
    </row>
    <row r="199" spans="1:5" x14ac:dyDescent="0.25">
      <c r="A199" s="16">
        <v>78</v>
      </c>
      <c r="B199" s="16" t="s">
        <v>375</v>
      </c>
      <c r="C199" s="16" t="s">
        <v>374</v>
      </c>
      <c r="D199" s="16"/>
      <c r="E199" s="16">
        <v>31</v>
      </c>
    </row>
    <row r="200" spans="1:5" x14ac:dyDescent="0.25">
      <c r="A200" s="16">
        <v>79</v>
      </c>
      <c r="B200" s="16" t="s">
        <v>375</v>
      </c>
      <c r="C200" s="16" t="s">
        <v>374</v>
      </c>
      <c r="D200" s="16"/>
      <c r="E200" s="16">
        <v>21</v>
      </c>
    </row>
    <row r="201" spans="1:5" x14ac:dyDescent="0.25">
      <c r="A201" s="16">
        <v>80</v>
      </c>
      <c r="B201" s="16" t="s">
        <v>375</v>
      </c>
      <c r="C201" s="16" t="s">
        <v>374</v>
      </c>
      <c r="D201" s="16"/>
      <c r="E201" s="16">
        <v>23</v>
      </c>
    </row>
    <row r="202" spans="1:5" x14ac:dyDescent="0.25">
      <c r="A202" s="16">
        <v>81</v>
      </c>
      <c r="B202" s="16" t="s">
        <v>375</v>
      </c>
      <c r="C202" s="16" t="s">
        <v>374</v>
      </c>
      <c r="D202" s="16"/>
      <c r="E202" s="16">
        <v>18</v>
      </c>
    </row>
    <row r="203" spans="1:5" x14ac:dyDescent="0.25">
      <c r="A203" s="16">
        <v>82</v>
      </c>
      <c r="B203" s="16" t="s">
        <v>375</v>
      </c>
      <c r="C203" s="16" t="s">
        <v>374</v>
      </c>
      <c r="D203" s="16"/>
      <c r="E203" s="16">
        <v>18</v>
      </c>
    </row>
    <row r="204" spans="1:5" x14ac:dyDescent="0.25">
      <c r="A204" s="16">
        <v>83</v>
      </c>
      <c r="B204" s="16" t="s">
        <v>615</v>
      </c>
      <c r="C204" s="16" t="s">
        <v>374</v>
      </c>
      <c r="D204" s="16"/>
      <c r="E204" s="16">
        <v>29</v>
      </c>
    </row>
    <row r="205" spans="1:5" x14ac:dyDescent="0.25">
      <c r="A205" s="16">
        <v>84</v>
      </c>
      <c r="B205" s="16" t="s">
        <v>615</v>
      </c>
      <c r="C205" s="16" t="s">
        <v>374</v>
      </c>
      <c r="D205" s="16"/>
      <c r="E205" s="16">
        <v>27</v>
      </c>
    </row>
    <row r="206" spans="1:5" x14ac:dyDescent="0.25">
      <c r="A206" s="16">
        <v>85</v>
      </c>
      <c r="B206" s="16" t="s">
        <v>615</v>
      </c>
      <c r="C206" s="16" t="s">
        <v>374</v>
      </c>
      <c r="D206" s="16"/>
      <c r="E206" s="16">
        <v>35</v>
      </c>
    </row>
    <row r="207" spans="1:5" x14ac:dyDescent="0.25">
      <c r="A207" s="16">
        <v>86</v>
      </c>
      <c r="B207" s="16" t="s">
        <v>615</v>
      </c>
      <c r="C207" s="16" t="s">
        <v>374</v>
      </c>
      <c r="D207" s="16"/>
      <c r="E207" s="16">
        <v>25</v>
      </c>
    </row>
    <row r="208" spans="1:5" x14ac:dyDescent="0.25">
      <c r="A208" s="16">
        <v>87</v>
      </c>
      <c r="B208" s="16" t="s">
        <v>615</v>
      </c>
      <c r="C208" s="16" t="s">
        <v>374</v>
      </c>
      <c r="D208" s="16"/>
      <c r="E208" s="16">
        <v>27</v>
      </c>
    </row>
    <row r="209" spans="1:5" x14ac:dyDescent="0.25">
      <c r="A209" s="16">
        <v>88</v>
      </c>
      <c r="B209" s="16" t="s">
        <v>615</v>
      </c>
      <c r="C209" s="16" t="s">
        <v>374</v>
      </c>
      <c r="D209" s="16"/>
      <c r="E209" s="16">
        <v>18</v>
      </c>
    </row>
    <row r="210" spans="1:5" x14ac:dyDescent="0.25">
      <c r="A210" s="16">
        <v>89</v>
      </c>
      <c r="B210" s="16" t="s">
        <v>615</v>
      </c>
      <c r="C210" s="16" t="s">
        <v>374</v>
      </c>
      <c r="D210" s="16" t="s">
        <v>638</v>
      </c>
      <c r="E210" s="16">
        <v>24</v>
      </c>
    </row>
    <row r="211" spans="1:5" x14ac:dyDescent="0.25">
      <c r="A211" s="16">
        <v>90</v>
      </c>
      <c r="B211" s="16" t="s">
        <v>615</v>
      </c>
      <c r="C211" s="16" t="s">
        <v>374</v>
      </c>
      <c r="D211" s="16" t="s">
        <v>638</v>
      </c>
      <c r="E211" s="16">
        <v>20</v>
      </c>
    </row>
    <row r="212" spans="1:5" x14ac:dyDescent="0.25">
      <c r="A212" s="16">
        <v>91</v>
      </c>
      <c r="B212" s="16" t="s">
        <v>615</v>
      </c>
      <c r="C212" s="16" t="s">
        <v>374</v>
      </c>
      <c r="D212" s="16" t="s">
        <v>638</v>
      </c>
      <c r="E212" s="16">
        <v>23</v>
      </c>
    </row>
    <row r="213" spans="1:5" x14ac:dyDescent="0.25">
      <c r="A213" s="16">
        <v>92</v>
      </c>
      <c r="B213" s="16" t="s">
        <v>615</v>
      </c>
      <c r="C213" s="16" t="s">
        <v>374</v>
      </c>
      <c r="D213" s="16" t="s">
        <v>638</v>
      </c>
      <c r="E213" s="16">
        <v>26</v>
      </c>
    </row>
    <row r="214" spans="1:5" x14ac:dyDescent="0.25">
      <c r="A214" s="16">
        <v>93</v>
      </c>
      <c r="B214" s="16" t="s">
        <v>615</v>
      </c>
      <c r="C214" s="16" t="s">
        <v>374</v>
      </c>
      <c r="D214" s="16" t="s">
        <v>638</v>
      </c>
      <c r="E214" s="16">
        <v>19</v>
      </c>
    </row>
    <row r="215" spans="1:5" x14ac:dyDescent="0.25">
      <c r="A215" s="16">
        <v>94</v>
      </c>
      <c r="B215" s="16" t="s">
        <v>615</v>
      </c>
      <c r="C215" s="16" t="s">
        <v>374</v>
      </c>
      <c r="D215" s="16" t="s">
        <v>638</v>
      </c>
      <c r="E215" s="16">
        <v>25</v>
      </c>
    </row>
    <row r="216" spans="1:5" x14ac:dyDescent="0.25">
      <c r="A216" s="16">
        <v>95</v>
      </c>
      <c r="B216" s="16" t="s">
        <v>615</v>
      </c>
      <c r="C216" s="16" t="s">
        <v>374</v>
      </c>
      <c r="D216" s="16" t="s">
        <v>638</v>
      </c>
      <c r="E216" s="16">
        <v>25</v>
      </c>
    </row>
    <row r="217" spans="1:5" x14ac:dyDescent="0.25">
      <c r="A217" s="16">
        <v>96</v>
      </c>
      <c r="B217" s="16" t="s">
        <v>616</v>
      </c>
      <c r="C217" s="16" t="s">
        <v>374</v>
      </c>
      <c r="D217" s="16" t="s">
        <v>172</v>
      </c>
      <c r="E217" s="16">
        <v>23</v>
      </c>
    </row>
    <row r="218" spans="1:5" x14ac:dyDescent="0.25">
      <c r="A218" s="16">
        <v>97</v>
      </c>
      <c r="B218" s="16" t="s">
        <v>616</v>
      </c>
      <c r="C218" s="16" t="s">
        <v>374</v>
      </c>
      <c r="D218" s="16" t="s">
        <v>172</v>
      </c>
      <c r="E218" s="16">
        <v>23</v>
      </c>
    </row>
    <row r="219" spans="1:5" x14ac:dyDescent="0.25">
      <c r="A219" s="16">
        <v>98</v>
      </c>
      <c r="B219" s="16" t="s">
        <v>616</v>
      </c>
      <c r="C219" s="16" t="s">
        <v>374</v>
      </c>
      <c r="D219" s="16" t="s">
        <v>172</v>
      </c>
      <c r="E219" s="16">
        <v>26</v>
      </c>
    </row>
    <row r="220" spans="1:5" x14ac:dyDescent="0.25">
      <c r="A220" s="16">
        <v>99</v>
      </c>
      <c r="B220" s="16" t="s">
        <v>616</v>
      </c>
      <c r="C220" s="16" t="s">
        <v>374</v>
      </c>
      <c r="D220" s="16" t="s">
        <v>172</v>
      </c>
      <c r="E220" s="16">
        <v>29</v>
      </c>
    </row>
    <row r="221" spans="1:5" x14ac:dyDescent="0.25">
      <c r="A221" s="16">
        <v>100</v>
      </c>
      <c r="B221" s="16" t="s">
        <v>616</v>
      </c>
      <c r="C221" s="16" t="s">
        <v>374</v>
      </c>
      <c r="D221" s="16" t="s">
        <v>172</v>
      </c>
      <c r="E221" s="16">
        <v>27</v>
      </c>
    </row>
    <row r="222" spans="1:5" x14ac:dyDescent="0.25">
      <c r="A222" s="16">
        <v>101</v>
      </c>
      <c r="B222" s="16" t="s">
        <v>616</v>
      </c>
      <c r="C222" s="16" t="s">
        <v>374</v>
      </c>
      <c r="D222" s="16" t="s">
        <v>172</v>
      </c>
      <c r="E222" s="16">
        <v>21</v>
      </c>
    </row>
    <row r="223" spans="1:5" x14ac:dyDescent="0.25">
      <c r="A223" s="16">
        <v>102</v>
      </c>
      <c r="B223" s="16" t="s">
        <v>616</v>
      </c>
      <c r="C223" s="16" t="s">
        <v>374</v>
      </c>
      <c r="D223" s="16" t="s">
        <v>172</v>
      </c>
      <c r="E223" s="16">
        <v>21</v>
      </c>
    </row>
    <row r="224" spans="1:5" x14ac:dyDescent="0.25">
      <c r="A224" s="16">
        <v>103</v>
      </c>
      <c r="B224" s="16" t="s">
        <v>616</v>
      </c>
      <c r="C224" s="16" t="s">
        <v>374</v>
      </c>
      <c r="D224" s="16" t="s">
        <v>172</v>
      </c>
      <c r="E224" s="16">
        <v>32</v>
      </c>
    </row>
    <row r="225" spans="1:5" x14ac:dyDescent="0.25">
      <c r="A225" s="16">
        <v>104</v>
      </c>
      <c r="B225" s="16" t="s">
        <v>616</v>
      </c>
      <c r="C225" s="16" t="s">
        <v>374</v>
      </c>
      <c r="D225" s="16" t="s">
        <v>172</v>
      </c>
      <c r="E225" s="16">
        <v>26</v>
      </c>
    </row>
    <row r="226" spans="1:5" x14ac:dyDescent="0.25">
      <c r="A226" s="16">
        <v>105</v>
      </c>
      <c r="B226" s="16" t="s">
        <v>616</v>
      </c>
      <c r="C226" s="16" t="s">
        <v>374</v>
      </c>
      <c r="D226" s="16" t="s">
        <v>172</v>
      </c>
      <c r="E226" s="16">
        <v>27</v>
      </c>
    </row>
    <row r="227" spans="1:5" x14ac:dyDescent="0.25">
      <c r="A227" s="16">
        <v>106</v>
      </c>
      <c r="B227" s="16" t="s">
        <v>616</v>
      </c>
      <c r="C227" s="16" t="s">
        <v>374</v>
      </c>
      <c r="D227" s="16" t="s">
        <v>172</v>
      </c>
      <c r="E227" s="16">
        <v>28</v>
      </c>
    </row>
    <row r="228" spans="1:5" x14ac:dyDescent="0.25">
      <c r="A228" s="16">
        <v>107</v>
      </c>
      <c r="B228" s="16" t="s">
        <v>616</v>
      </c>
      <c r="C228" s="16" t="s">
        <v>374</v>
      </c>
      <c r="D228" s="16" t="s">
        <v>172</v>
      </c>
      <c r="E228" s="16">
        <v>27</v>
      </c>
    </row>
    <row r="229" spans="1:5" x14ac:dyDescent="0.25">
      <c r="A229" s="16">
        <v>108</v>
      </c>
      <c r="B229" s="16" t="s">
        <v>616</v>
      </c>
      <c r="C229" s="16" t="s">
        <v>374</v>
      </c>
      <c r="D229" s="16" t="s">
        <v>172</v>
      </c>
      <c r="E229" s="16">
        <v>29</v>
      </c>
    </row>
    <row r="230" spans="1:5" x14ac:dyDescent="0.25">
      <c r="A230" s="16">
        <v>109</v>
      </c>
      <c r="B230" s="16" t="s">
        <v>616</v>
      </c>
      <c r="C230" s="16" t="s">
        <v>374</v>
      </c>
      <c r="D230" s="16" t="s">
        <v>172</v>
      </c>
      <c r="E230" s="16">
        <v>26</v>
      </c>
    </row>
    <row r="231" spans="1:5" x14ac:dyDescent="0.25">
      <c r="A231" s="16">
        <v>110</v>
      </c>
      <c r="B231" s="16" t="s">
        <v>616</v>
      </c>
      <c r="C231" s="16" t="s">
        <v>374</v>
      </c>
      <c r="D231" s="16" t="s">
        <v>172</v>
      </c>
      <c r="E231" s="16">
        <v>18</v>
      </c>
    </row>
    <row r="232" spans="1:5" x14ac:dyDescent="0.25">
      <c r="A232" s="16">
        <v>111</v>
      </c>
      <c r="B232" s="16" t="s">
        <v>617</v>
      </c>
      <c r="C232" s="16" t="s">
        <v>374</v>
      </c>
      <c r="D232" s="16" t="s">
        <v>172</v>
      </c>
      <c r="E232" s="16">
        <v>29</v>
      </c>
    </row>
    <row r="233" spans="1:5" x14ac:dyDescent="0.25">
      <c r="A233" s="16">
        <v>112</v>
      </c>
      <c r="B233" s="16" t="s">
        <v>617</v>
      </c>
      <c r="C233" s="16" t="s">
        <v>374</v>
      </c>
      <c r="D233" s="16" t="s">
        <v>172</v>
      </c>
      <c r="E233" s="16">
        <v>20</v>
      </c>
    </row>
    <row r="234" spans="1:5" x14ac:dyDescent="0.25">
      <c r="A234" s="16">
        <v>113</v>
      </c>
      <c r="B234" s="16" t="s">
        <v>617</v>
      </c>
      <c r="C234" s="16" t="s">
        <v>374</v>
      </c>
      <c r="D234" s="16" t="s">
        <v>172</v>
      </c>
      <c r="E234" s="16">
        <v>24</v>
      </c>
    </row>
    <row r="235" spans="1:5" x14ac:dyDescent="0.25">
      <c r="A235" s="16">
        <v>114</v>
      </c>
      <c r="B235" s="16" t="s">
        <v>617</v>
      </c>
      <c r="C235" s="16" t="s">
        <v>374</v>
      </c>
      <c r="D235" s="16" t="s">
        <v>172</v>
      </c>
      <c r="E235" s="16">
        <v>32</v>
      </c>
    </row>
    <row r="236" spans="1:5" x14ac:dyDescent="0.25">
      <c r="A236" s="16">
        <v>115</v>
      </c>
      <c r="B236" s="16" t="s">
        <v>617</v>
      </c>
      <c r="C236" s="16" t="s">
        <v>374</v>
      </c>
      <c r="D236" s="16" t="s">
        <v>172</v>
      </c>
      <c r="E236" s="16">
        <v>20</v>
      </c>
    </row>
    <row r="237" spans="1:5" x14ac:dyDescent="0.25">
      <c r="A237" s="16">
        <v>116</v>
      </c>
      <c r="B237" s="16" t="s">
        <v>617</v>
      </c>
      <c r="C237" s="16" t="s">
        <v>374</v>
      </c>
      <c r="D237" s="16" t="s">
        <v>172</v>
      </c>
      <c r="E237" s="16">
        <v>21</v>
      </c>
    </row>
    <row r="238" spans="1:5" x14ac:dyDescent="0.25">
      <c r="A238" s="16">
        <v>117</v>
      </c>
      <c r="B238" s="16" t="s">
        <v>617</v>
      </c>
      <c r="C238" s="16" t="s">
        <v>374</v>
      </c>
      <c r="D238" s="16" t="s">
        <v>172</v>
      </c>
      <c r="E238" s="16">
        <v>26</v>
      </c>
    </row>
    <row r="239" spans="1:5" x14ac:dyDescent="0.25">
      <c r="A239" s="16">
        <v>118</v>
      </c>
      <c r="B239" s="16" t="s">
        <v>617</v>
      </c>
      <c r="C239" s="16" t="s">
        <v>374</v>
      </c>
      <c r="D239" s="16" t="s">
        <v>172</v>
      </c>
      <c r="E239" s="16">
        <v>25</v>
      </c>
    </row>
    <row r="240" spans="1:5" x14ac:dyDescent="0.25">
      <c r="A240" s="16">
        <v>119</v>
      </c>
      <c r="B240" s="16" t="s">
        <v>617</v>
      </c>
      <c r="C240" s="16" t="s">
        <v>374</v>
      </c>
      <c r="D240" s="16" t="s">
        <v>172</v>
      </c>
      <c r="E240" s="16">
        <v>29</v>
      </c>
    </row>
    <row r="241" spans="1:5" x14ac:dyDescent="0.25">
      <c r="A241" s="16">
        <v>120</v>
      </c>
      <c r="B241" s="16" t="s">
        <v>617</v>
      </c>
      <c r="C241" s="16" t="s">
        <v>374</v>
      </c>
      <c r="D241" s="16" t="s">
        <v>172</v>
      </c>
      <c r="E241" s="16">
        <v>32</v>
      </c>
    </row>
    <row r="242" spans="1:5" x14ac:dyDescent="0.25">
      <c r="A242" s="16">
        <v>121</v>
      </c>
      <c r="B242" s="16" t="s">
        <v>617</v>
      </c>
      <c r="C242" s="16" t="s">
        <v>374</v>
      </c>
      <c r="D242" s="16" t="s">
        <v>172</v>
      </c>
      <c r="E242" s="16">
        <v>22</v>
      </c>
    </row>
    <row r="243" spans="1:5" x14ac:dyDescent="0.25">
      <c r="A243" s="16">
        <v>122</v>
      </c>
      <c r="B243" s="16" t="s">
        <v>617</v>
      </c>
      <c r="C243" s="16" t="s">
        <v>374</v>
      </c>
      <c r="D243" s="16" t="s">
        <v>172</v>
      </c>
      <c r="E243" s="16">
        <v>40</v>
      </c>
    </row>
    <row r="244" spans="1:5" x14ac:dyDescent="0.25">
      <c r="A244" s="16">
        <v>123</v>
      </c>
      <c r="B244" s="16" t="s">
        <v>617</v>
      </c>
      <c r="C244" s="16" t="s">
        <v>374</v>
      </c>
      <c r="D244" s="16" t="s">
        <v>172</v>
      </c>
      <c r="E244" s="16">
        <v>23</v>
      </c>
    </row>
    <row r="245" spans="1:5" x14ac:dyDescent="0.25">
      <c r="A245" s="16">
        <v>124</v>
      </c>
      <c r="B245" s="16" t="s">
        <v>617</v>
      </c>
      <c r="C245" s="16" t="s">
        <v>374</v>
      </c>
      <c r="D245" s="16" t="s">
        <v>172</v>
      </c>
      <c r="E245" s="16">
        <v>34</v>
      </c>
    </row>
    <row r="246" spans="1:5" x14ac:dyDescent="0.25">
      <c r="A246" s="16">
        <v>125</v>
      </c>
      <c r="B246" s="16" t="s">
        <v>617</v>
      </c>
      <c r="C246" s="16" t="s">
        <v>374</v>
      </c>
      <c r="D246" s="16" t="s">
        <v>172</v>
      </c>
      <c r="E246" s="16">
        <v>27</v>
      </c>
    </row>
    <row r="247" spans="1:5" x14ac:dyDescent="0.25">
      <c r="A247" s="16">
        <v>126</v>
      </c>
      <c r="B247" s="16" t="s">
        <v>618</v>
      </c>
      <c r="C247" s="16" t="s">
        <v>374</v>
      </c>
      <c r="D247" s="16" t="s">
        <v>172</v>
      </c>
      <c r="E247" s="16">
        <v>18</v>
      </c>
    </row>
    <row r="248" spans="1:5" x14ac:dyDescent="0.25">
      <c r="A248" s="16">
        <v>127</v>
      </c>
      <c r="B248" s="16" t="s">
        <v>618</v>
      </c>
      <c r="C248" s="16" t="s">
        <v>374</v>
      </c>
      <c r="D248" s="16" t="s">
        <v>172</v>
      </c>
      <c r="E248" s="16">
        <v>18</v>
      </c>
    </row>
    <row r="249" spans="1:5" x14ac:dyDescent="0.25">
      <c r="A249" s="16">
        <v>128</v>
      </c>
      <c r="B249" s="16" t="s">
        <v>618</v>
      </c>
      <c r="C249" s="16" t="s">
        <v>374</v>
      </c>
      <c r="D249" s="16" t="s">
        <v>172</v>
      </c>
      <c r="E249" s="16">
        <v>19</v>
      </c>
    </row>
    <row r="250" spans="1:5" x14ac:dyDescent="0.25">
      <c r="A250" s="16">
        <v>129</v>
      </c>
      <c r="B250" s="16" t="s">
        <v>618</v>
      </c>
      <c r="C250" s="16" t="s">
        <v>374</v>
      </c>
      <c r="D250" s="16" t="s">
        <v>172</v>
      </c>
      <c r="E250" s="16">
        <v>19</v>
      </c>
    </row>
    <row r="251" spans="1:5" x14ac:dyDescent="0.25">
      <c r="A251" s="16">
        <v>130</v>
      </c>
      <c r="B251" s="16" t="s">
        <v>618</v>
      </c>
      <c r="C251" s="16" t="s">
        <v>374</v>
      </c>
      <c r="D251" s="16" t="s">
        <v>172</v>
      </c>
      <c r="E251" s="16">
        <v>18</v>
      </c>
    </row>
    <row r="252" spans="1:5" x14ac:dyDescent="0.25">
      <c r="A252" s="16">
        <v>131</v>
      </c>
      <c r="B252" s="16" t="s">
        <v>618</v>
      </c>
      <c r="C252" s="16" t="s">
        <v>374</v>
      </c>
      <c r="D252" s="16" t="s">
        <v>172</v>
      </c>
      <c r="E252" s="16">
        <v>17</v>
      </c>
    </row>
    <row r="253" spans="1:5" x14ac:dyDescent="0.25">
      <c r="A253" s="16">
        <v>132</v>
      </c>
      <c r="B253" s="16" t="s">
        <v>618</v>
      </c>
      <c r="C253" s="16" t="s">
        <v>374</v>
      </c>
      <c r="D253" s="16" t="s">
        <v>172</v>
      </c>
      <c r="E253" s="16">
        <v>18</v>
      </c>
    </row>
    <row r="254" spans="1:5" x14ac:dyDescent="0.25">
      <c r="A254" s="16">
        <v>133</v>
      </c>
      <c r="B254" s="16" t="s">
        <v>618</v>
      </c>
      <c r="C254" s="16" t="s">
        <v>374</v>
      </c>
      <c r="D254" s="16" t="s">
        <v>172</v>
      </c>
      <c r="E254" s="16">
        <v>17</v>
      </c>
    </row>
    <row r="255" spans="1:5" x14ac:dyDescent="0.25">
      <c r="A255" s="16">
        <v>134</v>
      </c>
      <c r="B255" s="16" t="s">
        <v>618</v>
      </c>
      <c r="C255" s="16" t="s">
        <v>374</v>
      </c>
      <c r="D255" s="16" t="s">
        <v>172</v>
      </c>
      <c r="E255" s="16">
        <v>17</v>
      </c>
    </row>
    <row r="256" spans="1:5" x14ac:dyDescent="0.25">
      <c r="A256" s="16">
        <v>135</v>
      </c>
      <c r="B256" s="16" t="s">
        <v>618</v>
      </c>
      <c r="C256" s="16" t="s">
        <v>374</v>
      </c>
      <c r="D256" s="16" t="s">
        <v>172</v>
      </c>
      <c r="E256" s="16">
        <v>17</v>
      </c>
    </row>
    <row r="257" spans="1:5" x14ac:dyDescent="0.25">
      <c r="A257" s="16">
        <v>136</v>
      </c>
      <c r="B257" s="16" t="s">
        <v>619</v>
      </c>
      <c r="C257" s="16" t="s">
        <v>374</v>
      </c>
      <c r="D257" s="16" t="s">
        <v>172</v>
      </c>
      <c r="E257" s="16">
        <v>17</v>
      </c>
    </row>
    <row r="258" spans="1:5" x14ac:dyDescent="0.25">
      <c r="A258" s="16">
        <v>137</v>
      </c>
      <c r="B258" s="16" t="s">
        <v>619</v>
      </c>
      <c r="C258" s="16" t="s">
        <v>374</v>
      </c>
      <c r="D258" s="16" t="s">
        <v>172</v>
      </c>
      <c r="E258" s="16">
        <v>17</v>
      </c>
    </row>
    <row r="259" spans="1:5" x14ac:dyDescent="0.25">
      <c r="A259" s="16">
        <v>138</v>
      </c>
      <c r="B259" s="16" t="s">
        <v>619</v>
      </c>
      <c r="C259" s="16" t="s">
        <v>374</v>
      </c>
      <c r="D259" s="16" t="s">
        <v>172</v>
      </c>
      <c r="E259" s="16">
        <v>19</v>
      </c>
    </row>
    <row r="260" spans="1:5" x14ac:dyDescent="0.25">
      <c r="A260" s="16">
        <v>139</v>
      </c>
      <c r="B260" s="16" t="s">
        <v>619</v>
      </c>
      <c r="C260" s="16" t="s">
        <v>374</v>
      </c>
      <c r="D260" s="16" t="s">
        <v>172</v>
      </c>
      <c r="E260" s="16">
        <v>17</v>
      </c>
    </row>
    <row r="261" spans="1:5" x14ac:dyDescent="0.25">
      <c r="A261" s="16">
        <v>140</v>
      </c>
      <c r="B261" s="16" t="s">
        <v>619</v>
      </c>
      <c r="C261" s="16" t="s">
        <v>374</v>
      </c>
      <c r="D261" s="16" t="s">
        <v>172</v>
      </c>
      <c r="E261" s="16">
        <v>17</v>
      </c>
    </row>
    <row r="262" spans="1:5" x14ac:dyDescent="0.25">
      <c r="A262" s="16">
        <v>141</v>
      </c>
      <c r="B262" s="16" t="s">
        <v>619</v>
      </c>
      <c r="C262" s="16" t="s">
        <v>374</v>
      </c>
      <c r="D262" s="16" t="s">
        <v>172</v>
      </c>
      <c r="E262" s="16">
        <v>18</v>
      </c>
    </row>
    <row r="263" spans="1:5" x14ac:dyDescent="0.25">
      <c r="A263" s="16">
        <v>142</v>
      </c>
      <c r="B263" s="16" t="s">
        <v>619</v>
      </c>
      <c r="C263" s="16" t="s">
        <v>374</v>
      </c>
      <c r="D263" s="16" t="s">
        <v>172</v>
      </c>
      <c r="E263" s="16">
        <v>18</v>
      </c>
    </row>
    <row r="264" spans="1:5" x14ac:dyDescent="0.25">
      <c r="A264" s="16">
        <v>143</v>
      </c>
      <c r="B264" s="16" t="s">
        <v>619</v>
      </c>
      <c r="C264" s="16" t="s">
        <v>374</v>
      </c>
      <c r="D264" s="16" t="s">
        <v>172</v>
      </c>
      <c r="E264" s="16">
        <v>17</v>
      </c>
    </row>
    <row r="265" spans="1:5" x14ac:dyDescent="0.25">
      <c r="A265" s="16">
        <v>144</v>
      </c>
      <c r="B265" s="16" t="s">
        <v>619</v>
      </c>
      <c r="C265" s="16" t="s">
        <v>374</v>
      </c>
      <c r="D265" s="16" t="s">
        <v>172</v>
      </c>
      <c r="E265" s="16">
        <v>18</v>
      </c>
    </row>
    <row r="266" spans="1:5" x14ac:dyDescent="0.25">
      <c r="A266" s="16">
        <v>145</v>
      </c>
      <c r="B266" s="16" t="s">
        <v>619</v>
      </c>
      <c r="C266" s="16" t="s">
        <v>374</v>
      </c>
      <c r="D266" s="16" t="s">
        <v>172</v>
      </c>
      <c r="E266" s="16">
        <v>18</v>
      </c>
    </row>
    <row r="267" spans="1:5" x14ac:dyDescent="0.25">
      <c r="A267" s="16">
        <v>146</v>
      </c>
      <c r="B267" s="16" t="s">
        <v>619</v>
      </c>
      <c r="C267" s="16" t="s">
        <v>374</v>
      </c>
      <c r="D267" s="16" t="s">
        <v>172</v>
      </c>
      <c r="E267" s="16">
        <v>17</v>
      </c>
    </row>
    <row r="268" spans="1:5" x14ac:dyDescent="0.25">
      <c r="A268" s="16">
        <v>147</v>
      </c>
      <c r="B268" s="16" t="s">
        <v>619</v>
      </c>
      <c r="C268" s="16" t="s">
        <v>374</v>
      </c>
      <c r="D268" s="16" t="s">
        <v>172</v>
      </c>
      <c r="E268" s="16">
        <v>15</v>
      </c>
    </row>
    <row r="269" spans="1:5" x14ac:dyDescent="0.25">
      <c r="A269" s="16">
        <v>148</v>
      </c>
      <c r="B269" s="16" t="s">
        <v>620</v>
      </c>
      <c r="C269" s="16" t="s">
        <v>374</v>
      </c>
      <c r="D269" s="16" t="s">
        <v>172</v>
      </c>
      <c r="E269" s="16">
        <v>21</v>
      </c>
    </row>
    <row r="270" spans="1:5" x14ac:dyDescent="0.25">
      <c r="A270" s="16">
        <v>149</v>
      </c>
      <c r="B270" s="16" t="s">
        <v>620</v>
      </c>
      <c r="C270" s="16" t="s">
        <v>374</v>
      </c>
      <c r="D270" s="16" t="s">
        <v>172</v>
      </c>
      <c r="E270" s="16">
        <v>21</v>
      </c>
    </row>
    <row r="271" spans="1:5" x14ac:dyDescent="0.25">
      <c r="A271" s="16">
        <v>150</v>
      </c>
      <c r="B271" s="16" t="s">
        <v>620</v>
      </c>
      <c r="C271" s="16" t="s">
        <v>374</v>
      </c>
      <c r="D271" s="16" t="s">
        <v>172</v>
      </c>
      <c r="E271" s="16">
        <v>30</v>
      </c>
    </row>
    <row r="272" spans="1:5" x14ac:dyDescent="0.25">
      <c r="A272" s="16">
        <v>151</v>
      </c>
      <c r="B272" s="16" t="s">
        <v>620</v>
      </c>
      <c r="C272" s="16" t="s">
        <v>374</v>
      </c>
      <c r="D272" s="16" t="s">
        <v>172</v>
      </c>
      <c r="E272" s="16">
        <v>21</v>
      </c>
    </row>
    <row r="273" spans="1:5" x14ac:dyDescent="0.25">
      <c r="A273" s="16">
        <v>152</v>
      </c>
      <c r="B273" s="16" t="s">
        <v>620</v>
      </c>
      <c r="C273" s="16" t="s">
        <v>374</v>
      </c>
      <c r="D273" s="16" t="s">
        <v>172</v>
      </c>
      <c r="E273" s="16">
        <v>20</v>
      </c>
    </row>
    <row r="274" spans="1:5" x14ac:dyDescent="0.25">
      <c r="A274" s="16">
        <v>153</v>
      </c>
      <c r="B274" s="16" t="s">
        <v>620</v>
      </c>
      <c r="C274" s="16" t="s">
        <v>374</v>
      </c>
      <c r="D274" s="16" t="s">
        <v>172</v>
      </c>
      <c r="E274" s="16">
        <v>21</v>
      </c>
    </row>
    <row r="275" spans="1:5" x14ac:dyDescent="0.25">
      <c r="A275" s="16">
        <v>154</v>
      </c>
      <c r="B275" s="16" t="s">
        <v>620</v>
      </c>
      <c r="C275" s="16" t="s">
        <v>374</v>
      </c>
      <c r="D275" s="16" t="s">
        <v>172</v>
      </c>
      <c r="E275" s="16">
        <v>25</v>
      </c>
    </row>
    <row r="276" spans="1:5" x14ac:dyDescent="0.25">
      <c r="A276" s="16">
        <v>155</v>
      </c>
      <c r="B276" s="16" t="s">
        <v>620</v>
      </c>
      <c r="C276" s="16" t="s">
        <v>374</v>
      </c>
      <c r="D276" s="16" t="s">
        <v>172</v>
      </c>
      <c r="E276" s="16">
        <v>21</v>
      </c>
    </row>
    <row r="277" spans="1:5" x14ac:dyDescent="0.25">
      <c r="A277" s="16">
        <v>156</v>
      </c>
      <c r="B277" s="16" t="s">
        <v>620</v>
      </c>
      <c r="C277" s="16" t="s">
        <v>374</v>
      </c>
      <c r="D277" s="16" t="s">
        <v>172</v>
      </c>
      <c r="E277" s="16">
        <v>20</v>
      </c>
    </row>
    <row r="278" spans="1:5" x14ac:dyDescent="0.25">
      <c r="A278" s="16">
        <v>157</v>
      </c>
      <c r="B278" s="16" t="s">
        <v>620</v>
      </c>
      <c r="C278" s="16" t="s">
        <v>374</v>
      </c>
      <c r="D278" s="16" t="s">
        <v>172</v>
      </c>
      <c r="E278" s="16">
        <v>23</v>
      </c>
    </row>
    <row r="279" spans="1:5" x14ac:dyDescent="0.25">
      <c r="A279" s="16">
        <v>158</v>
      </c>
      <c r="B279" s="16" t="s">
        <v>620</v>
      </c>
      <c r="C279" s="16" t="s">
        <v>374</v>
      </c>
      <c r="D279" s="16" t="s">
        <v>172</v>
      </c>
      <c r="E279" s="16">
        <v>21</v>
      </c>
    </row>
    <row r="280" spans="1:5" x14ac:dyDescent="0.25">
      <c r="A280" s="16">
        <v>159</v>
      </c>
      <c r="B280" s="16" t="s">
        <v>621</v>
      </c>
      <c r="C280" s="16" t="s">
        <v>374</v>
      </c>
      <c r="D280" s="16" t="s">
        <v>172</v>
      </c>
      <c r="E280" s="16">
        <v>21</v>
      </c>
    </row>
    <row r="281" spans="1:5" x14ac:dyDescent="0.25">
      <c r="A281" s="16">
        <v>160</v>
      </c>
      <c r="B281" s="16" t="s">
        <v>621</v>
      </c>
      <c r="C281" s="16" t="s">
        <v>374</v>
      </c>
      <c r="D281" s="16" t="s">
        <v>172</v>
      </c>
      <c r="E281" s="16">
        <v>33</v>
      </c>
    </row>
    <row r="282" spans="1:5" x14ac:dyDescent="0.25">
      <c r="A282" s="16">
        <v>161</v>
      </c>
      <c r="B282" s="16" t="s">
        <v>621</v>
      </c>
      <c r="C282" s="16" t="s">
        <v>374</v>
      </c>
      <c r="D282" s="16" t="s">
        <v>172</v>
      </c>
      <c r="E282" s="16">
        <v>20</v>
      </c>
    </row>
    <row r="283" spans="1:5" x14ac:dyDescent="0.25">
      <c r="A283" s="16">
        <v>162</v>
      </c>
      <c r="B283" s="16" t="s">
        <v>621</v>
      </c>
      <c r="C283" s="16" t="s">
        <v>374</v>
      </c>
      <c r="D283" s="16" t="s">
        <v>172</v>
      </c>
      <c r="E283" s="16">
        <v>21</v>
      </c>
    </row>
    <row r="284" spans="1:5" x14ac:dyDescent="0.25">
      <c r="A284" s="16">
        <v>163</v>
      </c>
      <c r="B284" s="16" t="s">
        <v>621</v>
      </c>
      <c r="C284" s="16" t="s">
        <v>374</v>
      </c>
      <c r="D284" s="16" t="s">
        <v>172</v>
      </c>
      <c r="E284" s="16">
        <v>24</v>
      </c>
    </row>
    <row r="285" spans="1:5" x14ac:dyDescent="0.25">
      <c r="A285" s="16">
        <v>164</v>
      </c>
      <c r="B285" s="16" t="s">
        <v>621</v>
      </c>
      <c r="C285" s="16" t="s">
        <v>374</v>
      </c>
      <c r="D285" s="16" t="s">
        <v>172</v>
      </c>
      <c r="E285" s="16">
        <v>31</v>
      </c>
    </row>
    <row r="286" spans="1:5" x14ac:dyDescent="0.25">
      <c r="A286" s="16">
        <v>165</v>
      </c>
      <c r="B286" s="16" t="s">
        <v>621</v>
      </c>
      <c r="C286" s="16" t="s">
        <v>374</v>
      </c>
      <c r="D286" s="16" t="s">
        <v>172</v>
      </c>
      <c r="E286" s="16">
        <v>28</v>
      </c>
    </row>
    <row r="287" spans="1:5" x14ac:dyDescent="0.25">
      <c r="A287" s="16">
        <v>166</v>
      </c>
      <c r="B287" s="16" t="s">
        <v>621</v>
      </c>
      <c r="C287" s="16" t="s">
        <v>374</v>
      </c>
      <c r="D287" s="16" t="s">
        <v>172</v>
      </c>
      <c r="E287" s="16">
        <v>19</v>
      </c>
    </row>
    <row r="288" spans="1:5" x14ac:dyDescent="0.25">
      <c r="A288" s="16">
        <v>167</v>
      </c>
      <c r="B288" s="16" t="s">
        <v>621</v>
      </c>
      <c r="C288" s="16" t="s">
        <v>374</v>
      </c>
      <c r="D288" s="16" t="s">
        <v>172</v>
      </c>
      <c r="E288" s="16">
        <v>20</v>
      </c>
    </row>
    <row r="289" spans="1:5" x14ac:dyDescent="0.25">
      <c r="A289" s="16">
        <v>168</v>
      </c>
      <c r="B289" s="16" t="s">
        <v>621</v>
      </c>
      <c r="C289" s="16" t="s">
        <v>374</v>
      </c>
      <c r="D289" s="16" t="s">
        <v>172</v>
      </c>
      <c r="E289" s="16">
        <v>28</v>
      </c>
    </row>
    <row r="290" spans="1:5" x14ac:dyDescent="0.25">
      <c r="A290" s="16">
        <v>169</v>
      </c>
      <c r="B290" s="16" t="s">
        <v>621</v>
      </c>
      <c r="C290" s="16" t="s">
        <v>374</v>
      </c>
      <c r="D290" s="16" t="s">
        <v>172</v>
      </c>
      <c r="E290" s="16">
        <v>20</v>
      </c>
    </row>
    <row r="291" spans="1:5" x14ac:dyDescent="0.25">
      <c r="A291" s="16">
        <v>170</v>
      </c>
      <c r="B291" s="16" t="s">
        <v>621</v>
      </c>
      <c r="C291" s="16" t="s">
        <v>374</v>
      </c>
      <c r="D291" s="16" t="s">
        <v>172</v>
      </c>
      <c r="E291" s="16">
        <v>32</v>
      </c>
    </row>
    <row r="292" spans="1:5" x14ac:dyDescent="0.25">
      <c r="A292" s="16">
        <v>171</v>
      </c>
      <c r="B292" s="16" t="s">
        <v>621</v>
      </c>
      <c r="C292" s="16" t="s">
        <v>374</v>
      </c>
      <c r="D292" s="16" t="s">
        <v>172</v>
      </c>
      <c r="E292" s="16">
        <v>29</v>
      </c>
    </row>
    <row r="294" spans="1:5" s="12" customFormat="1" ht="13" x14ac:dyDescent="0.3">
      <c r="A294" s="17" t="s">
        <v>166</v>
      </c>
      <c r="B294" s="52"/>
      <c r="C294" s="52"/>
      <c r="D294" s="52"/>
      <c r="E294" s="52"/>
    </row>
    <row r="295" spans="1:5" x14ac:dyDescent="0.25">
      <c r="A295" s="15">
        <v>127</v>
      </c>
      <c r="C295" s="15" t="s">
        <v>71</v>
      </c>
    </row>
    <row r="296" spans="1:5" x14ac:dyDescent="0.25">
      <c r="A296" s="15">
        <v>134</v>
      </c>
      <c r="C296" s="15" t="s">
        <v>71</v>
      </c>
    </row>
    <row r="297" spans="1:5" x14ac:dyDescent="0.25">
      <c r="A297" s="15">
        <v>137</v>
      </c>
      <c r="C297" s="15" t="s">
        <v>71</v>
      </c>
    </row>
    <row r="298" spans="1:5" x14ac:dyDescent="0.25">
      <c r="A298" s="15">
        <v>138</v>
      </c>
      <c r="C298" s="15" t="s">
        <v>71</v>
      </c>
    </row>
    <row r="299" spans="1:5" x14ac:dyDescent="0.25">
      <c r="A299" s="15">
        <v>140</v>
      </c>
      <c r="C299" s="15" t="s">
        <v>71</v>
      </c>
    </row>
    <row r="300" spans="1:5" x14ac:dyDescent="0.25">
      <c r="A300" s="15">
        <v>142</v>
      </c>
      <c r="C300" s="15" t="s">
        <v>71</v>
      </c>
    </row>
    <row r="301" spans="1:5" x14ac:dyDescent="0.25">
      <c r="A301" s="15">
        <v>143</v>
      </c>
      <c r="C301" s="15" t="s">
        <v>71</v>
      </c>
    </row>
    <row r="302" spans="1:5" x14ac:dyDescent="0.25">
      <c r="A302" s="15" t="s">
        <v>640</v>
      </c>
      <c r="B302" s="15" t="s">
        <v>430</v>
      </c>
      <c r="C302" s="15" t="s">
        <v>166</v>
      </c>
      <c r="D302" s="15" t="s">
        <v>172</v>
      </c>
      <c r="E302" s="15">
        <v>24</v>
      </c>
    </row>
    <row r="303" spans="1:5" x14ac:dyDescent="0.25">
      <c r="A303" s="15" t="s">
        <v>640</v>
      </c>
      <c r="B303" s="15" t="s">
        <v>430</v>
      </c>
      <c r="C303" s="15" t="s">
        <v>166</v>
      </c>
      <c r="D303" s="15" t="s">
        <v>172</v>
      </c>
      <c r="E303" s="15">
        <v>19</v>
      </c>
    </row>
    <row r="304" spans="1:5" x14ac:dyDescent="0.25">
      <c r="A304" s="15" t="s">
        <v>640</v>
      </c>
      <c r="B304" s="15" t="s">
        <v>430</v>
      </c>
      <c r="C304" s="15" t="s">
        <v>166</v>
      </c>
      <c r="D304" s="15" t="s">
        <v>172</v>
      </c>
      <c r="E304" s="15">
        <v>22</v>
      </c>
    </row>
    <row r="305" spans="1:5" x14ac:dyDescent="0.25">
      <c r="A305" s="15" t="s">
        <v>640</v>
      </c>
      <c r="B305" s="15" t="s">
        <v>430</v>
      </c>
      <c r="C305" s="15" t="s">
        <v>166</v>
      </c>
      <c r="D305" s="15" t="s">
        <v>172</v>
      </c>
      <c r="E305" s="15">
        <v>32</v>
      </c>
    </row>
    <row r="306" spans="1:5" x14ac:dyDescent="0.25">
      <c r="A306" s="15" t="s">
        <v>640</v>
      </c>
      <c r="B306" s="15" t="s">
        <v>430</v>
      </c>
      <c r="C306" s="15" t="s">
        <v>166</v>
      </c>
      <c r="D306" s="15" t="s">
        <v>172</v>
      </c>
      <c r="E306" s="15">
        <v>19</v>
      </c>
    </row>
    <row r="307" spans="1:5" x14ac:dyDescent="0.25">
      <c r="A307" s="15" t="s">
        <v>640</v>
      </c>
      <c r="B307" s="15" t="s">
        <v>430</v>
      </c>
      <c r="C307" s="15" t="s">
        <v>166</v>
      </c>
      <c r="D307" s="15" t="s">
        <v>172</v>
      </c>
      <c r="E307" s="15">
        <v>19</v>
      </c>
    </row>
    <row r="308" spans="1:5" x14ac:dyDescent="0.25">
      <c r="A308" s="15" t="s">
        <v>640</v>
      </c>
      <c r="B308" s="15" t="s">
        <v>430</v>
      </c>
      <c r="C308" s="15" t="s">
        <v>166</v>
      </c>
      <c r="D308" s="15" t="s">
        <v>172</v>
      </c>
      <c r="E308" s="15">
        <v>35</v>
      </c>
    </row>
    <row r="309" spans="1:5" x14ac:dyDescent="0.25">
      <c r="A309" s="15" t="s">
        <v>640</v>
      </c>
      <c r="B309" s="15" t="s">
        <v>430</v>
      </c>
      <c r="C309" s="15" t="s">
        <v>166</v>
      </c>
      <c r="D309" s="15" t="s">
        <v>172</v>
      </c>
      <c r="E309" s="15">
        <v>19</v>
      </c>
    </row>
    <row r="310" spans="1:5" x14ac:dyDescent="0.25">
      <c r="A310" s="15" t="s">
        <v>640</v>
      </c>
      <c r="B310" s="15" t="s">
        <v>430</v>
      </c>
      <c r="C310" s="15" t="s">
        <v>166</v>
      </c>
      <c r="D310" s="15" t="s">
        <v>172</v>
      </c>
      <c r="E310" s="15" t="s">
        <v>412</v>
      </c>
    </row>
    <row r="311" spans="1:5" x14ac:dyDescent="0.25">
      <c r="A311" s="15" t="s">
        <v>640</v>
      </c>
      <c r="B311" s="15" t="s">
        <v>430</v>
      </c>
      <c r="C311" s="15" t="s">
        <v>166</v>
      </c>
      <c r="D311" s="15" t="s">
        <v>172</v>
      </c>
      <c r="E311" s="15">
        <v>33</v>
      </c>
    </row>
    <row r="312" spans="1:5" x14ac:dyDescent="0.25">
      <c r="A312" s="15" t="s">
        <v>640</v>
      </c>
      <c r="B312" s="15" t="s">
        <v>430</v>
      </c>
      <c r="C312" s="15" t="s">
        <v>166</v>
      </c>
      <c r="D312" s="15" t="s">
        <v>172</v>
      </c>
      <c r="E312" s="15">
        <v>22</v>
      </c>
    </row>
    <row r="313" spans="1:5" x14ac:dyDescent="0.25">
      <c r="A313" s="15" t="s">
        <v>640</v>
      </c>
      <c r="B313" s="15" t="s">
        <v>430</v>
      </c>
      <c r="C313" s="15" t="s">
        <v>166</v>
      </c>
      <c r="D313" s="15" t="s">
        <v>172</v>
      </c>
      <c r="E313" s="15">
        <v>19</v>
      </c>
    </row>
    <row r="314" spans="1:5" x14ac:dyDescent="0.25">
      <c r="A314" s="15" t="s">
        <v>640</v>
      </c>
      <c r="B314" s="15" t="s">
        <v>430</v>
      </c>
      <c r="C314" s="15" t="s">
        <v>166</v>
      </c>
      <c r="D314" s="15" t="s">
        <v>172</v>
      </c>
      <c r="E314" s="15">
        <v>18</v>
      </c>
    </row>
    <row r="315" spans="1:5" x14ac:dyDescent="0.25">
      <c r="A315" s="15" t="s">
        <v>640</v>
      </c>
      <c r="B315" s="15" t="s">
        <v>430</v>
      </c>
      <c r="C315" s="15" t="s">
        <v>166</v>
      </c>
      <c r="D315" s="15" t="s">
        <v>172</v>
      </c>
      <c r="E315" s="15">
        <v>32</v>
      </c>
    </row>
    <row r="316" spans="1:5" x14ac:dyDescent="0.25">
      <c r="A316" s="15" t="s">
        <v>640</v>
      </c>
      <c r="B316" s="15" t="s">
        <v>430</v>
      </c>
      <c r="C316" s="15" t="s">
        <v>166</v>
      </c>
      <c r="D316" s="15" t="s">
        <v>172</v>
      </c>
      <c r="E316" s="15">
        <v>20</v>
      </c>
    </row>
    <row r="317" spans="1:5" x14ac:dyDescent="0.25">
      <c r="A317" s="15" t="s">
        <v>640</v>
      </c>
      <c r="B317" s="15" t="s">
        <v>430</v>
      </c>
      <c r="C317" s="15" t="s">
        <v>166</v>
      </c>
      <c r="D317" s="15" t="s">
        <v>172</v>
      </c>
      <c r="E317" s="15">
        <v>25</v>
      </c>
    </row>
    <row r="318" spans="1:5" x14ac:dyDescent="0.25">
      <c r="A318" s="15" t="s">
        <v>640</v>
      </c>
      <c r="B318" s="15" t="s">
        <v>430</v>
      </c>
      <c r="C318" s="15" t="s">
        <v>166</v>
      </c>
      <c r="D318" s="15" t="s">
        <v>172</v>
      </c>
      <c r="E318" s="15">
        <v>19</v>
      </c>
    </row>
    <row r="319" spans="1:5" x14ac:dyDescent="0.25">
      <c r="A319" s="15" t="s">
        <v>640</v>
      </c>
      <c r="B319" s="15" t="s">
        <v>430</v>
      </c>
      <c r="C319" s="15" t="s">
        <v>166</v>
      </c>
      <c r="D319" s="15" t="s">
        <v>172</v>
      </c>
      <c r="E319" s="15">
        <v>34</v>
      </c>
    </row>
    <row r="320" spans="1:5" x14ac:dyDescent="0.25">
      <c r="A320" s="15" t="s">
        <v>640</v>
      </c>
      <c r="B320" s="15" t="s">
        <v>430</v>
      </c>
      <c r="C320" s="15" t="s">
        <v>166</v>
      </c>
      <c r="D320" s="15" t="s">
        <v>172</v>
      </c>
      <c r="E320" s="15">
        <v>26</v>
      </c>
    </row>
    <row r="321" spans="1:5" x14ac:dyDescent="0.25">
      <c r="A321" s="15" t="s">
        <v>640</v>
      </c>
      <c r="B321" s="15" t="s">
        <v>430</v>
      </c>
      <c r="C321" s="15" t="s">
        <v>166</v>
      </c>
      <c r="D321" s="15" t="s">
        <v>172</v>
      </c>
      <c r="E321" s="15">
        <v>38</v>
      </c>
    </row>
    <row r="322" spans="1:5" x14ac:dyDescent="0.25">
      <c r="A322" s="15" t="s">
        <v>640</v>
      </c>
      <c r="B322" s="15" t="s">
        <v>430</v>
      </c>
      <c r="C322" s="15" t="s">
        <v>166</v>
      </c>
      <c r="D322" s="15" t="s">
        <v>172</v>
      </c>
      <c r="E322" s="15">
        <v>28</v>
      </c>
    </row>
    <row r="323" spans="1:5" x14ac:dyDescent="0.25">
      <c r="A323" s="15" t="s">
        <v>640</v>
      </c>
      <c r="B323" s="15" t="s">
        <v>430</v>
      </c>
      <c r="C323" s="15" t="s">
        <v>166</v>
      </c>
      <c r="D323" s="15" t="s">
        <v>172</v>
      </c>
      <c r="E323" s="15">
        <v>24</v>
      </c>
    </row>
    <row r="324" spans="1:5" x14ac:dyDescent="0.25">
      <c r="A324" s="15" t="s">
        <v>640</v>
      </c>
      <c r="B324" s="15" t="s">
        <v>430</v>
      </c>
      <c r="C324" s="15" t="s">
        <v>166</v>
      </c>
      <c r="D324" s="15" t="s">
        <v>172</v>
      </c>
      <c r="E324" s="15">
        <v>34</v>
      </c>
    </row>
    <row r="325" spans="1:5" x14ac:dyDescent="0.25">
      <c r="A325" s="15" t="s">
        <v>640</v>
      </c>
      <c r="B325" s="15" t="s">
        <v>430</v>
      </c>
      <c r="C325" s="15" t="s">
        <v>166</v>
      </c>
      <c r="D325" s="15" t="s">
        <v>172</v>
      </c>
      <c r="E325" s="15">
        <v>23</v>
      </c>
    </row>
    <row r="326" spans="1:5" x14ac:dyDescent="0.25">
      <c r="A326" s="15" t="s">
        <v>640</v>
      </c>
      <c r="B326" s="15" t="s">
        <v>430</v>
      </c>
      <c r="C326" s="15" t="s">
        <v>166</v>
      </c>
      <c r="D326" s="15" t="s">
        <v>172</v>
      </c>
      <c r="E326" s="15">
        <v>24</v>
      </c>
    </row>
    <row r="327" spans="1:5" x14ac:dyDescent="0.25">
      <c r="A327" s="15" t="s">
        <v>640</v>
      </c>
      <c r="B327" s="15" t="s">
        <v>430</v>
      </c>
      <c r="C327" s="15" t="s">
        <v>166</v>
      </c>
      <c r="D327" s="15" t="s">
        <v>172</v>
      </c>
      <c r="E327" s="15" t="s">
        <v>412</v>
      </c>
    </row>
    <row r="328" spans="1:5" x14ac:dyDescent="0.25">
      <c r="A328" s="15" t="s">
        <v>640</v>
      </c>
      <c r="B328" s="15" t="s">
        <v>430</v>
      </c>
      <c r="C328" s="15" t="s">
        <v>166</v>
      </c>
      <c r="D328" s="15" t="s">
        <v>172</v>
      </c>
      <c r="E328" s="15">
        <v>19</v>
      </c>
    </row>
    <row r="329" spans="1:5" x14ac:dyDescent="0.25">
      <c r="A329" s="15" t="s">
        <v>640</v>
      </c>
      <c r="B329" s="15" t="s">
        <v>430</v>
      </c>
      <c r="C329" s="15" t="s">
        <v>166</v>
      </c>
      <c r="D329" s="15" t="s">
        <v>172</v>
      </c>
      <c r="E329" s="15">
        <v>21</v>
      </c>
    </row>
    <row r="330" spans="1:5" x14ac:dyDescent="0.25">
      <c r="A330" s="15" t="s">
        <v>640</v>
      </c>
      <c r="B330" s="15" t="s">
        <v>430</v>
      </c>
      <c r="C330" s="15" t="s">
        <v>166</v>
      </c>
      <c r="D330" s="15" t="s">
        <v>172</v>
      </c>
      <c r="E330" s="15">
        <v>28</v>
      </c>
    </row>
    <row r="331" spans="1:5" x14ac:dyDescent="0.25">
      <c r="A331" s="15" t="s">
        <v>640</v>
      </c>
      <c r="B331" s="15" t="s">
        <v>430</v>
      </c>
      <c r="C331" s="15" t="s">
        <v>166</v>
      </c>
      <c r="D331" s="15" t="s">
        <v>172</v>
      </c>
      <c r="E331" s="15">
        <v>26</v>
      </c>
    </row>
    <row r="332" spans="1:5" x14ac:dyDescent="0.25">
      <c r="A332" s="15" t="s">
        <v>640</v>
      </c>
      <c r="B332" s="15" t="s">
        <v>430</v>
      </c>
      <c r="C332" s="15" t="s">
        <v>166</v>
      </c>
      <c r="D332" s="15" t="s">
        <v>172</v>
      </c>
      <c r="E332" s="15">
        <v>27</v>
      </c>
    </row>
    <row r="333" spans="1:5" x14ac:dyDescent="0.25">
      <c r="A333" s="15">
        <v>42</v>
      </c>
      <c r="B333" s="15" t="s">
        <v>248</v>
      </c>
      <c r="C333" s="15" t="s">
        <v>166</v>
      </c>
      <c r="D333" s="15" t="s">
        <v>364</v>
      </c>
      <c r="E333" s="15">
        <v>25</v>
      </c>
    </row>
    <row r="334" spans="1:5" x14ac:dyDescent="0.25">
      <c r="A334" s="15">
        <v>43</v>
      </c>
      <c r="B334" s="15" t="s">
        <v>251</v>
      </c>
      <c r="C334" s="15" t="s">
        <v>166</v>
      </c>
      <c r="D334" s="15" t="s">
        <v>364</v>
      </c>
      <c r="E334" s="15">
        <v>26</v>
      </c>
    </row>
    <row r="335" spans="1:5" x14ac:dyDescent="0.25">
      <c r="A335" s="15">
        <v>68</v>
      </c>
      <c r="B335" s="15" t="s">
        <v>298</v>
      </c>
      <c r="C335" s="15" t="s">
        <v>166</v>
      </c>
      <c r="D335" s="15" t="s">
        <v>172</v>
      </c>
      <c r="E335" s="15">
        <v>33</v>
      </c>
    </row>
    <row r="336" spans="1:5" x14ac:dyDescent="0.25">
      <c r="A336" s="15">
        <v>108</v>
      </c>
      <c r="B336" s="15" t="s">
        <v>429</v>
      </c>
      <c r="C336" s="15" t="s">
        <v>166</v>
      </c>
      <c r="D336" s="15" t="s">
        <v>172</v>
      </c>
      <c r="E336" s="15">
        <v>25</v>
      </c>
    </row>
    <row r="337" spans="1:5" x14ac:dyDescent="0.25">
      <c r="A337" s="15">
        <v>114</v>
      </c>
      <c r="B337" s="15" t="s">
        <v>425</v>
      </c>
      <c r="C337" s="15" t="s">
        <v>166</v>
      </c>
      <c r="D337" s="15" t="s">
        <v>172</v>
      </c>
      <c r="E337" s="15">
        <v>27</v>
      </c>
    </row>
    <row r="338" spans="1:5" x14ac:dyDescent="0.25">
      <c r="A338" s="15">
        <v>116</v>
      </c>
      <c r="B338" s="15" t="s">
        <v>429</v>
      </c>
      <c r="C338" s="15" t="s">
        <v>166</v>
      </c>
      <c r="D338" s="15" t="s">
        <v>172</v>
      </c>
      <c r="E338" s="15">
        <v>53</v>
      </c>
    </row>
    <row r="339" spans="1:5" x14ac:dyDescent="0.25">
      <c r="A339" s="15">
        <v>118</v>
      </c>
      <c r="B339" s="15" t="s">
        <v>435</v>
      </c>
      <c r="C339" s="15" t="s">
        <v>166</v>
      </c>
      <c r="D339" s="15" t="s">
        <v>364</v>
      </c>
      <c r="E339" s="15">
        <v>32</v>
      </c>
    </row>
    <row r="340" spans="1:5" x14ac:dyDescent="0.25">
      <c r="A340" s="15">
        <v>119</v>
      </c>
      <c r="B340" s="15" t="s">
        <v>439</v>
      </c>
      <c r="C340" s="15" t="s">
        <v>166</v>
      </c>
      <c r="D340" s="15" t="s">
        <v>364</v>
      </c>
      <c r="E340" s="15">
        <v>23</v>
      </c>
    </row>
    <row r="341" spans="1:5" x14ac:dyDescent="0.25">
      <c r="A341" s="15">
        <v>120</v>
      </c>
      <c r="B341" s="15" t="s">
        <v>443</v>
      </c>
      <c r="C341" s="15" t="s">
        <v>166</v>
      </c>
      <c r="D341" s="15" t="s">
        <v>364</v>
      </c>
      <c r="E341" s="15">
        <v>25</v>
      </c>
    </row>
    <row r="342" spans="1:5" x14ac:dyDescent="0.25">
      <c r="A342" s="15">
        <v>121</v>
      </c>
      <c r="B342" s="15" t="s">
        <v>449</v>
      </c>
      <c r="C342" s="15" t="s">
        <v>166</v>
      </c>
      <c r="D342" s="15" t="s">
        <v>364</v>
      </c>
      <c r="E342" s="15">
        <v>24</v>
      </c>
    </row>
    <row r="343" spans="1:5" x14ac:dyDescent="0.25">
      <c r="A343" s="15">
        <v>122</v>
      </c>
      <c r="B343" s="15" t="s">
        <v>449</v>
      </c>
      <c r="C343" s="15" t="s">
        <v>166</v>
      </c>
      <c r="D343" s="15" t="s">
        <v>364</v>
      </c>
      <c r="E343" s="15">
        <v>29</v>
      </c>
    </row>
    <row r="344" spans="1:5" x14ac:dyDescent="0.25">
      <c r="A344" s="15">
        <v>123</v>
      </c>
      <c r="B344" s="15" t="s">
        <v>456</v>
      </c>
      <c r="C344" s="15" t="s">
        <v>166</v>
      </c>
      <c r="D344" s="15" t="s">
        <v>364</v>
      </c>
      <c r="E344" s="15">
        <v>24</v>
      </c>
    </row>
    <row r="345" spans="1:5" x14ac:dyDescent="0.25">
      <c r="A345" s="15">
        <v>124</v>
      </c>
      <c r="B345" s="15" t="s">
        <v>449</v>
      </c>
      <c r="C345" s="15" t="s">
        <v>166</v>
      </c>
      <c r="D345" s="15" t="s">
        <v>364</v>
      </c>
      <c r="E345" s="15">
        <v>28</v>
      </c>
    </row>
    <row r="346" spans="1:5" x14ac:dyDescent="0.25">
      <c r="A346" s="50">
        <v>144</v>
      </c>
      <c r="B346" s="15" t="s">
        <v>502</v>
      </c>
      <c r="C346" s="15" t="s">
        <v>166</v>
      </c>
      <c r="D346" s="15" t="s">
        <v>364</v>
      </c>
      <c r="E346" s="15">
        <v>23</v>
      </c>
    </row>
    <row r="347" spans="1:5" x14ac:dyDescent="0.25">
      <c r="A347" s="15">
        <v>145</v>
      </c>
      <c r="B347" s="15" t="s">
        <v>506</v>
      </c>
      <c r="C347" s="15" t="s">
        <v>166</v>
      </c>
      <c r="D347" s="15" t="s">
        <v>364</v>
      </c>
      <c r="E347" s="15">
        <v>25</v>
      </c>
    </row>
    <row r="348" spans="1:5" x14ac:dyDescent="0.25">
      <c r="A348" s="15">
        <v>146</v>
      </c>
      <c r="B348" s="15" t="s">
        <v>449</v>
      </c>
      <c r="C348" s="15" t="s">
        <v>166</v>
      </c>
      <c r="D348" s="15" t="s">
        <v>364</v>
      </c>
      <c r="E348" s="15">
        <v>26</v>
      </c>
    </row>
    <row r="349" spans="1:5" x14ac:dyDescent="0.25">
      <c r="A349" s="15">
        <v>152</v>
      </c>
      <c r="B349" s="15" t="s">
        <v>530</v>
      </c>
      <c r="C349" s="15" t="s">
        <v>166</v>
      </c>
      <c r="D349" s="15" t="s">
        <v>172</v>
      </c>
      <c r="E349" s="15">
        <v>29</v>
      </c>
    </row>
    <row r="350" spans="1:5" x14ac:dyDescent="0.25">
      <c r="A350" s="15">
        <v>155</v>
      </c>
      <c r="B350" s="15" t="s">
        <v>534</v>
      </c>
      <c r="C350" s="15" t="s">
        <v>166</v>
      </c>
      <c r="D350" s="15" t="s">
        <v>172</v>
      </c>
      <c r="E350" s="15">
        <v>25</v>
      </c>
    </row>
    <row r="351" spans="1:5" x14ac:dyDescent="0.25">
      <c r="A351" s="15">
        <v>156</v>
      </c>
      <c r="B351" s="15" t="s">
        <v>430</v>
      </c>
      <c r="C351" s="15" t="s">
        <v>166</v>
      </c>
      <c r="D351" s="15" t="s">
        <v>172</v>
      </c>
      <c r="E351" s="15">
        <v>28</v>
      </c>
    </row>
    <row r="352" spans="1:5" x14ac:dyDescent="0.25">
      <c r="A352" s="15">
        <v>157</v>
      </c>
      <c r="B352" s="15" t="s">
        <v>430</v>
      </c>
      <c r="C352" s="15" t="s">
        <v>166</v>
      </c>
      <c r="D352" s="15" t="s">
        <v>172</v>
      </c>
      <c r="E352" s="15">
        <v>31</v>
      </c>
    </row>
    <row r="353" spans="1:5" x14ac:dyDescent="0.25">
      <c r="A353" s="15">
        <v>158</v>
      </c>
      <c r="B353" s="15" t="s">
        <v>430</v>
      </c>
      <c r="C353" s="15" t="s">
        <v>166</v>
      </c>
      <c r="D353" s="15" t="s">
        <v>172</v>
      </c>
      <c r="E353" s="15">
        <v>36</v>
      </c>
    </row>
    <row r="354" spans="1:5" x14ac:dyDescent="0.25">
      <c r="A354" s="15">
        <v>160</v>
      </c>
      <c r="B354" s="15" t="s">
        <v>430</v>
      </c>
      <c r="C354" s="15" t="s">
        <v>166</v>
      </c>
      <c r="D354" s="15" t="s">
        <v>172</v>
      </c>
      <c r="E354" s="15">
        <v>38</v>
      </c>
    </row>
    <row r="355" spans="1:5" x14ac:dyDescent="0.25">
      <c r="A355" s="15">
        <v>165</v>
      </c>
      <c r="B355" s="15" t="s">
        <v>430</v>
      </c>
      <c r="C355" s="15" t="s">
        <v>166</v>
      </c>
      <c r="D355" s="15" t="s">
        <v>172</v>
      </c>
      <c r="E355" s="15">
        <v>25</v>
      </c>
    </row>
    <row r="356" spans="1:5" x14ac:dyDescent="0.25">
      <c r="A356" s="15">
        <v>172</v>
      </c>
      <c r="B356" s="15" t="s">
        <v>569</v>
      </c>
      <c r="C356" s="15" t="s">
        <v>166</v>
      </c>
      <c r="D356" s="15" t="s">
        <v>364</v>
      </c>
      <c r="E356" s="15">
        <v>16</v>
      </c>
    </row>
    <row r="357" spans="1:5" x14ac:dyDescent="0.25">
      <c r="A357" s="15">
        <v>174</v>
      </c>
      <c r="B357" s="15" t="s">
        <v>575</v>
      </c>
      <c r="C357" s="15" t="s">
        <v>166</v>
      </c>
      <c r="D357" s="15" t="s">
        <v>172</v>
      </c>
      <c r="E357" s="15">
        <v>18</v>
      </c>
    </row>
    <row r="358" spans="1:5" x14ac:dyDescent="0.25">
      <c r="A358" s="15">
        <v>182</v>
      </c>
      <c r="B358" s="15" t="s">
        <v>580</v>
      </c>
      <c r="C358" s="15" t="s">
        <v>166</v>
      </c>
      <c r="D358" s="15" t="s">
        <v>364</v>
      </c>
      <c r="E358" s="15">
        <v>15</v>
      </c>
    </row>
    <row r="359" spans="1:5" x14ac:dyDescent="0.25">
      <c r="A359" s="15">
        <v>184</v>
      </c>
      <c r="B359" s="15" t="s">
        <v>584</v>
      </c>
      <c r="C359" s="15" t="s">
        <v>166</v>
      </c>
      <c r="D359" s="15" t="s">
        <v>364</v>
      </c>
      <c r="E359" s="15">
        <v>15</v>
      </c>
    </row>
    <row r="360" spans="1:5" x14ac:dyDescent="0.25">
      <c r="A360" s="15">
        <v>186</v>
      </c>
      <c r="B360" s="15" t="s">
        <v>587</v>
      </c>
      <c r="C360" s="15" t="s">
        <v>166</v>
      </c>
      <c r="D360" s="15" t="s">
        <v>364</v>
      </c>
      <c r="E360" s="15">
        <v>28</v>
      </c>
    </row>
    <row r="361" spans="1:5" x14ac:dyDescent="0.25">
      <c r="A361" s="15">
        <v>187</v>
      </c>
      <c r="B361" s="15" t="s">
        <v>591</v>
      </c>
      <c r="C361" s="15" t="s">
        <v>166</v>
      </c>
      <c r="D361" s="15" t="s">
        <v>172</v>
      </c>
      <c r="E361" s="15">
        <v>31</v>
      </c>
    </row>
    <row r="362" spans="1:5" x14ac:dyDescent="0.25">
      <c r="A362" s="15">
        <v>189</v>
      </c>
      <c r="B362" s="15" t="s">
        <v>595</v>
      </c>
      <c r="C362" s="15" t="s">
        <v>166</v>
      </c>
      <c r="D362" s="15" t="s">
        <v>364</v>
      </c>
      <c r="E362" s="15">
        <v>15</v>
      </c>
    </row>
    <row r="363" spans="1:5" x14ac:dyDescent="0.25">
      <c r="A363" s="15">
        <v>190</v>
      </c>
      <c r="B363" s="15" t="s">
        <v>599</v>
      </c>
      <c r="C363" s="15" t="s">
        <v>166</v>
      </c>
      <c r="D363" s="15" t="s">
        <v>364</v>
      </c>
      <c r="E363" s="15">
        <v>15</v>
      </c>
    </row>
    <row r="364" spans="1:5" x14ac:dyDescent="0.25">
      <c r="A364" s="15">
        <v>191</v>
      </c>
      <c r="B364" s="15" t="s">
        <v>604</v>
      </c>
      <c r="C364" s="15" t="s">
        <v>166</v>
      </c>
      <c r="D364" s="15" t="s">
        <v>364</v>
      </c>
      <c r="E364" s="15">
        <v>30</v>
      </c>
    </row>
    <row r="365" spans="1:5" x14ac:dyDescent="0.25">
      <c r="A365" s="15">
        <v>193</v>
      </c>
      <c r="B365" s="15" t="s">
        <v>608</v>
      </c>
      <c r="C365" s="15" t="s">
        <v>166</v>
      </c>
      <c r="D365" s="15" t="s">
        <v>172</v>
      </c>
      <c r="E365" s="15">
        <v>55</v>
      </c>
    </row>
    <row r="366" spans="1:5" x14ac:dyDescent="0.25">
      <c r="A366" s="15">
        <v>214</v>
      </c>
      <c r="B366" s="15" t="s">
        <v>690</v>
      </c>
      <c r="C366" s="15" t="s">
        <v>166</v>
      </c>
      <c r="D366" s="15" t="s">
        <v>172</v>
      </c>
      <c r="E366" s="15">
        <v>34</v>
      </c>
    </row>
    <row r="367" spans="1:5" x14ac:dyDescent="0.25">
      <c r="A367" s="15">
        <v>218</v>
      </c>
      <c r="B367" s="15" t="s">
        <v>686</v>
      </c>
      <c r="C367" s="15" t="s">
        <v>166</v>
      </c>
      <c r="D367" s="15" t="s">
        <v>172</v>
      </c>
      <c r="E367" s="15">
        <v>27</v>
      </c>
    </row>
    <row r="368" spans="1:5" x14ac:dyDescent="0.25">
      <c r="A368" s="15">
        <v>219</v>
      </c>
      <c r="B368" s="15" t="s">
        <v>698</v>
      </c>
      <c r="C368" s="15" t="s">
        <v>166</v>
      </c>
      <c r="D368" s="15" t="s">
        <v>172</v>
      </c>
      <c r="E368" s="15">
        <v>23</v>
      </c>
    </row>
    <row r="369" spans="1:5" x14ac:dyDescent="0.25">
      <c r="A369" s="15">
        <v>220</v>
      </c>
      <c r="B369" s="15" t="s">
        <v>702</v>
      </c>
      <c r="C369" s="15" t="s">
        <v>166</v>
      </c>
      <c r="D369" s="15" t="s">
        <v>172</v>
      </c>
      <c r="E369" s="15">
        <v>23</v>
      </c>
    </row>
    <row r="370" spans="1:5" x14ac:dyDescent="0.25">
      <c r="A370" s="15">
        <v>221</v>
      </c>
      <c r="B370" s="15" t="s">
        <v>706</v>
      </c>
      <c r="C370" s="15" t="s">
        <v>166</v>
      </c>
      <c r="D370" s="15" t="s">
        <v>172</v>
      </c>
      <c r="E370" s="15">
        <v>27</v>
      </c>
    </row>
    <row r="371" spans="1:5" x14ac:dyDescent="0.25">
      <c r="A371" s="15">
        <v>222</v>
      </c>
      <c r="B371" s="15" t="s">
        <v>690</v>
      </c>
      <c r="C371" s="15" t="s">
        <v>166</v>
      </c>
      <c r="D371" s="15" t="s">
        <v>172</v>
      </c>
      <c r="E371" s="15">
        <v>35</v>
      </c>
    </row>
    <row r="372" spans="1:5" x14ac:dyDescent="0.25">
      <c r="A372" s="15">
        <v>225</v>
      </c>
      <c r="B372" s="15" t="s">
        <v>690</v>
      </c>
      <c r="C372" s="15" t="s">
        <v>166</v>
      </c>
      <c r="D372" s="15" t="s">
        <v>172</v>
      </c>
      <c r="E372" s="15">
        <v>51</v>
      </c>
    </row>
    <row r="373" spans="1:5" x14ac:dyDescent="0.25">
      <c r="A373" s="15">
        <v>226</v>
      </c>
      <c r="B373" s="15" t="s">
        <v>717</v>
      </c>
      <c r="C373" s="15" t="s">
        <v>166</v>
      </c>
      <c r="D373" s="15" t="s">
        <v>172</v>
      </c>
      <c r="E373" s="15">
        <v>28</v>
      </c>
    </row>
    <row r="374" spans="1:5" x14ac:dyDescent="0.25">
      <c r="A374" s="15">
        <v>227</v>
      </c>
      <c r="B374" s="15" t="s">
        <v>686</v>
      </c>
      <c r="C374" s="15" t="s">
        <v>166</v>
      </c>
      <c r="D374" s="15" t="s">
        <v>172</v>
      </c>
      <c r="E374" s="15">
        <v>22</v>
      </c>
    </row>
    <row r="375" spans="1:5" x14ac:dyDescent="0.25">
      <c r="A375" s="15">
        <v>235</v>
      </c>
      <c r="B375" s="15" t="s">
        <v>741</v>
      </c>
      <c r="C375" s="15" t="s">
        <v>166</v>
      </c>
      <c r="D375" s="15" t="s">
        <v>172</v>
      </c>
      <c r="E375" s="15">
        <v>22</v>
      </c>
    </row>
    <row r="376" spans="1:5" x14ac:dyDescent="0.25">
      <c r="A376" s="16">
        <v>172</v>
      </c>
      <c r="B376" s="16" t="s">
        <v>622</v>
      </c>
      <c r="C376" s="16" t="s">
        <v>166</v>
      </c>
      <c r="D376" s="16" t="s">
        <v>172</v>
      </c>
      <c r="E376" s="16">
        <v>20</v>
      </c>
    </row>
    <row r="377" spans="1:5" x14ac:dyDescent="0.25">
      <c r="A377" s="16">
        <v>173</v>
      </c>
      <c r="B377" s="16" t="s">
        <v>622</v>
      </c>
      <c r="C377" s="16" t="s">
        <v>166</v>
      </c>
      <c r="D377" s="16" t="s">
        <v>172</v>
      </c>
      <c r="E377" s="16">
        <v>36</v>
      </c>
    </row>
    <row r="378" spans="1:5" x14ac:dyDescent="0.25">
      <c r="A378" s="16">
        <v>174</v>
      </c>
      <c r="B378" s="16" t="s">
        <v>622</v>
      </c>
      <c r="C378" s="16" t="s">
        <v>166</v>
      </c>
      <c r="D378" s="16" t="s">
        <v>172</v>
      </c>
      <c r="E378" s="16">
        <v>21</v>
      </c>
    </row>
    <row r="379" spans="1:5" x14ac:dyDescent="0.25">
      <c r="A379" s="16">
        <v>175</v>
      </c>
      <c r="B379" s="16" t="s">
        <v>622</v>
      </c>
      <c r="C379" s="16" t="s">
        <v>166</v>
      </c>
      <c r="D379" s="16" t="s">
        <v>172</v>
      </c>
      <c r="E379" s="16">
        <v>28</v>
      </c>
    </row>
    <row r="380" spans="1:5" x14ac:dyDescent="0.25">
      <c r="A380" s="16">
        <v>176</v>
      </c>
      <c r="B380" s="16" t="s">
        <v>622</v>
      </c>
      <c r="C380" s="16" t="s">
        <v>166</v>
      </c>
      <c r="D380" s="16" t="s">
        <v>172</v>
      </c>
      <c r="E380" s="16">
        <v>26</v>
      </c>
    </row>
    <row r="381" spans="1:5" x14ac:dyDescent="0.25">
      <c r="A381" s="16">
        <v>177</v>
      </c>
      <c r="B381" s="16" t="s">
        <v>622</v>
      </c>
      <c r="C381" s="16" t="s">
        <v>166</v>
      </c>
      <c r="D381" s="16" t="s">
        <v>172</v>
      </c>
      <c r="E381" s="16">
        <v>37</v>
      </c>
    </row>
    <row r="382" spans="1:5" x14ac:dyDescent="0.25">
      <c r="A382" s="16">
        <v>178</v>
      </c>
      <c r="B382" s="16" t="s">
        <v>622</v>
      </c>
      <c r="C382" s="16" t="s">
        <v>166</v>
      </c>
      <c r="D382" s="16" t="s">
        <v>172</v>
      </c>
      <c r="E382" s="16">
        <v>21</v>
      </c>
    </row>
    <row r="383" spans="1:5" x14ac:dyDescent="0.25">
      <c r="A383" s="16">
        <v>179</v>
      </c>
      <c r="B383" s="16" t="s">
        <v>622</v>
      </c>
      <c r="C383" s="16" t="s">
        <v>166</v>
      </c>
      <c r="D383" s="16" t="s">
        <v>172</v>
      </c>
      <c r="E383" s="16">
        <v>21</v>
      </c>
    </row>
    <row r="384" spans="1:5" x14ac:dyDescent="0.25">
      <c r="A384" s="16">
        <v>180</v>
      </c>
      <c r="B384" s="16" t="s">
        <v>622</v>
      </c>
      <c r="C384" s="16" t="s">
        <v>166</v>
      </c>
      <c r="D384" s="16" t="s">
        <v>172</v>
      </c>
      <c r="E384" s="16">
        <v>22</v>
      </c>
    </row>
    <row r="385" spans="1:5" x14ac:dyDescent="0.25">
      <c r="A385" s="16">
        <v>181</v>
      </c>
      <c r="B385" s="16" t="s">
        <v>622</v>
      </c>
      <c r="C385" s="16" t="s">
        <v>166</v>
      </c>
      <c r="D385" s="16" t="s">
        <v>172</v>
      </c>
      <c r="E385" s="16">
        <v>20</v>
      </c>
    </row>
    <row r="386" spans="1:5" x14ac:dyDescent="0.25">
      <c r="A386" s="16">
        <v>182</v>
      </c>
      <c r="B386" s="16" t="s">
        <v>622</v>
      </c>
      <c r="C386" s="16" t="s">
        <v>166</v>
      </c>
      <c r="D386" s="16" t="s">
        <v>172</v>
      </c>
      <c r="E386" s="16">
        <v>20</v>
      </c>
    </row>
    <row r="387" spans="1:5" x14ac:dyDescent="0.25">
      <c r="A387" s="16">
        <v>183</v>
      </c>
      <c r="B387" s="16" t="s">
        <v>623</v>
      </c>
      <c r="C387" s="16" t="s">
        <v>166</v>
      </c>
      <c r="D387" s="16" t="s">
        <v>172</v>
      </c>
      <c r="E387" s="16">
        <v>19</v>
      </c>
    </row>
    <row r="388" spans="1:5" x14ac:dyDescent="0.25">
      <c r="A388" s="16">
        <v>184</v>
      </c>
      <c r="B388" s="16" t="s">
        <v>623</v>
      </c>
      <c r="C388" s="16" t="s">
        <v>166</v>
      </c>
      <c r="D388" s="16" t="s">
        <v>172</v>
      </c>
      <c r="E388" s="16">
        <v>24</v>
      </c>
    </row>
    <row r="389" spans="1:5" x14ac:dyDescent="0.25">
      <c r="A389" s="16">
        <v>185</v>
      </c>
      <c r="B389" s="16" t="s">
        <v>623</v>
      </c>
      <c r="C389" s="16" t="s">
        <v>166</v>
      </c>
      <c r="D389" s="16" t="s">
        <v>172</v>
      </c>
      <c r="E389" s="16">
        <v>20</v>
      </c>
    </row>
    <row r="390" spans="1:5" x14ac:dyDescent="0.25">
      <c r="A390" s="16">
        <v>186</v>
      </c>
      <c r="B390" s="16" t="s">
        <v>623</v>
      </c>
      <c r="C390" s="16" t="s">
        <v>166</v>
      </c>
      <c r="D390" s="16" t="s">
        <v>172</v>
      </c>
      <c r="E390" s="16">
        <v>21</v>
      </c>
    </row>
    <row r="391" spans="1:5" x14ac:dyDescent="0.25">
      <c r="A391" s="16">
        <v>187</v>
      </c>
      <c r="B391" s="16" t="s">
        <v>623</v>
      </c>
      <c r="C391" s="16" t="s">
        <v>166</v>
      </c>
      <c r="D391" s="16" t="s">
        <v>172</v>
      </c>
      <c r="E391" s="16">
        <v>32</v>
      </c>
    </row>
    <row r="392" spans="1:5" x14ac:dyDescent="0.25">
      <c r="A392" s="16">
        <v>188</v>
      </c>
      <c r="B392" s="16" t="s">
        <v>623</v>
      </c>
      <c r="C392" s="16" t="s">
        <v>166</v>
      </c>
      <c r="D392" s="16" t="s">
        <v>172</v>
      </c>
      <c r="E392" s="16">
        <v>30</v>
      </c>
    </row>
    <row r="393" spans="1:5" x14ac:dyDescent="0.25">
      <c r="A393" s="16">
        <v>189</v>
      </c>
      <c r="B393" s="16" t="s">
        <v>623</v>
      </c>
      <c r="C393" s="16" t="s">
        <v>166</v>
      </c>
      <c r="D393" s="16" t="s">
        <v>172</v>
      </c>
      <c r="E393" s="16">
        <v>20</v>
      </c>
    </row>
    <row r="394" spans="1:5" x14ac:dyDescent="0.25">
      <c r="A394" s="16">
        <v>190</v>
      </c>
      <c r="B394" s="16" t="s">
        <v>623</v>
      </c>
      <c r="C394" s="16" t="s">
        <v>166</v>
      </c>
      <c r="D394" s="16" t="s">
        <v>172</v>
      </c>
      <c r="E394" s="16">
        <v>21</v>
      </c>
    </row>
    <row r="395" spans="1:5" x14ac:dyDescent="0.25">
      <c r="A395" s="16">
        <v>191</v>
      </c>
      <c r="B395" s="16" t="s">
        <v>623</v>
      </c>
      <c r="C395" s="16" t="s">
        <v>166</v>
      </c>
      <c r="D395" s="16" t="s">
        <v>172</v>
      </c>
      <c r="E395" s="16">
        <v>21</v>
      </c>
    </row>
    <row r="396" spans="1:5" x14ac:dyDescent="0.25">
      <c r="A396" s="16">
        <v>192</v>
      </c>
      <c r="B396" s="16" t="s">
        <v>623</v>
      </c>
      <c r="C396" s="16" t="s">
        <v>166</v>
      </c>
      <c r="D396" s="16" t="s">
        <v>172</v>
      </c>
      <c r="E396" s="16">
        <v>20</v>
      </c>
    </row>
    <row r="397" spans="1:5" x14ac:dyDescent="0.25">
      <c r="A397" s="16">
        <v>193</v>
      </c>
      <c r="B397" s="16" t="s">
        <v>623</v>
      </c>
      <c r="C397" s="16" t="s">
        <v>166</v>
      </c>
      <c r="D397" s="16" t="s">
        <v>172</v>
      </c>
      <c r="E397" s="16">
        <v>21</v>
      </c>
    </row>
    <row r="398" spans="1:5" x14ac:dyDescent="0.25">
      <c r="A398" s="16">
        <v>194</v>
      </c>
      <c r="B398" s="16" t="s">
        <v>623</v>
      </c>
      <c r="C398" s="16" t="s">
        <v>166</v>
      </c>
      <c r="D398" s="16" t="s">
        <v>172</v>
      </c>
      <c r="E398" s="16">
        <v>24</v>
      </c>
    </row>
    <row r="399" spans="1:5" x14ac:dyDescent="0.25">
      <c r="A399" s="16">
        <v>195</v>
      </c>
      <c r="B399" s="16" t="s">
        <v>623</v>
      </c>
      <c r="C399" s="16" t="s">
        <v>166</v>
      </c>
      <c r="D399" s="16" t="s">
        <v>172</v>
      </c>
      <c r="E399" s="16">
        <v>21</v>
      </c>
    </row>
    <row r="400" spans="1:5" x14ac:dyDescent="0.25">
      <c r="A400" s="16">
        <v>196</v>
      </c>
      <c r="B400" s="16" t="s">
        <v>623</v>
      </c>
      <c r="C400" s="16" t="s">
        <v>166</v>
      </c>
      <c r="D400" s="16" t="s">
        <v>172</v>
      </c>
      <c r="E400" s="16">
        <v>36</v>
      </c>
    </row>
    <row r="401" spans="1:5" x14ac:dyDescent="0.25">
      <c r="A401" s="16">
        <v>226</v>
      </c>
      <c r="B401" s="16" t="s">
        <v>626</v>
      </c>
      <c r="C401" s="16" t="s">
        <v>166</v>
      </c>
      <c r="D401" s="16" t="s">
        <v>172</v>
      </c>
      <c r="E401" s="16">
        <v>20</v>
      </c>
    </row>
    <row r="402" spans="1:5" x14ac:dyDescent="0.25">
      <c r="A402" s="16">
        <v>227</v>
      </c>
      <c r="B402" s="16" t="s">
        <v>626</v>
      </c>
      <c r="C402" s="16" t="s">
        <v>166</v>
      </c>
      <c r="D402" s="16" t="s">
        <v>172</v>
      </c>
      <c r="E402" s="16">
        <v>31</v>
      </c>
    </row>
    <row r="403" spans="1:5" x14ac:dyDescent="0.25">
      <c r="A403" s="16">
        <v>228</v>
      </c>
      <c r="B403" s="16" t="s">
        <v>626</v>
      </c>
      <c r="C403" s="16" t="s">
        <v>166</v>
      </c>
      <c r="D403" s="16" t="s">
        <v>172</v>
      </c>
      <c r="E403" s="16">
        <v>26</v>
      </c>
    </row>
    <row r="404" spans="1:5" x14ac:dyDescent="0.25">
      <c r="A404" s="16">
        <v>229</v>
      </c>
      <c r="B404" s="16" t="s">
        <v>626</v>
      </c>
      <c r="C404" s="16" t="s">
        <v>166</v>
      </c>
      <c r="D404" s="16" t="s">
        <v>172</v>
      </c>
      <c r="E404" s="16">
        <v>25</v>
      </c>
    </row>
    <row r="405" spans="1:5" x14ac:dyDescent="0.25">
      <c r="A405" s="16">
        <v>230</v>
      </c>
      <c r="B405" s="16" t="s">
        <v>626</v>
      </c>
      <c r="C405" s="16" t="s">
        <v>166</v>
      </c>
      <c r="D405" s="16" t="s">
        <v>172</v>
      </c>
      <c r="E405" s="16">
        <v>25</v>
      </c>
    </row>
    <row r="406" spans="1:5" x14ac:dyDescent="0.25">
      <c r="A406" s="16">
        <v>231</v>
      </c>
      <c r="B406" s="16" t="s">
        <v>626</v>
      </c>
      <c r="C406" s="16" t="s">
        <v>166</v>
      </c>
      <c r="D406" s="16" t="s">
        <v>172</v>
      </c>
      <c r="E406" s="16">
        <v>28</v>
      </c>
    </row>
    <row r="407" spans="1:5" x14ac:dyDescent="0.25">
      <c r="A407" s="16">
        <v>232</v>
      </c>
      <c r="B407" s="16" t="s">
        <v>626</v>
      </c>
      <c r="C407" s="16" t="s">
        <v>166</v>
      </c>
      <c r="D407" s="16" t="s">
        <v>172</v>
      </c>
      <c r="E407" s="16">
        <v>22</v>
      </c>
    </row>
    <row r="408" spans="1:5" x14ac:dyDescent="0.25">
      <c r="A408" s="16">
        <v>233</v>
      </c>
      <c r="B408" s="16" t="s">
        <v>626</v>
      </c>
      <c r="C408" s="16" t="s">
        <v>166</v>
      </c>
      <c r="D408" s="16" t="s">
        <v>172</v>
      </c>
      <c r="E408" s="16">
        <v>26</v>
      </c>
    </row>
    <row r="409" spans="1:5" x14ac:dyDescent="0.25">
      <c r="A409" s="16">
        <v>234</v>
      </c>
      <c r="B409" s="16" t="s">
        <v>626</v>
      </c>
      <c r="C409" s="16" t="s">
        <v>166</v>
      </c>
      <c r="D409" s="16" t="s">
        <v>172</v>
      </c>
      <c r="E409" s="16">
        <v>21</v>
      </c>
    </row>
    <row r="410" spans="1:5" x14ac:dyDescent="0.25">
      <c r="A410" s="16">
        <v>235</v>
      </c>
      <c r="B410" s="16" t="s">
        <v>626</v>
      </c>
      <c r="C410" s="16" t="s">
        <v>166</v>
      </c>
      <c r="D410" s="16" t="s">
        <v>172</v>
      </c>
      <c r="E410" s="16">
        <v>23</v>
      </c>
    </row>
    <row r="411" spans="1:5" x14ac:dyDescent="0.25">
      <c r="A411" s="16">
        <v>236</v>
      </c>
      <c r="B411" s="16" t="s">
        <v>626</v>
      </c>
      <c r="C411" s="16" t="s">
        <v>166</v>
      </c>
      <c r="D411" s="16" t="s">
        <v>172</v>
      </c>
      <c r="E411" s="16">
        <v>29</v>
      </c>
    </row>
    <row r="412" spans="1:5" x14ac:dyDescent="0.25">
      <c r="A412" s="16">
        <v>237</v>
      </c>
      <c r="B412" s="16" t="s">
        <v>626</v>
      </c>
      <c r="C412" s="16" t="s">
        <v>166</v>
      </c>
      <c r="D412" s="16" t="s">
        <v>172</v>
      </c>
      <c r="E412" s="16">
        <v>33</v>
      </c>
    </row>
    <row r="413" spans="1:5" x14ac:dyDescent="0.25">
      <c r="A413" s="16">
        <v>238</v>
      </c>
      <c r="B413" s="16" t="s">
        <v>626</v>
      </c>
      <c r="C413" s="16" t="s">
        <v>166</v>
      </c>
      <c r="D413" s="16" t="s">
        <v>172</v>
      </c>
      <c r="E413" s="16">
        <v>34</v>
      </c>
    </row>
    <row r="414" spans="1:5" x14ac:dyDescent="0.25">
      <c r="A414" s="16">
        <v>239</v>
      </c>
      <c r="B414" s="16" t="s">
        <v>626</v>
      </c>
      <c r="C414" s="16" t="s">
        <v>166</v>
      </c>
      <c r="D414" s="16" t="s">
        <v>172</v>
      </c>
      <c r="E414" s="16">
        <v>19</v>
      </c>
    </row>
    <row r="415" spans="1:5" x14ac:dyDescent="0.25">
      <c r="A415" s="16">
        <v>240</v>
      </c>
      <c r="B415" s="16" t="s">
        <v>626</v>
      </c>
      <c r="C415" s="16" t="s">
        <v>166</v>
      </c>
      <c r="D415" s="16" t="s">
        <v>172</v>
      </c>
      <c r="E415" s="16">
        <v>21</v>
      </c>
    </row>
    <row r="416" spans="1:5" x14ac:dyDescent="0.25">
      <c r="A416" s="16">
        <v>241</v>
      </c>
      <c r="B416" s="16" t="s">
        <v>627</v>
      </c>
      <c r="C416" s="16" t="s">
        <v>166</v>
      </c>
      <c r="D416" s="16" t="s">
        <v>172</v>
      </c>
      <c r="E416" s="16">
        <v>25</v>
      </c>
    </row>
    <row r="417" spans="1:5" x14ac:dyDescent="0.25">
      <c r="A417" s="16">
        <v>242</v>
      </c>
      <c r="B417" s="16" t="s">
        <v>627</v>
      </c>
      <c r="C417" s="16" t="s">
        <v>166</v>
      </c>
      <c r="D417" s="16" t="s">
        <v>172</v>
      </c>
      <c r="E417" s="16">
        <v>24</v>
      </c>
    </row>
    <row r="418" spans="1:5" x14ac:dyDescent="0.25">
      <c r="A418" s="16">
        <v>243</v>
      </c>
      <c r="B418" s="16" t="s">
        <v>627</v>
      </c>
      <c r="C418" s="16" t="s">
        <v>166</v>
      </c>
      <c r="D418" s="16" t="s">
        <v>172</v>
      </c>
      <c r="E418" s="16">
        <v>24</v>
      </c>
    </row>
    <row r="419" spans="1:5" x14ac:dyDescent="0.25">
      <c r="A419" s="16">
        <v>244</v>
      </c>
      <c r="B419" s="16" t="s">
        <v>627</v>
      </c>
      <c r="C419" s="16" t="s">
        <v>166</v>
      </c>
      <c r="D419" s="16" t="s">
        <v>172</v>
      </c>
      <c r="E419" s="16">
        <v>29</v>
      </c>
    </row>
    <row r="420" spans="1:5" x14ac:dyDescent="0.25">
      <c r="A420" s="16">
        <v>245</v>
      </c>
      <c r="B420" s="16" t="s">
        <v>627</v>
      </c>
      <c r="C420" s="16" t="s">
        <v>166</v>
      </c>
      <c r="D420" s="16" t="s">
        <v>172</v>
      </c>
      <c r="E420" s="16">
        <v>19</v>
      </c>
    </row>
    <row r="421" spans="1:5" x14ac:dyDescent="0.25">
      <c r="A421" s="16">
        <v>246</v>
      </c>
      <c r="B421" s="16" t="s">
        <v>627</v>
      </c>
      <c r="C421" s="16" t="s">
        <v>166</v>
      </c>
      <c r="D421" s="16" t="s">
        <v>172</v>
      </c>
      <c r="E421" s="16">
        <v>20</v>
      </c>
    </row>
    <row r="422" spans="1:5" x14ac:dyDescent="0.25">
      <c r="A422" s="16">
        <v>247</v>
      </c>
      <c r="B422" s="16" t="s">
        <v>627</v>
      </c>
      <c r="C422" s="16" t="s">
        <v>166</v>
      </c>
      <c r="D422" s="16" t="s">
        <v>172</v>
      </c>
      <c r="E422" s="16">
        <v>22</v>
      </c>
    </row>
    <row r="423" spans="1:5" x14ac:dyDescent="0.25">
      <c r="A423" s="16">
        <v>248</v>
      </c>
      <c r="B423" s="16" t="s">
        <v>627</v>
      </c>
      <c r="C423" s="16" t="s">
        <v>166</v>
      </c>
      <c r="D423" s="16" t="s">
        <v>172</v>
      </c>
      <c r="E423" s="16">
        <v>30</v>
      </c>
    </row>
    <row r="424" spans="1:5" x14ac:dyDescent="0.25">
      <c r="A424" s="16">
        <v>249</v>
      </c>
      <c r="B424" s="16" t="s">
        <v>627</v>
      </c>
      <c r="C424" s="16" t="s">
        <v>166</v>
      </c>
      <c r="D424" s="16" t="s">
        <v>172</v>
      </c>
      <c r="E424" s="16">
        <v>26</v>
      </c>
    </row>
    <row r="425" spans="1:5" x14ac:dyDescent="0.25">
      <c r="A425" s="16">
        <v>250</v>
      </c>
      <c r="B425" s="16" t="s">
        <v>627</v>
      </c>
      <c r="C425" s="16" t="s">
        <v>166</v>
      </c>
      <c r="D425" s="16" t="s">
        <v>172</v>
      </c>
      <c r="E425" s="16">
        <v>32</v>
      </c>
    </row>
    <row r="426" spans="1:5" x14ac:dyDescent="0.25">
      <c r="A426" s="16">
        <v>251</v>
      </c>
      <c r="B426" s="16" t="s">
        <v>627</v>
      </c>
      <c r="C426" s="16" t="s">
        <v>166</v>
      </c>
      <c r="D426" s="16" t="s">
        <v>172</v>
      </c>
      <c r="E426" s="16">
        <v>35</v>
      </c>
    </row>
    <row r="427" spans="1:5" x14ac:dyDescent="0.25">
      <c r="A427" s="16">
        <v>252</v>
      </c>
      <c r="B427" s="16" t="s">
        <v>627</v>
      </c>
      <c r="C427" s="16" t="s">
        <v>166</v>
      </c>
      <c r="D427" s="16" t="s">
        <v>172</v>
      </c>
      <c r="E427" s="16">
        <v>29</v>
      </c>
    </row>
    <row r="428" spans="1:5" x14ac:dyDescent="0.25">
      <c r="A428" s="16">
        <v>253</v>
      </c>
      <c r="B428" s="16" t="s">
        <v>627</v>
      </c>
      <c r="C428" s="16" t="s">
        <v>166</v>
      </c>
      <c r="D428" s="16" t="s">
        <v>172</v>
      </c>
      <c r="E428" s="16">
        <v>28</v>
      </c>
    </row>
    <row r="429" spans="1:5" x14ac:dyDescent="0.25">
      <c r="A429" s="16">
        <v>254</v>
      </c>
      <c r="B429" s="16" t="s">
        <v>627</v>
      </c>
      <c r="C429" s="16" t="s">
        <v>166</v>
      </c>
      <c r="D429" s="16" t="s">
        <v>172</v>
      </c>
      <c r="E429" s="16">
        <v>23</v>
      </c>
    </row>
    <row r="430" spans="1:5" ht="13" x14ac:dyDescent="0.3">
      <c r="A430" s="16">
        <v>282</v>
      </c>
      <c r="B430" s="18" t="s">
        <v>628</v>
      </c>
      <c r="C430" s="16" t="s">
        <v>166</v>
      </c>
      <c r="D430" s="18" t="s">
        <v>364</v>
      </c>
      <c r="E430" s="18">
        <v>19</v>
      </c>
    </row>
    <row r="431" spans="1:5" ht="13" x14ac:dyDescent="0.3">
      <c r="A431" s="16">
        <v>283</v>
      </c>
      <c r="B431" s="18" t="s">
        <v>628</v>
      </c>
      <c r="C431" s="16" t="s">
        <v>166</v>
      </c>
      <c r="D431" s="18" t="s">
        <v>364</v>
      </c>
      <c r="E431" s="18">
        <v>30</v>
      </c>
    </row>
    <row r="432" spans="1:5" ht="13" x14ac:dyDescent="0.3">
      <c r="A432" s="16">
        <v>284</v>
      </c>
      <c r="B432" s="18" t="s">
        <v>628</v>
      </c>
      <c r="C432" s="16" t="s">
        <v>166</v>
      </c>
      <c r="D432" s="18" t="s">
        <v>364</v>
      </c>
      <c r="E432" s="18">
        <v>20</v>
      </c>
    </row>
    <row r="433" spans="1:5" ht="13" x14ac:dyDescent="0.3">
      <c r="A433" s="16">
        <v>285</v>
      </c>
      <c r="B433" s="18" t="s">
        <v>628</v>
      </c>
      <c r="C433" s="16" t="s">
        <v>166</v>
      </c>
      <c r="D433" s="18" t="s">
        <v>364</v>
      </c>
      <c r="E433" s="18">
        <v>19</v>
      </c>
    </row>
    <row r="434" spans="1:5" ht="13" x14ac:dyDescent="0.3">
      <c r="A434" s="16">
        <v>286</v>
      </c>
      <c r="B434" s="18" t="s">
        <v>628</v>
      </c>
      <c r="C434" s="16" t="s">
        <v>166</v>
      </c>
      <c r="D434" s="18" t="s">
        <v>364</v>
      </c>
      <c r="E434" s="18">
        <v>30</v>
      </c>
    </row>
    <row r="435" spans="1:5" ht="13" x14ac:dyDescent="0.3">
      <c r="A435" s="16">
        <v>287</v>
      </c>
      <c r="B435" s="18" t="s">
        <v>628</v>
      </c>
      <c r="C435" s="16" t="s">
        <v>166</v>
      </c>
      <c r="D435" s="18" t="s">
        <v>364</v>
      </c>
      <c r="E435" s="18">
        <v>31</v>
      </c>
    </row>
    <row r="436" spans="1:5" ht="13" x14ac:dyDescent="0.3">
      <c r="A436" s="16">
        <v>288</v>
      </c>
      <c r="B436" s="18" t="s">
        <v>628</v>
      </c>
      <c r="C436" s="16" t="s">
        <v>166</v>
      </c>
      <c r="D436" s="18" t="s">
        <v>364</v>
      </c>
      <c r="E436" s="18">
        <v>26</v>
      </c>
    </row>
    <row r="437" spans="1:5" ht="13" x14ac:dyDescent="0.3">
      <c r="A437" s="16">
        <v>289</v>
      </c>
      <c r="B437" s="18" t="s">
        <v>628</v>
      </c>
      <c r="C437" s="16" t="s">
        <v>166</v>
      </c>
      <c r="D437" s="18" t="s">
        <v>364</v>
      </c>
      <c r="E437" s="18">
        <v>31</v>
      </c>
    </row>
    <row r="438" spans="1:5" ht="13" x14ac:dyDescent="0.3">
      <c r="A438" s="16">
        <v>290</v>
      </c>
      <c r="B438" s="18" t="s">
        <v>628</v>
      </c>
      <c r="C438" s="16" t="s">
        <v>166</v>
      </c>
      <c r="D438" s="18" t="s">
        <v>364</v>
      </c>
      <c r="E438" s="18">
        <v>27</v>
      </c>
    </row>
    <row r="439" spans="1:5" ht="13" x14ac:dyDescent="0.3">
      <c r="A439" s="16">
        <v>291</v>
      </c>
      <c r="B439" s="18" t="s">
        <v>628</v>
      </c>
      <c r="C439" s="16" t="s">
        <v>166</v>
      </c>
      <c r="D439" s="18" t="s">
        <v>364</v>
      </c>
      <c r="E439" s="18">
        <v>29</v>
      </c>
    </row>
    <row r="440" spans="1:5" ht="13" x14ac:dyDescent="0.3">
      <c r="A440" s="16">
        <v>292</v>
      </c>
      <c r="B440" s="18" t="s">
        <v>628</v>
      </c>
      <c r="C440" s="16" t="s">
        <v>166</v>
      </c>
      <c r="D440" s="18" t="s">
        <v>364</v>
      </c>
      <c r="E440" s="18">
        <v>24</v>
      </c>
    </row>
    <row r="441" spans="1:5" ht="13" x14ac:dyDescent="0.3">
      <c r="A441" s="16">
        <v>293</v>
      </c>
      <c r="B441" s="18" t="s">
        <v>628</v>
      </c>
      <c r="C441" s="16" t="s">
        <v>166</v>
      </c>
      <c r="D441" s="18" t="s">
        <v>364</v>
      </c>
      <c r="E441" s="18">
        <v>19</v>
      </c>
    </row>
    <row r="442" spans="1:5" ht="13" x14ac:dyDescent="0.3">
      <c r="A442" s="16">
        <v>294</v>
      </c>
      <c r="B442" s="18" t="s">
        <v>628</v>
      </c>
      <c r="C442" s="16" t="s">
        <v>166</v>
      </c>
      <c r="D442" s="18" t="s">
        <v>364</v>
      </c>
      <c r="E442" s="18">
        <v>26</v>
      </c>
    </row>
    <row r="443" spans="1:5" ht="13" x14ac:dyDescent="0.3">
      <c r="A443" s="16">
        <v>295</v>
      </c>
      <c r="B443" s="18" t="s">
        <v>628</v>
      </c>
      <c r="C443" s="16" t="s">
        <v>166</v>
      </c>
      <c r="D443" s="18" t="s">
        <v>364</v>
      </c>
      <c r="E443" s="18">
        <v>26</v>
      </c>
    </row>
    <row r="444" spans="1:5" ht="13" x14ac:dyDescent="0.3">
      <c r="A444" s="16">
        <v>296</v>
      </c>
      <c r="B444" s="18" t="s">
        <v>628</v>
      </c>
      <c r="C444" s="16" t="s">
        <v>166</v>
      </c>
      <c r="D444" s="18" t="s">
        <v>364</v>
      </c>
      <c r="E444" s="18">
        <v>28</v>
      </c>
    </row>
    <row r="445" spans="1:5" ht="13" x14ac:dyDescent="0.3">
      <c r="A445" s="16">
        <v>297</v>
      </c>
      <c r="B445" s="18" t="s">
        <v>628</v>
      </c>
      <c r="C445" s="16" t="s">
        <v>166</v>
      </c>
      <c r="D445" s="18" t="s">
        <v>364</v>
      </c>
      <c r="E445" s="18">
        <v>29</v>
      </c>
    </row>
    <row r="446" spans="1:5" ht="13" x14ac:dyDescent="0.3">
      <c r="A446" s="16">
        <v>298</v>
      </c>
      <c r="B446" s="18" t="s">
        <v>628</v>
      </c>
      <c r="C446" s="16" t="s">
        <v>166</v>
      </c>
      <c r="D446" s="18" t="s">
        <v>172</v>
      </c>
      <c r="E446" s="18">
        <v>33</v>
      </c>
    </row>
    <row r="447" spans="1:5" ht="13" x14ac:dyDescent="0.3">
      <c r="A447" s="16">
        <v>299</v>
      </c>
      <c r="B447" s="18" t="s">
        <v>628</v>
      </c>
      <c r="C447" s="16" t="s">
        <v>166</v>
      </c>
      <c r="D447" s="18" t="s">
        <v>172</v>
      </c>
      <c r="E447" s="18">
        <v>32</v>
      </c>
    </row>
    <row r="448" spans="1:5" ht="13" x14ac:dyDescent="0.3">
      <c r="A448" s="16">
        <v>300</v>
      </c>
      <c r="B448" s="18" t="s">
        <v>628</v>
      </c>
      <c r="C448" s="16" t="s">
        <v>166</v>
      </c>
      <c r="D448" s="18" t="s">
        <v>172</v>
      </c>
      <c r="E448" s="18">
        <v>52</v>
      </c>
    </row>
    <row r="449" spans="1:5" ht="13" x14ac:dyDescent="0.3">
      <c r="A449" s="16">
        <v>301</v>
      </c>
      <c r="B449" s="18" t="s">
        <v>628</v>
      </c>
      <c r="C449" s="16" t="s">
        <v>166</v>
      </c>
      <c r="D449" s="18" t="s">
        <v>172</v>
      </c>
      <c r="E449" s="18">
        <v>19</v>
      </c>
    </row>
    <row r="450" spans="1:5" ht="13" x14ac:dyDescent="0.3">
      <c r="A450" s="16">
        <v>302</v>
      </c>
      <c r="B450" s="18" t="s">
        <v>628</v>
      </c>
      <c r="C450" s="16" t="s">
        <v>166</v>
      </c>
      <c r="D450" s="18" t="s">
        <v>172</v>
      </c>
      <c r="E450" s="18">
        <v>29</v>
      </c>
    </row>
    <row r="451" spans="1:5" ht="13" x14ac:dyDescent="0.3">
      <c r="A451" s="16">
        <v>303</v>
      </c>
      <c r="B451" s="18" t="s">
        <v>628</v>
      </c>
      <c r="C451" s="16" t="s">
        <v>166</v>
      </c>
      <c r="D451" s="18" t="s">
        <v>172</v>
      </c>
      <c r="E451" s="18">
        <v>30</v>
      </c>
    </row>
    <row r="452" spans="1:5" ht="13" x14ac:dyDescent="0.3">
      <c r="A452" s="16">
        <v>304</v>
      </c>
      <c r="B452" s="18" t="s">
        <v>628</v>
      </c>
      <c r="C452" s="16" t="s">
        <v>166</v>
      </c>
      <c r="D452" s="18" t="s">
        <v>172</v>
      </c>
      <c r="E452" s="18">
        <v>31</v>
      </c>
    </row>
    <row r="453" spans="1:5" ht="13" x14ac:dyDescent="0.3">
      <c r="A453" s="16">
        <v>305</v>
      </c>
      <c r="B453" s="18" t="s">
        <v>628</v>
      </c>
      <c r="C453" s="16" t="s">
        <v>166</v>
      </c>
      <c r="D453" s="18" t="s">
        <v>172</v>
      </c>
      <c r="E453" s="18">
        <v>34</v>
      </c>
    </row>
    <row r="454" spans="1:5" ht="13" x14ac:dyDescent="0.3">
      <c r="A454" s="16">
        <v>306</v>
      </c>
      <c r="B454" s="18" t="s">
        <v>628</v>
      </c>
      <c r="C454" s="16" t="s">
        <v>166</v>
      </c>
      <c r="D454" s="18" t="s">
        <v>172</v>
      </c>
      <c r="E454" s="18">
        <v>26</v>
      </c>
    </row>
    <row r="455" spans="1:5" ht="13" x14ac:dyDescent="0.3">
      <c r="A455" s="16">
        <v>307</v>
      </c>
      <c r="B455" s="18" t="s">
        <v>628</v>
      </c>
      <c r="C455" s="16" t="s">
        <v>166</v>
      </c>
      <c r="D455" s="18" t="s">
        <v>172</v>
      </c>
      <c r="E455" s="18">
        <v>26</v>
      </c>
    </row>
    <row r="456" spans="1:5" ht="13" x14ac:dyDescent="0.3">
      <c r="A456" s="16">
        <v>308</v>
      </c>
      <c r="B456" s="18" t="s">
        <v>628</v>
      </c>
      <c r="C456" s="16" t="s">
        <v>166</v>
      </c>
      <c r="D456" s="18" t="s">
        <v>172</v>
      </c>
      <c r="E456" s="18">
        <v>23</v>
      </c>
    </row>
    <row r="457" spans="1:5" ht="13" x14ac:dyDescent="0.3">
      <c r="A457" s="16">
        <v>309</v>
      </c>
      <c r="B457" s="18" t="s">
        <v>628</v>
      </c>
      <c r="C457" s="16" t="s">
        <v>166</v>
      </c>
      <c r="D457" s="18" t="s">
        <v>172</v>
      </c>
      <c r="E457" s="18">
        <v>26</v>
      </c>
    </row>
    <row r="458" spans="1:5" ht="13" x14ac:dyDescent="0.3">
      <c r="A458" s="16">
        <v>310</v>
      </c>
      <c r="B458" s="18" t="s">
        <v>628</v>
      </c>
      <c r="C458" s="16" t="s">
        <v>166</v>
      </c>
      <c r="D458" s="18" t="s">
        <v>172</v>
      </c>
      <c r="E458" s="18">
        <v>26</v>
      </c>
    </row>
    <row r="459" spans="1:5" ht="13" x14ac:dyDescent="0.3">
      <c r="A459" s="16">
        <v>311</v>
      </c>
      <c r="B459" s="18" t="s">
        <v>628</v>
      </c>
      <c r="C459" s="16" t="s">
        <v>166</v>
      </c>
      <c r="D459" s="18" t="s">
        <v>172</v>
      </c>
      <c r="E459" s="18">
        <v>32</v>
      </c>
    </row>
    <row r="460" spans="1:5" ht="13" x14ac:dyDescent="0.3">
      <c r="A460" s="16">
        <v>312</v>
      </c>
      <c r="B460" s="18" t="s">
        <v>628</v>
      </c>
      <c r="C460" s="16" t="s">
        <v>166</v>
      </c>
      <c r="D460" s="18" t="s">
        <v>172</v>
      </c>
      <c r="E460" s="18">
        <v>24</v>
      </c>
    </row>
    <row r="461" spans="1:5" ht="13" x14ac:dyDescent="0.3">
      <c r="A461" s="16">
        <v>313</v>
      </c>
      <c r="B461" s="18" t="s">
        <v>628</v>
      </c>
      <c r="C461" s="16" t="s">
        <v>166</v>
      </c>
      <c r="D461" s="18" t="s">
        <v>172</v>
      </c>
      <c r="E461" s="18">
        <v>22</v>
      </c>
    </row>
    <row r="462" spans="1:5" ht="13" x14ac:dyDescent="0.3">
      <c r="A462" s="16">
        <v>314</v>
      </c>
      <c r="B462" s="18" t="s">
        <v>628</v>
      </c>
      <c r="C462" s="16" t="s">
        <v>166</v>
      </c>
      <c r="D462" s="18" t="s">
        <v>172</v>
      </c>
      <c r="E462" s="18">
        <v>28</v>
      </c>
    </row>
    <row r="463" spans="1:5" ht="13" x14ac:dyDescent="0.3">
      <c r="A463" s="16">
        <v>315</v>
      </c>
      <c r="B463" s="18" t="s">
        <v>628</v>
      </c>
      <c r="C463" s="16" t="s">
        <v>166</v>
      </c>
      <c r="D463" s="18" t="s">
        <v>172</v>
      </c>
      <c r="E463" s="18">
        <v>25</v>
      </c>
    </row>
    <row r="464" spans="1:5" ht="13" x14ac:dyDescent="0.3">
      <c r="A464" s="16">
        <v>316</v>
      </c>
      <c r="B464" s="18" t="s">
        <v>628</v>
      </c>
      <c r="C464" s="16" t="s">
        <v>166</v>
      </c>
      <c r="D464" s="18" t="s">
        <v>172</v>
      </c>
      <c r="E464" s="18">
        <v>30</v>
      </c>
    </row>
    <row r="465" spans="1:5" ht="13" x14ac:dyDescent="0.3">
      <c r="A465" s="16">
        <v>317</v>
      </c>
      <c r="B465" s="18" t="s">
        <v>628</v>
      </c>
      <c r="C465" s="16" t="s">
        <v>166</v>
      </c>
      <c r="D465" s="18" t="s">
        <v>172</v>
      </c>
      <c r="E465" s="18">
        <v>30</v>
      </c>
    </row>
    <row r="466" spans="1:5" ht="13" x14ac:dyDescent="0.3">
      <c r="A466" s="16">
        <v>318</v>
      </c>
      <c r="B466" s="18" t="s">
        <v>628</v>
      </c>
      <c r="C466" s="16" t="s">
        <v>166</v>
      </c>
      <c r="D466" s="18" t="s">
        <v>172</v>
      </c>
      <c r="E466" s="18">
        <v>26</v>
      </c>
    </row>
    <row r="467" spans="1:5" ht="13" x14ac:dyDescent="0.3">
      <c r="A467" s="16">
        <v>319</v>
      </c>
      <c r="B467" s="18" t="s">
        <v>628</v>
      </c>
      <c r="C467" s="16" t="s">
        <v>166</v>
      </c>
      <c r="D467" s="18" t="s">
        <v>172</v>
      </c>
      <c r="E467" s="18">
        <v>24</v>
      </c>
    </row>
    <row r="468" spans="1:5" ht="13" x14ac:dyDescent="0.3">
      <c r="A468" s="16">
        <v>320</v>
      </c>
      <c r="B468" s="18" t="s">
        <v>628</v>
      </c>
      <c r="C468" s="16" t="s">
        <v>166</v>
      </c>
      <c r="D468" s="18" t="s">
        <v>172</v>
      </c>
      <c r="E468" s="18">
        <v>30</v>
      </c>
    </row>
    <row r="469" spans="1:5" ht="13" x14ac:dyDescent="0.3">
      <c r="A469" s="16">
        <v>321</v>
      </c>
      <c r="B469" s="18" t="s">
        <v>628</v>
      </c>
      <c r="C469" s="16" t="s">
        <v>166</v>
      </c>
      <c r="D469" s="18" t="s">
        <v>172</v>
      </c>
      <c r="E469" s="18">
        <v>27</v>
      </c>
    </row>
    <row r="470" spans="1:5" x14ac:dyDescent="0.25">
      <c r="A470" s="16"/>
      <c r="B470" s="16"/>
      <c r="C470" s="16"/>
      <c r="D470" s="16"/>
      <c r="E470" s="16"/>
    </row>
    <row r="471" spans="1:5" s="12" customFormat="1" ht="13" x14ac:dyDescent="0.3">
      <c r="A471" s="17" t="s">
        <v>444</v>
      </c>
      <c r="B471" s="17"/>
      <c r="C471" s="17"/>
      <c r="D471" s="17"/>
      <c r="E471" s="17"/>
    </row>
    <row r="473" spans="1:5" x14ac:dyDescent="0.25">
      <c r="A473" s="15">
        <v>144</v>
      </c>
      <c r="C473" s="15" t="s">
        <v>28</v>
      </c>
    </row>
    <row r="474" spans="1:5" x14ac:dyDescent="0.25">
      <c r="A474" s="15">
        <v>145</v>
      </c>
      <c r="C474" s="15" t="s">
        <v>28</v>
      </c>
    </row>
    <row r="475" spans="1:5" x14ac:dyDescent="0.25">
      <c r="A475" s="15">
        <v>147</v>
      </c>
      <c r="C475" s="15" t="s">
        <v>28</v>
      </c>
    </row>
    <row r="476" spans="1:5" x14ac:dyDescent="0.25">
      <c r="A476" s="15">
        <v>148</v>
      </c>
      <c r="C476" s="15" t="s">
        <v>28</v>
      </c>
    </row>
    <row r="477" spans="1:5" x14ac:dyDescent="0.25">
      <c r="A477" s="15">
        <v>150</v>
      </c>
      <c r="C477" s="15" t="s">
        <v>28</v>
      </c>
    </row>
    <row r="478" spans="1:5" x14ac:dyDescent="0.25">
      <c r="A478" s="15">
        <v>151</v>
      </c>
      <c r="C478" s="15" t="s">
        <v>28</v>
      </c>
    </row>
    <row r="479" spans="1:5" x14ac:dyDescent="0.25">
      <c r="A479" s="15">
        <v>152</v>
      </c>
      <c r="C479" s="15" t="s">
        <v>28</v>
      </c>
    </row>
    <row r="480" spans="1:5" x14ac:dyDescent="0.25">
      <c r="A480" s="15">
        <v>153</v>
      </c>
      <c r="C480" s="15" t="s">
        <v>28</v>
      </c>
    </row>
    <row r="481" spans="1:5" x14ac:dyDescent="0.25">
      <c r="A481" s="15">
        <v>155</v>
      </c>
      <c r="C481" s="15" t="s">
        <v>28</v>
      </c>
    </row>
    <row r="482" spans="1:5" x14ac:dyDescent="0.25">
      <c r="A482" s="15">
        <v>158</v>
      </c>
      <c r="C482" s="15" t="s">
        <v>28</v>
      </c>
    </row>
    <row r="483" spans="1:5" x14ac:dyDescent="0.25">
      <c r="A483" s="15">
        <v>159</v>
      </c>
      <c r="C483" s="15" t="s">
        <v>28</v>
      </c>
    </row>
    <row r="484" spans="1:5" x14ac:dyDescent="0.25">
      <c r="A484" s="15">
        <v>161</v>
      </c>
      <c r="C484" s="15" t="s">
        <v>28</v>
      </c>
    </row>
    <row r="485" spans="1:5" x14ac:dyDescent="0.25">
      <c r="A485" s="15">
        <v>163</v>
      </c>
      <c r="C485" s="15" t="s">
        <v>28</v>
      </c>
    </row>
    <row r="486" spans="1:5" x14ac:dyDescent="0.25">
      <c r="A486" s="15" t="s">
        <v>640</v>
      </c>
      <c r="B486" s="15" t="s">
        <v>380</v>
      </c>
      <c r="C486" s="15" t="s">
        <v>167</v>
      </c>
      <c r="D486" s="15" t="s">
        <v>172</v>
      </c>
      <c r="E486" s="15">
        <v>20</v>
      </c>
    </row>
    <row r="487" spans="1:5" x14ac:dyDescent="0.25">
      <c r="A487" s="15" t="s">
        <v>640</v>
      </c>
      <c r="B487" s="15" t="s">
        <v>380</v>
      </c>
      <c r="C487" s="15" t="s">
        <v>167</v>
      </c>
      <c r="D487" s="15" t="s">
        <v>172</v>
      </c>
      <c r="E487" s="15">
        <v>23</v>
      </c>
    </row>
    <row r="488" spans="1:5" x14ac:dyDescent="0.25">
      <c r="A488" s="15" t="s">
        <v>640</v>
      </c>
      <c r="B488" s="15" t="s">
        <v>380</v>
      </c>
      <c r="C488" s="15" t="s">
        <v>167</v>
      </c>
      <c r="D488" s="15" t="s">
        <v>172</v>
      </c>
      <c r="E488" s="15">
        <v>32</v>
      </c>
    </row>
    <row r="489" spans="1:5" x14ac:dyDescent="0.25">
      <c r="A489" s="15" t="s">
        <v>640</v>
      </c>
      <c r="B489" s="15" t="s">
        <v>380</v>
      </c>
      <c r="C489" s="15" t="s">
        <v>167</v>
      </c>
      <c r="D489" s="15" t="s">
        <v>364</v>
      </c>
      <c r="E489" s="15">
        <v>27</v>
      </c>
    </row>
    <row r="490" spans="1:5" x14ac:dyDescent="0.25">
      <c r="A490" s="15" t="s">
        <v>640</v>
      </c>
      <c r="B490" s="15" t="s">
        <v>380</v>
      </c>
      <c r="C490" s="15" t="s">
        <v>167</v>
      </c>
      <c r="D490" s="15" t="s">
        <v>364</v>
      </c>
      <c r="E490" s="15">
        <v>27</v>
      </c>
    </row>
    <row r="491" spans="1:5" x14ac:dyDescent="0.25">
      <c r="A491" s="15" t="s">
        <v>640</v>
      </c>
      <c r="B491" s="15" t="s">
        <v>380</v>
      </c>
      <c r="C491" s="15" t="s">
        <v>167</v>
      </c>
      <c r="D491" s="15" t="s">
        <v>364</v>
      </c>
      <c r="E491" s="15">
        <v>21</v>
      </c>
    </row>
    <row r="492" spans="1:5" x14ac:dyDescent="0.25">
      <c r="A492" s="15" t="s">
        <v>640</v>
      </c>
      <c r="B492" s="15" t="s">
        <v>380</v>
      </c>
      <c r="C492" s="15" t="s">
        <v>167</v>
      </c>
      <c r="D492" s="15" t="s">
        <v>364</v>
      </c>
      <c r="E492" s="15">
        <v>26</v>
      </c>
    </row>
    <row r="493" spans="1:5" x14ac:dyDescent="0.25">
      <c r="A493" s="15" t="s">
        <v>640</v>
      </c>
      <c r="B493" s="15" t="s">
        <v>380</v>
      </c>
      <c r="C493" s="15" t="s">
        <v>167</v>
      </c>
      <c r="D493" s="15" t="s">
        <v>364</v>
      </c>
      <c r="E493" s="15">
        <v>23</v>
      </c>
    </row>
    <row r="494" spans="1:5" x14ac:dyDescent="0.25">
      <c r="A494" s="15" t="s">
        <v>640</v>
      </c>
      <c r="B494" s="15" t="s">
        <v>380</v>
      </c>
      <c r="C494" s="15" t="s">
        <v>167</v>
      </c>
      <c r="D494" s="15" t="s">
        <v>364</v>
      </c>
      <c r="E494" s="15">
        <v>19</v>
      </c>
    </row>
    <row r="495" spans="1:5" x14ac:dyDescent="0.25">
      <c r="A495" s="15" t="s">
        <v>640</v>
      </c>
      <c r="B495" s="15" t="s">
        <v>380</v>
      </c>
      <c r="C495" s="15" t="s">
        <v>167</v>
      </c>
      <c r="D495" s="15" t="s">
        <v>364</v>
      </c>
      <c r="E495" s="15">
        <v>19</v>
      </c>
    </row>
    <row r="496" spans="1:5" x14ac:dyDescent="0.25">
      <c r="A496" s="15" t="s">
        <v>640</v>
      </c>
      <c r="B496" s="15" t="s">
        <v>380</v>
      </c>
      <c r="C496" s="15" t="s">
        <v>167</v>
      </c>
      <c r="D496" s="15" t="s">
        <v>364</v>
      </c>
      <c r="E496" s="15">
        <v>37</v>
      </c>
    </row>
    <row r="497" spans="1:5" x14ac:dyDescent="0.25">
      <c r="A497" s="15" t="s">
        <v>640</v>
      </c>
      <c r="B497" s="15" t="s">
        <v>380</v>
      </c>
      <c r="C497" s="15" t="s">
        <v>167</v>
      </c>
      <c r="D497" s="15" t="s">
        <v>364</v>
      </c>
      <c r="E497" s="15">
        <v>25</v>
      </c>
    </row>
    <row r="498" spans="1:5" x14ac:dyDescent="0.25">
      <c r="A498" s="15" t="s">
        <v>640</v>
      </c>
      <c r="B498" s="15" t="s">
        <v>380</v>
      </c>
      <c r="C498" s="15" t="s">
        <v>167</v>
      </c>
      <c r="D498" s="15" t="s">
        <v>364</v>
      </c>
      <c r="E498" s="15">
        <v>42</v>
      </c>
    </row>
    <row r="499" spans="1:5" x14ac:dyDescent="0.25">
      <c r="A499" s="15" t="s">
        <v>640</v>
      </c>
      <c r="B499" s="15" t="s">
        <v>380</v>
      </c>
      <c r="C499" s="15" t="s">
        <v>167</v>
      </c>
      <c r="D499" s="15" t="s">
        <v>172</v>
      </c>
      <c r="E499" s="15">
        <v>31</v>
      </c>
    </row>
    <row r="500" spans="1:5" x14ac:dyDescent="0.25">
      <c r="A500" s="15" t="s">
        <v>640</v>
      </c>
      <c r="B500" s="15" t="s">
        <v>380</v>
      </c>
      <c r="C500" s="15" t="s">
        <v>167</v>
      </c>
      <c r="D500" s="15" t="s">
        <v>172</v>
      </c>
      <c r="E500" s="15">
        <v>39</v>
      </c>
    </row>
    <row r="501" spans="1:5" x14ac:dyDescent="0.25">
      <c r="A501" s="15" t="s">
        <v>640</v>
      </c>
      <c r="B501" s="15" t="s">
        <v>380</v>
      </c>
      <c r="C501" s="15" t="s">
        <v>167</v>
      </c>
      <c r="D501" s="15" t="s">
        <v>172</v>
      </c>
      <c r="E501" s="15">
        <v>26</v>
      </c>
    </row>
    <row r="502" spans="1:5" x14ac:dyDescent="0.25">
      <c r="A502" s="15" t="s">
        <v>640</v>
      </c>
      <c r="B502" s="15" t="s">
        <v>380</v>
      </c>
      <c r="C502" s="15" t="s">
        <v>167</v>
      </c>
      <c r="D502" s="15" t="s">
        <v>172</v>
      </c>
      <c r="E502" s="15">
        <v>25</v>
      </c>
    </row>
    <row r="503" spans="1:5" x14ac:dyDescent="0.25">
      <c r="A503" s="15" t="s">
        <v>640</v>
      </c>
      <c r="B503" s="15" t="s">
        <v>380</v>
      </c>
      <c r="C503" s="15" t="s">
        <v>167</v>
      </c>
      <c r="D503" s="15" t="s">
        <v>172</v>
      </c>
      <c r="E503" s="15">
        <v>20</v>
      </c>
    </row>
    <row r="504" spans="1:5" x14ac:dyDescent="0.25">
      <c r="A504" s="15" t="s">
        <v>640</v>
      </c>
      <c r="B504" s="15" t="s">
        <v>380</v>
      </c>
      <c r="C504" s="15" t="s">
        <v>167</v>
      </c>
      <c r="D504" s="15" t="s">
        <v>172</v>
      </c>
      <c r="E504" s="15">
        <v>31</v>
      </c>
    </row>
    <row r="505" spans="1:5" x14ac:dyDescent="0.25">
      <c r="A505" s="15" t="s">
        <v>640</v>
      </c>
      <c r="B505" s="15" t="s">
        <v>380</v>
      </c>
      <c r="C505" s="15" t="s">
        <v>167</v>
      </c>
      <c r="D505" s="15" t="s">
        <v>172</v>
      </c>
      <c r="E505" s="15">
        <v>20</v>
      </c>
    </row>
    <row r="506" spans="1:5" x14ac:dyDescent="0.25">
      <c r="A506" s="15" t="s">
        <v>640</v>
      </c>
      <c r="B506" s="15" t="s">
        <v>380</v>
      </c>
      <c r="C506" s="15" t="s">
        <v>167</v>
      </c>
      <c r="D506" s="15" t="s">
        <v>172</v>
      </c>
      <c r="E506" s="15">
        <v>24</v>
      </c>
    </row>
    <row r="507" spans="1:5" x14ac:dyDescent="0.25">
      <c r="A507" s="15" t="s">
        <v>640</v>
      </c>
      <c r="B507" s="15" t="s">
        <v>380</v>
      </c>
      <c r="C507" s="15" t="s">
        <v>167</v>
      </c>
      <c r="D507" s="15" t="s">
        <v>172</v>
      </c>
    </row>
    <row r="508" spans="1:5" x14ac:dyDescent="0.25">
      <c r="A508" s="15" t="s">
        <v>640</v>
      </c>
      <c r="B508" s="15" t="s">
        <v>380</v>
      </c>
      <c r="C508" s="15" t="s">
        <v>167</v>
      </c>
      <c r="D508" s="15" t="s">
        <v>172</v>
      </c>
      <c r="E508" s="15">
        <v>31</v>
      </c>
    </row>
    <row r="509" spans="1:5" x14ac:dyDescent="0.25">
      <c r="A509" s="15" t="s">
        <v>640</v>
      </c>
      <c r="B509" s="15" t="s">
        <v>380</v>
      </c>
      <c r="C509" s="15" t="s">
        <v>167</v>
      </c>
      <c r="D509" s="15" t="s">
        <v>172</v>
      </c>
    </row>
    <row r="510" spans="1:5" x14ac:dyDescent="0.25">
      <c r="A510" s="15" t="s">
        <v>640</v>
      </c>
      <c r="B510" s="15" t="s">
        <v>380</v>
      </c>
      <c r="C510" s="15" t="s">
        <v>167</v>
      </c>
      <c r="D510" s="15" t="s">
        <v>172</v>
      </c>
      <c r="E510" s="15">
        <v>26</v>
      </c>
    </row>
    <row r="511" spans="1:5" x14ac:dyDescent="0.25">
      <c r="A511" s="15" t="s">
        <v>640</v>
      </c>
      <c r="B511" s="15" t="s">
        <v>380</v>
      </c>
      <c r="C511" s="15" t="s">
        <v>167</v>
      </c>
      <c r="D511" s="15" t="s">
        <v>172</v>
      </c>
      <c r="E511" s="15">
        <v>22</v>
      </c>
    </row>
    <row r="512" spans="1:5" x14ac:dyDescent="0.25">
      <c r="A512" s="15" t="s">
        <v>640</v>
      </c>
      <c r="B512" s="15" t="s">
        <v>380</v>
      </c>
      <c r="C512" s="15" t="s">
        <v>167</v>
      </c>
      <c r="D512" s="15" t="s">
        <v>172</v>
      </c>
      <c r="E512" s="15">
        <v>29</v>
      </c>
    </row>
    <row r="513" spans="1:5" x14ac:dyDescent="0.25">
      <c r="A513" s="15" t="s">
        <v>640</v>
      </c>
      <c r="B513" s="15" t="s">
        <v>380</v>
      </c>
      <c r="C513" s="15" t="s">
        <v>167</v>
      </c>
      <c r="D513" s="15" t="s">
        <v>172</v>
      </c>
      <c r="E513" s="15">
        <v>23</v>
      </c>
    </row>
    <row r="514" spans="1:5" x14ac:dyDescent="0.25">
      <c r="A514" s="15" t="s">
        <v>640</v>
      </c>
      <c r="B514" s="15" t="s">
        <v>380</v>
      </c>
      <c r="C514" s="15" t="s">
        <v>167</v>
      </c>
      <c r="D514" s="15" t="s">
        <v>172</v>
      </c>
      <c r="E514" s="15">
        <v>24</v>
      </c>
    </row>
    <row r="515" spans="1:5" x14ac:dyDescent="0.25">
      <c r="A515" s="15" t="s">
        <v>640</v>
      </c>
      <c r="B515" s="15" t="s">
        <v>380</v>
      </c>
      <c r="C515" s="15" t="s">
        <v>167</v>
      </c>
      <c r="D515" s="15" t="s">
        <v>172</v>
      </c>
      <c r="E515" s="15">
        <v>21</v>
      </c>
    </row>
    <row r="516" spans="1:5" x14ac:dyDescent="0.25">
      <c r="A516" s="15" t="s">
        <v>640</v>
      </c>
      <c r="B516" s="15" t="s">
        <v>380</v>
      </c>
      <c r="C516" s="15" t="s">
        <v>167</v>
      </c>
      <c r="D516" s="15" t="s">
        <v>172</v>
      </c>
      <c r="E516" s="15">
        <v>32</v>
      </c>
    </row>
    <row r="517" spans="1:5" x14ac:dyDescent="0.25">
      <c r="A517" s="15" t="s">
        <v>640</v>
      </c>
      <c r="B517" s="15" t="s">
        <v>380</v>
      </c>
      <c r="C517" s="15" t="s">
        <v>167</v>
      </c>
      <c r="D517" s="15" t="s">
        <v>172</v>
      </c>
      <c r="E517" s="15">
        <v>36</v>
      </c>
    </row>
    <row r="518" spans="1:5" x14ac:dyDescent="0.25">
      <c r="A518" s="15" t="s">
        <v>640</v>
      </c>
      <c r="B518" s="15" t="s">
        <v>380</v>
      </c>
      <c r="C518" s="15" t="s">
        <v>167</v>
      </c>
      <c r="D518" s="15" t="s">
        <v>364</v>
      </c>
      <c r="E518" s="15">
        <v>39</v>
      </c>
    </row>
    <row r="519" spans="1:5" x14ac:dyDescent="0.25">
      <c r="A519" s="15" t="s">
        <v>640</v>
      </c>
      <c r="B519" s="15" t="s">
        <v>380</v>
      </c>
      <c r="C519" s="15" t="s">
        <v>167</v>
      </c>
      <c r="D519" s="15" t="s">
        <v>364</v>
      </c>
      <c r="E519" s="15">
        <v>24</v>
      </c>
    </row>
    <row r="520" spans="1:5" x14ac:dyDescent="0.25">
      <c r="A520" s="15" t="s">
        <v>640</v>
      </c>
      <c r="B520" s="15" t="s">
        <v>380</v>
      </c>
      <c r="C520" s="15" t="s">
        <v>167</v>
      </c>
      <c r="D520" s="15" t="s">
        <v>364</v>
      </c>
      <c r="E520" s="15">
        <v>24</v>
      </c>
    </row>
    <row r="521" spans="1:5" x14ac:dyDescent="0.25">
      <c r="A521" s="15" t="s">
        <v>640</v>
      </c>
      <c r="B521" s="15" t="s">
        <v>380</v>
      </c>
      <c r="C521" s="15" t="s">
        <v>167</v>
      </c>
      <c r="D521" s="15" t="s">
        <v>364</v>
      </c>
      <c r="E521" s="15">
        <v>21</v>
      </c>
    </row>
    <row r="522" spans="1:5" x14ac:dyDescent="0.25">
      <c r="A522" s="15" t="s">
        <v>640</v>
      </c>
      <c r="B522" s="15" t="s">
        <v>380</v>
      </c>
      <c r="C522" s="15" t="s">
        <v>167</v>
      </c>
      <c r="D522" s="15" t="s">
        <v>364</v>
      </c>
      <c r="E522" s="15">
        <v>21</v>
      </c>
    </row>
    <row r="523" spans="1:5" x14ac:dyDescent="0.25">
      <c r="A523" s="15">
        <v>127</v>
      </c>
      <c r="B523" s="15" t="s">
        <v>473</v>
      </c>
      <c r="C523" s="15" t="s">
        <v>167</v>
      </c>
      <c r="D523" s="15" t="s">
        <v>172</v>
      </c>
      <c r="E523" s="15">
        <v>38</v>
      </c>
    </row>
    <row r="524" spans="1:5" x14ac:dyDescent="0.25">
      <c r="A524" s="15">
        <v>129</v>
      </c>
      <c r="B524" s="15" t="s">
        <v>473</v>
      </c>
      <c r="C524" s="15" t="s">
        <v>167</v>
      </c>
      <c r="D524" s="15" t="s">
        <v>172</v>
      </c>
      <c r="E524" s="15">
        <v>19</v>
      </c>
    </row>
    <row r="525" spans="1:5" x14ac:dyDescent="0.25">
      <c r="A525" s="15">
        <v>131</v>
      </c>
      <c r="B525" s="15" t="s">
        <v>480</v>
      </c>
      <c r="C525" s="15" t="s">
        <v>167</v>
      </c>
      <c r="D525" s="15" t="s">
        <v>172</v>
      </c>
      <c r="E525" s="15">
        <v>25</v>
      </c>
    </row>
    <row r="526" spans="1:5" x14ac:dyDescent="0.25">
      <c r="A526" s="15">
        <v>134</v>
      </c>
      <c r="B526" s="15" t="s">
        <v>484</v>
      </c>
      <c r="C526" s="15" t="s">
        <v>167</v>
      </c>
      <c r="D526" s="15" t="s">
        <v>172</v>
      </c>
      <c r="E526" s="15">
        <v>34</v>
      </c>
    </row>
    <row r="527" spans="1:5" x14ac:dyDescent="0.25">
      <c r="A527" s="15">
        <v>136</v>
      </c>
      <c r="B527" s="15" t="s">
        <v>488</v>
      </c>
      <c r="C527" s="15" t="s">
        <v>167</v>
      </c>
      <c r="D527" s="15" t="s">
        <v>172</v>
      </c>
      <c r="E527" s="15">
        <v>32</v>
      </c>
    </row>
    <row r="528" spans="1:5" x14ac:dyDescent="0.25">
      <c r="A528" s="15">
        <v>138</v>
      </c>
      <c r="B528" s="15" t="s">
        <v>492</v>
      </c>
      <c r="C528" s="15" t="s">
        <v>167</v>
      </c>
      <c r="D528" s="15" t="s">
        <v>172</v>
      </c>
      <c r="E528" s="15">
        <v>20</v>
      </c>
    </row>
    <row r="529" spans="1:5" x14ac:dyDescent="0.25">
      <c r="A529" s="15">
        <v>141</v>
      </c>
      <c r="B529" s="15" t="s">
        <v>488</v>
      </c>
      <c r="C529" s="15" t="s">
        <v>167</v>
      </c>
      <c r="D529" s="15" t="s">
        <v>172</v>
      </c>
      <c r="E529" s="15">
        <v>19</v>
      </c>
    </row>
    <row r="530" spans="1:5" x14ac:dyDescent="0.25">
      <c r="A530" s="15">
        <v>143</v>
      </c>
      <c r="B530" s="15" t="s">
        <v>473</v>
      </c>
      <c r="C530" s="15" t="s">
        <v>167</v>
      </c>
      <c r="D530" s="15" t="s">
        <v>172</v>
      </c>
      <c r="E530" s="15">
        <v>22</v>
      </c>
    </row>
    <row r="531" spans="1:5" x14ac:dyDescent="0.25">
      <c r="A531" s="16">
        <v>197</v>
      </c>
      <c r="B531" s="16" t="s">
        <v>624</v>
      </c>
      <c r="C531" s="16" t="s">
        <v>167</v>
      </c>
      <c r="D531" s="16" t="s">
        <v>172</v>
      </c>
      <c r="E531" s="16">
        <v>23</v>
      </c>
    </row>
    <row r="532" spans="1:5" x14ac:dyDescent="0.25">
      <c r="A532" s="16">
        <v>198</v>
      </c>
      <c r="B532" s="16" t="s">
        <v>624</v>
      </c>
      <c r="C532" s="16" t="s">
        <v>167</v>
      </c>
      <c r="D532" s="16" t="s">
        <v>172</v>
      </c>
      <c r="E532" s="16">
        <v>27</v>
      </c>
    </row>
    <row r="533" spans="1:5" x14ac:dyDescent="0.25">
      <c r="A533" s="16">
        <v>199</v>
      </c>
      <c r="B533" s="16" t="s">
        <v>624</v>
      </c>
      <c r="C533" s="16" t="s">
        <v>167</v>
      </c>
      <c r="D533" s="16" t="s">
        <v>172</v>
      </c>
      <c r="E533" s="16">
        <v>20</v>
      </c>
    </row>
    <row r="534" spans="1:5" x14ac:dyDescent="0.25">
      <c r="A534" s="16">
        <v>200</v>
      </c>
      <c r="B534" s="16" t="s">
        <v>624</v>
      </c>
      <c r="C534" s="16" t="s">
        <v>167</v>
      </c>
      <c r="D534" s="16" t="s">
        <v>172</v>
      </c>
      <c r="E534" s="16">
        <v>23</v>
      </c>
    </row>
    <row r="535" spans="1:5" x14ac:dyDescent="0.25">
      <c r="A535" s="16">
        <v>201</v>
      </c>
      <c r="B535" s="16" t="s">
        <v>624</v>
      </c>
      <c r="C535" s="16" t="s">
        <v>167</v>
      </c>
      <c r="D535" s="16" t="s">
        <v>172</v>
      </c>
      <c r="E535" s="16">
        <v>31</v>
      </c>
    </row>
    <row r="536" spans="1:5" x14ac:dyDescent="0.25">
      <c r="A536" s="16">
        <v>202</v>
      </c>
      <c r="B536" s="16" t="s">
        <v>624</v>
      </c>
      <c r="C536" s="16" t="s">
        <v>167</v>
      </c>
      <c r="D536" s="16" t="s">
        <v>172</v>
      </c>
      <c r="E536" s="16">
        <v>20</v>
      </c>
    </row>
    <row r="537" spans="1:5" x14ac:dyDescent="0.25">
      <c r="A537" s="16">
        <v>203</v>
      </c>
      <c r="B537" s="16" t="s">
        <v>624</v>
      </c>
      <c r="C537" s="16" t="s">
        <v>167</v>
      </c>
      <c r="D537" s="16" t="s">
        <v>172</v>
      </c>
      <c r="E537" s="16">
        <v>22</v>
      </c>
    </row>
    <row r="538" spans="1:5" x14ac:dyDescent="0.25">
      <c r="A538" s="16">
        <v>204</v>
      </c>
      <c r="B538" s="16" t="s">
        <v>624</v>
      </c>
      <c r="C538" s="16" t="s">
        <v>167</v>
      </c>
      <c r="D538" s="16" t="s">
        <v>172</v>
      </c>
      <c r="E538" s="16">
        <v>21</v>
      </c>
    </row>
    <row r="539" spans="1:5" x14ac:dyDescent="0.25">
      <c r="A539" s="16">
        <v>205</v>
      </c>
      <c r="B539" s="16" t="s">
        <v>624</v>
      </c>
      <c r="C539" s="16" t="s">
        <v>167</v>
      </c>
      <c r="D539" s="16" t="s">
        <v>172</v>
      </c>
      <c r="E539" s="16">
        <v>20</v>
      </c>
    </row>
    <row r="540" spans="1:5" x14ac:dyDescent="0.25">
      <c r="A540" s="16">
        <v>206</v>
      </c>
      <c r="B540" s="16" t="s">
        <v>624</v>
      </c>
      <c r="C540" s="16" t="s">
        <v>167</v>
      </c>
      <c r="D540" s="16" t="s">
        <v>172</v>
      </c>
      <c r="E540" s="16">
        <v>30</v>
      </c>
    </row>
    <row r="541" spans="1:5" x14ac:dyDescent="0.25">
      <c r="A541" s="16">
        <v>207</v>
      </c>
      <c r="B541" s="16" t="s">
        <v>624</v>
      </c>
      <c r="C541" s="16" t="s">
        <v>167</v>
      </c>
      <c r="D541" s="16" t="s">
        <v>172</v>
      </c>
      <c r="E541" s="16">
        <v>19</v>
      </c>
    </row>
    <row r="542" spans="1:5" x14ac:dyDescent="0.25">
      <c r="A542" s="16">
        <v>208</v>
      </c>
      <c r="B542" s="16" t="s">
        <v>624</v>
      </c>
      <c r="C542" s="16" t="s">
        <v>167</v>
      </c>
      <c r="D542" s="16" t="s">
        <v>172</v>
      </c>
      <c r="E542" s="16">
        <v>19</v>
      </c>
    </row>
    <row r="543" spans="1:5" x14ac:dyDescent="0.25">
      <c r="A543" s="16">
        <v>209</v>
      </c>
      <c r="B543" s="16" t="s">
        <v>625</v>
      </c>
      <c r="C543" s="16" t="s">
        <v>167</v>
      </c>
      <c r="D543" s="16" t="s">
        <v>172</v>
      </c>
      <c r="E543" s="16">
        <v>21</v>
      </c>
    </row>
    <row r="544" spans="1:5" x14ac:dyDescent="0.25">
      <c r="A544" s="16">
        <v>210</v>
      </c>
      <c r="B544" s="16" t="s">
        <v>625</v>
      </c>
      <c r="C544" s="16" t="s">
        <v>167</v>
      </c>
      <c r="D544" s="16" t="s">
        <v>172</v>
      </c>
      <c r="E544" s="16">
        <v>36</v>
      </c>
    </row>
    <row r="545" spans="1:5" x14ac:dyDescent="0.25">
      <c r="A545" s="16">
        <v>211</v>
      </c>
      <c r="B545" s="16" t="s">
        <v>625</v>
      </c>
      <c r="C545" s="16" t="s">
        <v>167</v>
      </c>
      <c r="D545" s="16" t="s">
        <v>172</v>
      </c>
      <c r="E545" s="16">
        <v>27</v>
      </c>
    </row>
    <row r="546" spans="1:5" x14ac:dyDescent="0.25">
      <c r="A546" s="16">
        <v>212</v>
      </c>
      <c r="B546" s="16" t="s">
        <v>625</v>
      </c>
      <c r="C546" s="16" t="s">
        <v>167</v>
      </c>
      <c r="D546" s="16" t="s">
        <v>172</v>
      </c>
      <c r="E546" s="16">
        <v>21</v>
      </c>
    </row>
    <row r="547" spans="1:5" x14ac:dyDescent="0.25">
      <c r="A547" s="16">
        <v>213</v>
      </c>
      <c r="B547" s="16" t="s">
        <v>625</v>
      </c>
      <c r="C547" s="16" t="s">
        <v>167</v>
      </c>
      <c r="D547" s="16" t="s">
        <v>172</v>
      </c>
      <c r="E547" s="16">
        <v>29</v>
      </c>
    </row>
    <row r="548" spans="1:5" x14ac:dyDescent="0.25">
      <c r="A548" s="16">
        <v>214</v>
      </c>
      <c r="B548" s="16" t="s">
        <v>625</v>
      </c>
      <c r="C548" s="16" t="s">
        <v>167</v>
      </c>
      <c r="D548" s="16" t="s">
        <v>172</v>
      </c>
      <c r="E548" s="16">
        <v>28</v>
      </c>
    </row>
    <row r="549" spans="1:5" x14ac:dyDescent="0.25">
      <c r="A549" s="16">
        <v>215</v>
      </c>
      <c r="B549" s="16" t="s">
        <v>625</v>
      </c>
      <c r="C549" s="16" t="s">
        <v>167</v>
      </c>
      <c r="D549" s="16" t="s">
        <v>172</v>
      </c>
      <c r="E549" s="16">
        <v>34</v>
      </c>
    </row>
    <row r="550" spans="1:5" x14ac:dyDescent="0.25">
      <c r="A550" s="16">
        <v>216</v>
      </c>
      <c r="B550" s="16" t="s">
        <v>625</v>
      </c>
      <c r="C550" s="16" t="s">
        <v>167</v>
      </c>
      <c r="D550" s="16" t="s">
        <v>172</v>
      </c>
      <c r="E550" s="16">
        <v>22</v>
      </c>
    </row>
    <row r="551" spans="1:5" x14ac:dyDescent="0.25">
      <c r="A551" s="16">
        <v>217</v>
      </c>
      <c r="B551" s="16" t="s">
        <v>625</v>
      </c>
      <c r="C551" s="16" t="s">
        <v>167</v>
      </c>
      <c r="D551" s="16" t="s">
        <v>172</v>
      </c>
      <c r="E551" s="16">
        <v>23</v>
      </c>
    </row>
    <row r="552" spans="1:5" x14ac:dyDescent="0.25">
      <c r="A552" s="16">
        <v>218</v>
      </c>
      <c r="B552" s="16" t="s">
        <v>625</v>
      </c>
      <c r="C552" s="16" t="s">
        <v>167</v>
      </c>
      <c r="D552" s="16" t="s">
        <v>172</v>
      </c>
      <c r="E552" s="16">
        <v>36</v>
      </c>
    </row>
    <row r="553" spans="1:5" x14ac:dyDescent="0.25">
      <c r="A553" s="16">
        <v>219</v>
      </c>
      <c r="B553" s="16" t="s">
        <v>625</v>
      </c>
      <c r="C553" s="16" t="s">
        <v>167</v>
      </c>
      <c r="D553" s="16" t="s">
        <v>172</v>
      </c>
      <c r="E553" s="16">
        <v>28</v>
      </c>
    </row>
    <row r="554" spans="1:5" x14ac:dyDescent="0.25">
      <c r="A554" s="16">
        <v>220</v>
      </c>
      <c r="B554" s="16" t="s">
        <v>625</v>
      </c>
      <c r="C554" s="16" t="s">
        <v>167</v>
      </c>
      <c r="D554" s="16" t="s">
        <v>172</v>
      </c>
      <c r="E554" s="16">
        <v>21</v>
      </c>
    </row>
    <row r="555" spans="1:5" x14ac:dyDescent="0.25">
      <c r="A555" s="16">
        <v>221</v>
      </c>
      <c r="B555" s="16" t="s">
        <v>625</v>
      </c>
      <c r="C555" s="16" t="s">
        <v>167</v>
      </c>
      <c r="D555" s="16" t="s">
        <v>172</v>
      </c>
      <c r="E555" s="16">
        <v>19</v>
      </c>
    </row>
    <row r="556" spans="1:5" x14ac:dyDescent="0.25">
      <c r="A556" s="16">
        <v>222</v>
      </c>
      <c r="B556" s="16" t="s">
        <v>625</v>
      </c>
      <c r="C556" s="16" t="s">
        <v>167</v>
      </c>
      <c r="D556" s="16" t="s">
        <v>172</v>
      </c>
      <c r="E556" s="16">
        <v>21</v>
      </c>
    </row>
    <row r="557" spans="1:5" x14ac:dyDescent="0.25">
      <c r="A557" s="16">
        <v>223</v>
      </c>
      <c r="B557" s="16" t="s">
        <v>625</v>
      </c>
      <c r="C557" s="16" t="s">
        <v>167</v>
      </c>
      <c r="D557" s="16" t="s">
        <v>172</v>
      </c>
      <c r="E557" s="16">
        <v>29</v>
      </c>
    </row>
    <row r="558" spans="1:5" x14ac:dyDescent="0.25">
      <c r="A558" s="16">
        <v>224</v>
      </c>
      <c r="B558" s="16" t="s">
        <v>625</v>
      </c>
      <c r="C558" s="16" t="s">
        <v>167</v>
      </c>
      <c r="D558" s="16" t="s">
        <v>172</v>
      </c>
      <c r="E558" s="16">
        <v>30</v>
      </c>
    </row>
    <row r="559" spans="1:5" x14ac:dyDescent="0.25">
      <c r="A559" s="16">
        <v>225</v>
      </c>
      <c r="B559" s="16" t="s">
        <v>625</v>
      </c>
      <c r="C559" s="16" t="s">
        <v>167</v>
      </c>
      <c r="D559" s="16" t="s">
        <v>172</v>
      </c>
      <c r="E559" s="16">
        <v>28</v>
      </c>
    </row>
    <row r="560" spans="1:5" ht="13" x14ac:dyDescent="0.3">
      <c r="A560" s="16">
        <v>255</v>
      </c>
      <c r="B560" s="16" t="s">
        <v>639</v>
      </c>
      <c r="C560" s="16" t="s">
        <v>167</v>
      </c>
      <c r="D560" s="16" t="s">
        <v>172</v>
      </c>
      <c r="E560" s="18">
        <v>37</v>
      </c>
    </row>
    <row r="561" spans="1:5" ht="13" x14ac:dyDescent="0.3">
      <c r="A561" s="16">
        <v>256</v>
      </c>
      <c r="B561" s="16" t="s">
        <v>639</v>
      </c>
      <c r="C561" s="16" t="s">
        <v>167</v>
      </c>
      <c r="D561" s="16" t="s">
        <v>172</v>
      </c>
      <c r="E561" s="18">
        <v>18</v>
      </c>
    </row>
    <row r="562" spans="1:5" ht="13" x14ac:dyDescent="0.3">
      <c r="A562" s="16">
        <v>257</v>
      </c>
      <c r="B562" s="16" t="s">
        <v>639</v>
      </c>
      <c r="C562" s="16" t="s">
        <v>167</v>
      </c>
      <c r="D562" s="16" t="s">
        <v>172</v>
      </c>
      <c r="E562" s="18">
        <v>32</v>
      </c>
    </row>
    <row r="563" spans="1:5" ht="13" x14ac:dyDescent="0.3">
      <c r="A563" s="16">
        <v>258</v>
      </c>
      <c r="B563" s="16" t="s">
        <v>639</v>
      </c>
      <c r="C563" s="16" t="s">
        <v>167</v>
      </c>
      <c r="D563" s="16" t="s">
        <v>172</v>
      </c>
      <c r="E563" s="18">
        <v>21</v>
      </c>
    </row>
    <row r="564" spans="1:5" ht="13" x14ac:dyDescent="0.3">
      <c r="A564" s="16">
        <v>259</v>
      </c>
      <c r="B564" s="16" t="s">
        <v>639</v>
      </c>
      <c r="C564" s="16" t="s">
        <v>167</v>
      </c>
      <c r="D564" s="16" t="s">
        <v>172</v>
      </c>
      <c r="E564" s="18">
        <v>33</v>
      </c>
    </row>
    <row r="565" spans="1:5" ht="13" x14ac:dyDescent="0.3">
      <c r="A565" s="16">
        <v>260</v>
      </c>
      <c r="B565" s="16" t="s">
        <v>639</v>
      </c>
      <c r="C565" s="16" t="s">
        <v>167</v>
      </c>
      <c r="D565" s="16" t="s">
        <v>172</v>
      </c>
      <c r="E565" s="18">
        <v>27</v>
      </c>
    </row>
    <row r="566" spans="1:5" ht="13" x14ac:dyDescent="0.3">
      <c r="A566" s="16">
        <v>261</v>
      </c>
      <c r="B566" s="16" t="s">
        <v>639</v>
      </c>
      <c r="C566" s="16" t="s">
        <v>167</v>
      </c>
      <c r="D566" s="16" t="s">
        <v>172</v>
      </c>
      <c r="E566" s="18">
        <v>27</v>
      </c>
    </row>
    <row r="567" spans="1:5" ht="13" x14ac:dyDescent="0.3">
      <c r="A567" s="16">
        <v>262</v>
      </c>
      <c r="B567" s="16" t="s">
        <v>639</v>
      </c>
      <c r="C567" s="16" t="s">
        <v>167</v>
      </c>
      <c r="D567" s="16" t="s">
        <v>172</v>
      </c>
      <c r="E567" s="18">
        <v>19</v>
      </c>
    </row>
    <row r="568" spans="1:5" ht="13" x14ac:dyDescent="0.3">
      <c r="A568" s="16">
        <v>263</v>
      </c>
      <c r="B568" s="16" t="s">
        <v>639</v>
      </c>
      <c r="C568" s="16" t="s">
        <v>167</v>
      </c>
      <c r="D568" s="16" t="s">
        <v>172</v>
      </c>
      <c r="E568" s="18">
        <v>25</v>
      </c>
    </row>
    <row r="569" spans="1:5" ht="13" x14ac:dyDescent="0.3">
      <c r="A569" s="16">
        <v>264</v>
      </c>
      <c r="B569" s="16" t="s">
        <v>639</v>
      </c>
      <c r="C569" s="16" t="s">
        <v>167</v>
      </c>
      <c r="D569" s="16" t="s">
        <v>172</v>
      </c>
      <c r="E569" s="18">
        <v>27</v>
      </c>
    </row>
    <row r="570" spans="1:5" ht="13" x14ac:dyDescent="0.3">
      <c r="A570" s="16">
        <v>265</v>
      </c>
      <c r="B570" s="16" t="s">
        <v>639</v>
      </c>
      <c r="C570" s="16" t="s">
        <v>167</v>
      </c>
      <c r="D570" s="16" t="s">
        <v>172</v>
      </c>
      <c r="E570" s="18">
        <v>30</v>
      </c>
    </row>
    <row r="571" spans="1:5" ht="13" x14ac:dyDescent="0.3">
      <c r="A571" s="16">
        <v>266</v>
      </c>
      <c r="B571" s="16" t="s">
        <v>639</v>
      </c>
      <c r="C571" s="16" t="s">
        <v>167</v>
      </c>
      <c r="D571" s="16" t="s">
        <v>172</v>
      </c>
      <c r="E571" s="18">
        <v>29</v>
      </c>
    </row>
    <row r="572" spans="1:5" ht="13" x14ac:dyDescent="0.3">
      <c r="A572" s="16">
        <v>267</v>
      </c>
      <c r="B572" s="16" t="s">
        <v>639</v>
      </c>
      <c r="C572" s="16" t="s">
        <v>167</v>
      </c>
      <c r="D572" s="16" t="s">
        <v>172</v>
      </c>
      <c r="E572" s="18">
        <v>29</v>
      </c>
    </row>
    <row r="573" spans="1:5" ht="13" x14ac:dyDescent="0.3">
      <c r="A573" s="16">
        <v>268</v>
      </c>
      <c r="B573" s="16" t="s">
        <v>639</v>
      </c>
      <c r="C573" s="16" t="s">
        <v>167</v>
      </c>
      <c r="D573" s="16" t="s">
        <v>172</v>
      </c>
      <c r="E573" s="18">
        <v>19</v>
      </c>
    </row>
    <row r="574" spans="1:5" ht="13" x14ac:dyDescent="0.3">
      <c r="A574" s="16">
        <v>269</v>
      </c>
      <c r="B574" s="16" t="s">
        <v>639</v>
      </c>
      <c r="C574" s="16" t="s">
        <v>167</v>
      </c>
      <c r="D574" s="16" t="s">
        <v>172</v>
      </c>
      <c r="E574" s="18">
        <v>28</v>
      </c>
    </row>
    <row r="575" spans="1:5" ht="13" x14ac:dyDescent="0.3">
      <c r="A575" s="16">
        <v>270</v>
      </c>
      <c r="B575" s="16" t="s">
        <v>639</v>
      </c>
      <c r="C575" s="16" t="s">
        <v>167</v>
      </c>
      <c r="D575" s="16" t="s">
        <v>172</v>
      </c>
      <c r="E575" s="18">
        <v>29</v>
      </c>
    </row>
    <row r="576" spans="1:5" ht="13" x14ac:dyDescent="0.3">
      <c r="A576" s="16">
        <v>271</v>
      </c>
      <c r="B576" s="16" t="s">
        <v>639</v>
      </c>
      <c r="C576" s="16" t="s">
        <v>167</v>
      </c>
      <c r="D576" s="16" t="s">
        <v>172</v>
      </c>
      <c r="E576" s="18">
        <v>19</v>
      </c>
    </row>
    <row r="577" spans="1:5" ht="13" x14ac:dyDescent="0.3">
      <c r="A577" s="16">
        <v>272</v>
      </c>
      <c r="B577" s="16" t="s">
        <v>639</v>
      </c>
      <c r="C577" s="16" t="s">
        <v>167</v>
      </c>
      <c r="D577" s="16" t="s">
        <v>172</v>
      </c>
      <c r="E577" s="18">
        <v>29</v>
      </c>
    </row>
    <row r="578" spans="1:5" ht="13" x14ac:dyDescent="0.3">
      <c r="A578" s="16">
        <v>273</v>
      </c>
      <c r="B578" s="16" t="s">
        <v>639</v>
      </c>
      <c r="C578" s="16" t="s">
        <v>167</v>
      </c>
      <c r="D578" s="16" t="s">
        <v>172</v>
      </c>
      <c r="E578" s="18">
        <v>26</v>
      </c>
    </row>
    <row r="579" spans="1:5" ht="13" x14ac:dyDescent="0.3">
      <c r="A579" s="16">
        <v>274</v>
      </c>
      <c r="B579" s="16" t="s">
        <v>639</v>
      </c>
      <c r="C579" s="16" t="s">
        <v>167</v>
      </c>
      <c r="D579" s="16" t="s">
        <v>172</v>
      </c>
      <c r="E579" s="18">
        <v>32</v>
      </c>
    </row>
    <row r="580" spans="1:5" ht="13" x14ac:dyDescent="0.3">
      <c r="A580" s="16">
        <v>275</v>
      </c>
      <c r="B580" s="16" t="s">
        <v>639</v>
      </c>
      <c r="C580" s="16" t="s">
        <v>167</v>
      </c>
      <c r="D580" s="16" t="s">
        <v>172</v>
      </c>
      <c r="E580" s="18">
        <v>40</v>
      </c>
    </row>
    <row r="581" spans="1:5" ht="13" x14ac:dyDescent="0.3">
      <c r="A581" s="16">
        <v>276</v>
      </c>
      <c r="B581" s="16" t="s">
        <v>639</v>
      </c>
      <c r="C581" s="16" t="s">
        <v>167</v>
      </c>
      <c r="D581" s="16" t="s">
        <v>172</v>
      </c>
      <c r="E581" s="18">
        <v>21</v>
      </c>
    </row>
    <row r="582" spans="1:5" ht="13" x14ac:dyDescent="0.3">
      <c r="A582" s="16">
        <v>277</v>
      </c>
      <c r="B582" s="16" t="s">
        <v>639</v>
      </c>
      <c r="C582" s="16" t="s">
        <v>167</v>
      </c>
      <c r="D582" s="16" t="s">
        <v>172</v>
      </c>
      <c r="E582" s="18">
        <v>27</v>
      </c>
    </row>
    <row r="583" spans="1:5" ht="13" x14ac:dyDescent="0.3">
      <c r="A583" s="16">
        <v>278</v>
      </c>
      <c r="B583" s="16" t="s">
        <v>639</v>
      </c>
      <c r="C583" s="16" t="s">
        <v>167</v>
      </c>
      <c r="D583" s="16" t="s">
        <v>172</v>
      </c>
      <c r="E583" s="18">
        <v>30</v>
      </c>
    </row>
    <row r="584" spans="1:5" ht="13" x14ac:dyDescent="0.3">
      <c r="A584" s="16">
        <v>279</v>
      </c>
      <c r="B584" s="16" t="s">
        <v>639</v>
      </c>
      <c r="C584" s="16" t="s">
        <v>167</v>
      </c>
      <c r="D584" s="16" t="s">
        <v>172</v>
      </c>
      <c r="E584" s="18">
        <v>23</v>
      </c>
    </row>
    <row r="585" spans="1:5" ht="13" x14ac:dyDescent="0.3">
      <c r="A585" s="16">
        <v>280</v>
      </c>
      <c r="B585" s="16" t="s">
        <v>639</v>
      </c>
      <c r="C585" s="16" t="s">
        <v>167</v>
      </c>
      <c r="D585" s="16" t="s">
        <v>172</v>
      </c>
      <c r="E585" s="18">
        <v>27</v>
      </c>
    </row>
    <row r="586" spans="1:5" ht="13" x14ac:dyDescent="0.3">
      <c r="A586" s="16">
        <v>281</v>
      </c>
      <c r="B586" s="16" t="s">
        <v>639</v>
      </c>
      <c r="C586" s="16" t="s">
        <v>167</v>
      </c>
      <c r="D586" s="16" t="s">
        <v>172</v>
      </c>
      <c r="E586" s="18">
        <v>25</v>
      </c>
    </row>
    <row r="587" spans="1:5" ht="13" x14ac:dyDescent="0.3">
      <c r="A587" s="16">
        <v>322</v>
      </c>
      <c r="B587" s="18" t="s">
        <v>630</v>
      </c>
      <c r="C587" s="16" t="s">
        <v>167</v>
      </c>
      <c r="D587" s="16" t="s">
        <v>172</v>
      </c>
      <c r="E587" s="18">
        <v>26</v>
      </c>
    </row>
    <row r="588" spans="1:5" ht="13" x14ac:dyDescent="0.3">
      <c r="A588" s="16">
        <v>323</v>
      </c>
      <c r="B588" s="18" t="s">
        <v>631</v>
      </c>
      <c r="C588" s="16" t="s">
        <v>167</v>
      </c>
      <c r="D588" s="16" t="s">
        <v>172</v>
      </c>
      <c r="E588" s="18">
        <v>19</v>
      </c>
    </row>
    <row r="589" spans="1:5" ht="13" x14ac:dyDescent="0.3">
      <c r="A589" s="16">
        <v>324</v>
      </c>
      <c r="B589" s="18" t="s">
        <v>630</v>
      </c>
      <c r="C589" s="16" t="s">
        <v>167</v>
      </c>
      <c r="D589" s="16" t="s">
        <v>172</v>
      </c>
      <c r="E589" s="18">
        <v>23</v>
      </c>
    </row>
    <row r="590" spans="1:5" ht="13" x14ac:dyDescent="0.3">
      <c r="A590" s="16">
        <v>325</v>
      </c>
      <c r="B590" s="18" t="s">
        <v>632</v>
      </c>
      <c r="C590" s="16" t="s">
        <v>167</v>
      </c>
      <c r="D590" s="16" t="s">
        <v>172</v>
      </c>
      <c r="E590" s="18">
        <v>21</v>
      </c>
    </row>
    <row r="591" spans="1:5" ht="13" x14ac:dyDescent="0.3">
      <c r="A591" s="16">
        <v>326</v>
      </c>
      <c r="B591" s="18" t="s">
        <v>630</v>
      </c>
      <c r="C591" s="16" t="s">
        <v>167</v>
      </c>
      <c r="D591" s="16" t="s">
        <v>172</v>
      </c>
      <c r="E591" s="18">
        <v>33</v>
      </c>
    </row>
    <row r="592" spans="1:5" ht="13" x14ac:dyDescent="0.3">
      <c r="A592" s="16">
        <v>327</v>
      </c>
      <c r="B592" s="18" t="s">
        <v>630</v>
      </c>
      <c r="C592" s="16" t="s">
        <v>167</v>
      </c>
      <c r="D592" s="16" t="s">
        <v>172</v>
      </c>
      <c r="E592" s="18">
        <v>33</v>
      </c>
    </row>
    <row r="593" spans="1:5" ht="13" x14ac:dyDescent="0.3">
      <c r="A593" s="16">
        <v>328</v>
      </c>
      <c r="B593" s="18" t="s">
        <v>633</v>
      </c>
      <c r="C593" s="16" t="s">
        <v>167</v>
      </c>
      <c r="D593" s="16" t="s">
        <v>172</v>
      </c>
      <c r="E593" s="18">
        <v>35</v>
      </c>
    </row>
    <row r="594" spans="1:5" ht="13" x14ac:dyDescent="0.3">
      <c r="A594" s="16">
        <v>329</v>
      </c>
      <c r="B594" s="18" t="s">
        <v>630</v>
      </c>
      <c r="C594" s="16" t="s">
        <v>167</v>
      </c>
      <c r="D594" s="16" t="s">
        <v>172</v>
      </c>
      <c r="E594" s="16">
        <v>21</v>
      </c>
    </row>
    <row r="595" spans="1:5" ht="13" x14ac:dyDescent="0.3">
      <c r="A595" s="16">
        <v>330</v>
      </c>
      <c r="B595" s="18" t="s">
        <v>631</v>
      </c>
      <c r="C595" s="16" t="s">
        <v>167</v>
      </c>
      <c r="D595" s="16" t="s">
        <v>172</v>
      </c>
      <c r="E595" s="16">
        <v>36</v>
      </c>
    </row>
    <row r="596" spans="1:5" ht="13" x14ac:dyDescent="0.3">
      <c r="A596" s="16">
        <v>331</v>
      </c>
      <c r="B596" s="18" t="s">
        <v>630</v>
      </c>
      <c r="C596" s="16" t="s">
        <v>167</v>
      </c>
      <c r="D596" s="16" t="s">
        <v>172</v>
      </c>
      <c r="E596" s="16">
        <v>27</v>
      </c>
    </row>
    <row r="597" spans="1:5" ht="13" x14ac:dyDescent="0.3">
      <c r="A597" s="16">
        <v>332</v>
      </c>
      <c r="B597" s="18" t="s">
        <v>632</v>
      </c>
      <c r="C597" s="16" t="s">
        <v>167</v>
      </c>
      <c r="D597" s="16" t="s">
        <v>172</v>
      </c>
      <c r="E597" s="16">
        <v>21</v>
      </c>
    </row>
    <row r="598" spans="1:5" ht="13" x14ac:dyDescent="0.3">
      <c r="A598" s="16">
        <v>333</v>
      </c>
      <c r="B598" s="18" t="s">
        <v>630</v>
      </c>
      <c r="C598" s="16" t="s">
        <v>167</v>
      </c>
      <c r="D598" s="16" t="s">
        <v>172</v>
      </c>
      <c r="E598" s="16">
        <v>29</v>
      </c>
    </row>
    <row r="599" spans="1:5" ht="13" x14ac:dyDescent="0.3">
      <c r="A599" s="16">
        <v>334</v>
      </c>
      <c r="B599" s="18" t="s">
        <v>630</v>
      </c>
      <c r="C599" s="16" t="s">
        <v>167</v>
      </c>
      <c r="D599" s="16" t="s">
        <v>172</v>
      </c>
      <c r="E599" s="16">
        <v>28</v>
      </c>
    </row>
    <row r="600" spans="1:5" ht="13" x14ac:dyDescent="0.3">
      <c r="A600" s="16">
        <v>335</v>
      </c>
      <c r="B600" s="18" t="s">
        <v>633</v>
      </c>
      <c r="C600" s="16" t="s">
        <v>167</v>
      </c>
      <c r="D600" s="16" t="s">
        <v>172</v>
      </c>
      <c r="E600" s="16">
        <v>34</v>
      </c>
    </row>
    <row r="601" spans="1:5" ht="13" x14ac:dyDescent="0.3">
      <c r="A601" s="16">
        <v>336</v>
      </c>
      <c r="B601" s="18" t="s">
        <v>630</v>
      </c>
      <c r="C601" s="16" t="s">
        <v>167</v>
      </c>
      <c r="D601" s="16" t="s">
        <v>172</v>
      </c>
      <c r="E601" s="16">
        <v>22</v>
      </c>
    </row>
    <row r="602" spans="1:5" ht="13" x14ac:dyDescent="0.3">
      <c r="A602" s="16">
        <v>337</v>
      </c>
      <c r="B602" s="18" t="s">
        <v>631</v>
      </c>
      <c r="C602" s="16" t="s">
        <v>167</v>
      </c>
      <c r="D602" s="16" t="s">
        <v>172</v>
      </c>
      <c r="E602" s="16">
        <v>23</v>
      </c>
    </row>
    <row r="603" spans="1:5" ht="13" x14ac:dyDescent="0.3">
      <c r="A603" s="16">
        <v>338</v>
      </c>
      <c r="B603" s="18" t="s">
        <v>630</v>
      </c>
      <c r="C603" s="16" t="s">
        <v>167</v>
      </c>
      <c r="D603" s="16" t="s">
        <v>172</v>
      </c>
      <c r="E603" s="16">
        <v>36</v>
      </c>
    </row>
    <row r="604" spans="1:5" ht="13" x14ac:dyDescent="0.3">
      <c r="A604" s="16">
        <v>339</v>
      </c>
      <c r="B604" s="18" t="s">
        <v>632</v>
      </c>
      <c r="C604" s="16" t="s">
        <v>167</v>
      </c>
      <c r="D604" s="16" t="s">
        <v>172</v>
      </c>
      <c r="E604" s="16">
        <v>28</v>
      </c>
    </row>
    <row r="605" spans="1:5" ht="13" x14ac:dyDescent="0.3">
      <c r="A605" s="16">
        <v>340</v>
      </c>
      <c r="B605" s="18" t="s">
        <v>630</v>
      </c>
      <c r="C605" s="16" t="s">
        <v>167</v>
      </c>
      <c r="D605" s="16" t="s">
        <v>172</v>
      </c>
      <c r="E605" s="16">
        <v>21</v>
      </c>
    </row>
    <row r="606" spans="1:5" ht="13" x14ac:dyDescent="0.3">
      <c r="A606" s="16">
        <v>341</v>
      </c>
      <c r="B606" s="18" t="s">
        <v>630</v>
      </c>
      <c r="C606" s="16" t="s">
        <v>167</v>
      </c>
      <c r="D606" s="16" t="s">
        <v>172</v>
      </c>
      <c r="E606" s="16">
        <v>19</v>
      </c>
    </row>
    <row r="607" spans="1:5" ht="13" x14ac:dyDescent="0.3">
      <c r="A607" s="16">
        <v>342</v>
      </c>
      <c r="B607" s="18" t="s">
        <v>633</v>
      </c>
      <c r="C607" s="16" t="s">
        <v>167</v>
      </c>
      <c r="D607" s="16" t="s">
        <v>172</v>
      </c>
      <c r="E607" s="16">
        <v>21</v>
      </c>
    </row>
    <row r="608" spans="1:5" ht="13" x14ac:dyDescent="0.3">
      <c r="A608" s="16">
        <v>343</v>
      </c>
      <c r="B608" s="18" t="s">
        <v>630</v>
      </c>
      <c r="C608" s="16" t="s">
        <v>167</v>
      </c>
      <c r="D608" s="16" t="s">
        <v>172</v>
      </c>
      <c r="E608" s="16">
        <v>29</v>
      </c>
    </row>
    <row r="609" spans="1:5" ht="13" x14ac:dyDescent="0.3">
      <c r="A609" s="16">
        <v>344</v>
      </c>
      <c r="B609" s="18" t="s">
        <v>631</v>
      </c>
      <c r="C609" s="16" t="s">
        <v>167</v>
      </c>
      <c r="D609" s="16" t="s">
        <v>172</v>
      </c>
      <c r="E609" s="16">
        <v>30</v>
      </c>
    </row>
    <row r="610" spans="1:5" ht="13" x14ac:dyDescent="0.3">
      <c r="A610" s="16">
        <v>345</v>
      </c>
      <c r="B610" s="18" t="s">
        <v>630</v>
      </c>
      <c r="C610" s="16" t="s">
        <v>167</v>
      </c>
      <c r="D610" s="16" t="s">
        <v>172</v>
      </c>
      <c r="E610" s="16">
        <v>28</v>
      </c>
    </row>
    <row r="611" spans="1:5" ht="13" x14ac:dyDescent="0.3">
      <c r="A611" s="16">
        <v>346</v>
      </c>
      <c r="B611" s="18" t="s">
        <v>634</v>
      </c>
      <c r="C611" s="16" t="s">
        <v>167</v>
      </c>
      <c r="D611" s="16" t="s">
        <v>172</v>
      </c>
      <c r="E611" s="18">
        <v>41</v>
      </c>
    </row>
    <row r="612" spans="1:5" ht="13" x14ac:dyDescent="0.3">
      <c r="A612" s="16">
        <v>347</v>
      </c>
      <c r="B612" s="18" t="s">
        <v>634</v>
      </c>
      <c r="C612" s="16" t="s">
        <v>167</v>
      </c>
      <c r="D612" s="18" t="s">
        <v>364</v>
      </c>
      <c r="E612" s="18">
        <v>16</v>
      </c>
    </row>
    <row r="613" spans="1:5" ht="13" x14ac:dyDescent="0.3">
      <c r="A613" s="16">
        <v>348</v>
      </c>
      <c r="B613" s="18" t="s">
        <v>635</v>
      </c>
      <c r="C613" s="16" t="s">
        <v>167</v>
      </c>
      <c r="D613" s="18" t="s">
        <v>364</v>
      </c>
      <c r="E613" s="18">
        <v>18</v>
      </c>
    </row>
    <row r="614" spans="1:5" ht="13" x14ac:dyDescent="0.3">
      <c r="A614" s="16">
        <v>349</v>
      </c>
      <c r="B614" s="18" t="s">
        <v>636</v>
      </c>
      <c r="C614" s="16" t="s">
        <v>167</v>
      </c>
      <c r="D614" s="18" t="s">
        <v>364</v>
      </c>
      <c r="E614" s="18">
        <v>24</v>
      </c>
    </row>
    <row r="615" spans="1:5" ht="13" x14ac:dyDescent="0.3">
      <c r="A615" s="16">
        <v>350</v>
      </c>
      <c r="B615" s="18" t="s">
        <v>637</v>
      </c>
      <c r="C615" s="16" t="s">
        <v>167</v>
      </c>
      <c r="D615" s="18" t="s">
        <v>364</v>
      </c>
      <c r="E615" s="18">
        <v>27</v>
      </c>
    </row>
    <row r="616" spans="1:5" ht="13" x14ac:dyDescent="0.3">
      <c r="A616" s="16">
        <v>351</v>
      </c>
      <c r="B616" s="18" t="s">
        <v>634</v>
      </c>
      <c r="C616" s="16" t="s">
        <v>167</v>
      </c>
      <c r="D616" s="18" t="s">
        <v>364</v>
      </c>
      <c r="E616" s="18">
        <v>21</v>
      </c>
    </row>
    <row r="617" spans="1:5" ht="13" x14ac:dyDescent="0.3">
      <c r="A617" s="16">
        <v>352</v>
      </c>
      <c r="B617" s="18" t="s">
        <v>635</v>
      </c>
      <c r="C617" s="16" t="s">
        <v>167</v>
      </c>
      <c r="D617" s="18" t="s">
        <v>364</v>
      </c>
      <c r="E617" s="18">
        <v>27</v>
      </c>
    </row>
    <row r="618" spans="1:5" ht="13" x14ac:dyDescent="0.3">
      <c r="A618" s="16">
        <v>353</v>
      </c>
      <c r="B618" s="18" t="s">
        <v>636</v>
      </c>
      <c r="C618" s="16" t="s">
        <v>167</v>
      </c>
      <c r="D618" s="18" t="s">
        <v>364</v>
      </c>
      <c r="E618" s="18">
        <v>16</v>
      </c>
    </row>
    <row r="619" spans="1:5" ht="13" x14ac:dyDescent="0.3">
      <c r="A619" s="16">
        <v>354</v>
      </c>
      <c r="B619" s="18" t="s">
        <v>635</v>
      </c>
      <c r="C619" s="16" t="s">
        <v>167</v>
      </c>
      <c r="D619" s="18" t="s">
        <v>364</v>
      </c>
      <c r="E619" s="18">
        <v>30</v>
      </c>
    </row>
    <row r="620" spans="1:5" ht="13" x14ac:dyDescent="0.3">
      <c r="A620" s="16">
        <v>355</v>
      </c>
      <c r="B620" s="18" t="s">
        <v>635</v>
      </c>
      <c r="C620" s="16" t="s">
        <v>167</v>
      </c>
      <c r="D620" s="18" t="s">
        <v>364</v>
      </c>
      <c r="E620" s="18">
        <v>18</v>
      </c>
    </row>
    <row r="621" spans="1:5" ht="13" x14ac:dyDescent="0.3">
      <c r="A621" s="16">
        <v>356</v>
      </c>
      <c r="B621" s="18" t="s">
        <v>635</v>
      </c>
      <c r="C621" s="16" t="s">
        <v>167</v>
      </c>
      <c r="D621" s="18" t="s">
        <v>364</v>
      </c>
      <c r="E621" s="18">
        <v>23</v>
      </c>
    </row>
    <row r="622" spans="1:5" ht="13" x14ac:dyDescent="0.3">
      <c r="A622" s="16">
        <v>357</v>
      </c>
      <c r="B622" s="18" t="s">
        <v>634</v>
      </c>
      <c r="C622" s="16" t="s">
        <v>167</v>
      </c>
      <c r="D622" s="18" t="s">
        <v>364</v>
      </c>
      <c r="E622" s="18">
        <v>21</v>
      </c>
    </row>
    <row r="623" spans="1:5" ht="13" x14ac:dyDescent="0.3">
      <c r="A623" s="16">
        <v>358</v>
      </c>
      <c r="B623" s="18" t="s">
        <v>635</v>
      </c>
      <c r="C623" s="16" t="s">
        <v>167</v>
      </c>
      <c r="D623" s="18" t="s">
        <v>172</v>
      </c>
      <c r="E623" s="18">
        <v>38</v>
      </c>
    </row>
    <row r="624" spans="1:5" ht="13" x14ac:dyDescent="0.3">
      <c r="A624" s="16">
        <v>359</v>
      </c>
      <c r="B624" s="18" t="s">
        <v>635</v>
      </c>
      <c r="C624" s="16" t="s">
        <v>167</v>
      </c>
      <c r="D624" s="18" t="s">
        <v>172</v>
      </c>
      <c r="E624" s="18">
        <v>33</v>
      </c>
    </row>
    <row r="625" spans="1:5" ht="13" x14ac:dyDescent="0.3">
      <c r="A625" s="16">
        <v>360</v>
      </c>
      <c r="B625" s="18" t="s">
        <v>636</v>
      </c>
      <c r="C625" s="16" t="s">
        <v>167</v>
      </c>
      <c r="D625" s="18" t="s">
        <v>172</v>
      </c>
      <c r="E625" s="18">
        <v>25</v>
      </c>
    </row>
    <row r="626" spans="1:5" ht="13" x14ac:dyDescent="0.3">
      <c r="A626" s="16">
        <v>361</v>
      </c>
      <c r="B626" s="18" t="s">
        <v>635</v>
      </c>
      <c r="C626" s="16" t="s">
        <v>167</v>
      </c>
      <c r="D626" s="18" t="s">
        <v>172</v>
      </c>
      <c r="E626" s="18">
        <v>24</v>
      </c>
    </row>
    <row r="627" spans="1:5" ht="13" x14ac:dyDescent="0.3">
      <c r="A627" s="16">
        <v>362</v>
      </c>
      <c r="B627" s="18" t="s">
        <v>635</v>
      </c>
      <c r="C627" s="16" t="s">
        <v>167</v>
      </c>
      <c r="D627" s="18" t="s">
        <v>172</v>
      </c>
      <c r="E627" s="18">
        <v>20</v>
      </c>
    </row>
    <row r="628" spans="1:5" ht="13" x14ac:dyDescent="0.3">
      <c r="A628" s="16">
        <v>363</v>
      </c>
      <c r="B628" s="18" t="s">
        <v>634</v>
      </c>
      <c r="C628" s="16" t="s">
        <v>167</v>
      </c>
      <c r="D628" s="18" t="s">
        <v>172</v>
      </c>
      <c r="E628" s="18">
        <v>29</v>
      </c>
    </row>
  </sheetData>
  <mergeCells count="8">
    <mergeCell ref="A1:E1"/>
    <mergeCell ref="N6:N8"/>
    <mergeCell ref="H61:H80"/>
    <mergeCell ref="I17:L17"/>
    <mergeCell ref="N17:O17"/>
    <mergeCell ref="L5:M5"/>
    <mergeCell ref="H3:Q3"/>
    <mergeCell ref="H1:Y1"/>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27"/>
  <sheetViews>
    <sheetView tabSelected="1" topLeftCell="N1" zoomScale="78" zoomScaleNormal="78" workbookViewId="0">
      <pane ySplit="1" topLeftCell="A2" activePane="bottomLeft" state="frozen"/>
      <selection activeCell="A257" sqref="A257:XFD257"/>
      <selection pane="bottomLeft" activeCell="A5" sqref="A5"/>
    </sheetView>
  </sheetViews>
  <sheetFormatPr baseColWidth="10" defaultRowHeight="12.5" x14ac:dyDescent="0.25"/>
  <cols>
    <col min="1" max="1" width="14.08984375" customWidth="1"/>
    <col min="2" max="2" width="10.90625" customWidth="1"/>
    <col min="3" max="3" width="9.36328125" customWidth="1"/>
    <col min="4" max="4" width="7.453125" customWidth="1"/>
    <col min="5" max="5" width="10.08984375" customWidth="1"/>
    <col min="6" max="6" width="19.08984375" customWidth="1"/>
    <col min="7" max="7" width="10.6328125" customWidth="1"/>
    <col min="8" max="8" width="14.90625" customWidth="1"/>
    <col min="9" max="9" width="35.81640625" customWidth="1"/>
    <col min="10" max="10" width="38.36328125" customWidth="1"/>
    <col min="11" max="11" width="25.81640625" customWidth="1"/>
    <col min="12" max="12" width="22.90625" customWidth="1"/>
    <col min="13" max="13" width="15.36328125" customWidth="1"/>
    <col min="14" max="14" width="27" customWidth="1"/>
    <col min="15" max="15" width="23.54296875" customWidth="1"/>
    <col min="16" max="16" width="23.6328125" customWidth="1"/>
    <col min="17" max="17" width="25.36328125" customWidth="1"/>
    <col min="18" max="18" width="18.36328125" customWidth="1"/>
    <col min="19" max="19" width="23" customWidth="1"/>
    <col min="20" max="20" width="24.6328125" customWidth="1"/>
    <col min="21" max="21" width="23.90625" customWidth="1"/>
    <col min="22" max="22" width="21" customWidth="1"/>
    <col min="23" max="23" width="42.453125" customWidth="1"/>
  </cols>
  <sheetData>
    <row r="1" spans="1:32" s="4" customFormat="1" ht="62.5" x14ac:dyDescent="0.25">
      <c r="A1" s="4" t="s">
        <v>0</v>
      </c>
      <c r="B1" s="4" t="s">
        <v>1</v>
      </c>
      <c r="C1" s="4" t="s">
        <v>2</v>
      </c>
      <c r="D1" s="4" t="s">
        <v>3</v>
      </c>
      <c r="E1" s="4" t="s">
        <v>4</v>
      </c>
      <c r="F1" s="4" t="s">
        <v>5</v>
      </c>
      <c r="G1" s="4" t="s">
        <v>6</v>
      </c>
      <c r="H1" s="4" t="s">
        <v>7</v>
      </c>
      <c r="I1" s="4" t="s">
        <v>187</v>
      </c>
      <c r="J1" s="4" t="s">
        <v>363</v>
      </c>
      <c r="K1" s="4" t="s">
        <v>170</v>
      </c>
      <c r="L1" s="4" t="s">
        <v>175</v>
      </c>
      <c r="M1" s="4" t="s">
        <v>366</v>
      </c>
      <c r="N1" s="4" t="s">
        <v>365</v>
      </c>
      <c r="O1" s="4" t="s">
        <v>8</v>
      </c>
      <c r="P1" s="4" t="s">
        <v>9</v>
      </c>
      <c r="Q1" s="4" t="s">
        <v>10</v>
      </c>
      <c r="R1" s="4" t="s">
        <v>11</v>
      </c>
      <c r="S1" s="4" t="s">
        <v>12</v>
      </c>
      <c r="T1" s="4" t="s">
        <v>13</v>
      </c>
      <c r="U1" s="4" t="s">
        <v>14</v>
      </c>
      <c r="V1" s="4" t="s">
        <v>15</v>
      </c>
      <c r="W1" s="4" t="s">
        <v>16</v>
      </c>
      <c r="X1" s="4" t="s">
        <v>17</v>
      </c>
      <c r="Y1" s="4" t="s">
        <v>18</v>
      </c>
      <c r="Z1" s="4" t="s">
        <v>19</v>
      </c>
      <c r="AA1" s="4" t="s">
        <v>18</v>
      </c>
      <c r="AB1" s="4" t="s">
        <v>20</v>
      </c>
      <c r="AC1" s="4" t="s">
        <v>21</v>
      </c>
      <c r="AD1" s="4" t="s">
        <v>18</v>
      </c>
      <c r="AE1" s="4" t="s">
        <v>22</v>
      </c>
      <c r="AF1" s="4" t="s">
        <v>23</v>
      </c>
    </row>
    <row r="2" spans="1:32" s="10" customFormat="1" ht="17" customHeight="1" x14ac:dyDescent="0.25">
      <c r="A2" s="71" t="s">
        <v>834</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row>
    <row r="3" spans="1:32" x14ac:dyDescent="0.25">
      <c r="A3">
        <v>1</v>
      </c>
      <c r="B3" t="s">
        <v>24</v>
      </c>
      <c r="C3">
        <v>3</v>
      </c>
      <c r="D3" t="s">
        <v>25</v>
      </c>
      <c r="E3">
        <v>1563987535</v>
      </c>
      <c r="F3" t="s">
        <v>26</v>
      </c>
      <c r="G3" t="s">
        <v>24</v>
      </c>
      <c r="H3" t="s">
        <v>27</v>
      </c>
      <c r="J3" t="s">
        <v>55</v>
      </c>
      <c r="O3" t="s">
        <v>30</v>
      </c>
      <c r="P3" t="s">
        <v>30</v>
      </c>
      <c r="Q3" t="s">
        <v>30</v>
      </c>
      <c r="R3" t="s">
        <v>29</v>
      </c>
      <c r="S3" t="s">
        <v>33</v>
      </c>
      <c r="T3" t="s">
        <v>33</v>
      </c>
      <c r="U3" t="s">
        <v>44</v>
      </c>
      <c r="V3" t="s">
        <v>44</v>
      </c>
      <c r="X3">
        <v>58.03</v>
      </c>
      <c r="Y3">
        <v>5.89</v>
      </c>
      <c r="AA3">
        <v>28.33</v>
      </c>
      <c r="AD3">
        <v>23.81</v>
      </c>
    </row>
    <row r="4" spans="1:32" x14ac:dyDescent="0.25">
      <c r="A4">
        <v>2</v>
      </c>
      <c r="B4" t="s">
        <v>34</v>
      </c>
      <c r="C4">
        <v>3</v>
      </c>
      <c r="D4" t="s">
        <v>25</v>
      </c>
      <c r="E4">
        <v>854807075</v>
      </c>
      <c r="F4" t="s">
        <v>35</v>
      </c>
      <c r="G4" t="s">
        <v>34</v>
      </c>
      <c r="H4" t="s">
        <v>36</v>
      </c>
      <c r="J4" t="s">
        <v>55</v>
      </c>
      <c r="O4" t="s">
        <v>30</v>
      </c>
      <c r="P4" t="s">
        <v>29</v>
      </c>
      <c r="Q4" t="s">
        <v>29</v>
      </c>
      <c r="R4" t="s">
        <v>29</v>
      </c>
      <c r="S4" t="s">
        <v>31</v>
      </c>
      <c r="T4" t="s">
        <v>31</v>
      </c>
      <c r="U4" t="s">
        <v>32</v>
      </c>
      <c r="V4" t="s">
        <v>32</v>
      </c>
      <c r="X4">
        <v>34.89</v>
      </c>
      <c r="Y4">
        <v>5.0999999999999996</v>
      </c>
      <c r="AA4">
        <v>14.42</v>
      </c>
      <c r="AD4">
        <v>15.37</v>
      </c>
    </row>
    <row r="5" spans="1:32" x14ac:dyDescent="0.25">
      <c r="A5">
        <v>32</v>
      </c>
      <c r="C5">
        <v>-1</v>
      </c>
      <c r="D5" t="s">
        <v>25</v>
      </c>
      <c r="E5">
        <v>555832202</v>
      </c>
      <c r="F5" t="s">
        <v>37</v>
      </c>
      <c r="G5" t="s">
        <v>38</v>
      </c>
      <c r="H5" t="s">
        <v>39</v>
      </c>
      <c r="J5" t="s">
        <v>55</v>
      </c>
      <c r="O5" t="s">
        <v>29</v>
      </c>
      <c r="P5" t="s">
        <v>29</v>
      </c>
      <c r="Q5" t="s">
        <v>29</v>
      </c>
      <c r="R5" t="s">
        <v>29</v>
      </c>
      <c r="S5" t="s">
        <v>33</v>
      </c>
      <c r="T5" t="s">
        <v>33</v>
      </c>
      <c r="U5" t="s">
        <v>32</v>
      </c>
      <c r="V5" t="s">
        <v>32</v>
      </c>
      <c r="X5">
        <v>78.2</v>
      </c>
      <c r="Y5">
        <v>29.55</v>
      </c>
      <c r="AA5">
        <v>48.65</v>
      </c>
    </row>
    <row r="6" spans="1:32" x14ac:dyDescent="0.25">
      <c r="A6">
        <v>35</v>
      </c>
      <c r="B6" t="s">
        <v>41</v>
      </c>
      <c r="C6">
        <v>3</v>
      </c>
      <c r="D6" t="s">
        <v>25</v>
      </c>
      <c r="E6">
        <v>550164475</v>
      </c>
      <c r="F6" t="s">
        <v>42</v>
      </c>
      <c r="G6" t="s">
        <v>41</v>
      </c>
      <c r="H6" t="s">
        <v>43</v>
      </c>
      <c r="J6" t="s">
        <v>55</v>
      </c>
      <c r="O6" t="s">
        <v>30</v>
      </c>
      <c r="P6" t="s">
        <v>48</v>
      </c>
      <c r="Q6" t="s">
        <v>75</v>
      </c>
      <c r="R6" t="s">
        <v>75</v>
      </c>
      <c r="S6" t="s">
        <v>32</v>
      </c>
      <c r="T6" t="s">
        <v>44</v>
      </c>
      <c r="U6" t="s">
        <v>32</v>
      </c>
      <c r="V6" t="s">
        <v>44</v>
      </c>
      <c r="X6">
        <v>91.43</v>
      </c>
      <c r="Y6">
        <v>16.32</v>
      </c>
      <c r="AA6">
        <v>38.270000000000003</v>
      </c>
      <c r="AD6">
        <v>36.840000000000003</v>
      </c>
    </row>
    <row r="7" spans="1:32" x14ac:dyDescent="0.25">
      <c r="A7">
        <v>36</v>
      </c>
      <c r="B7" t="s">
        <v>45</v>
      </c>
      <c r="C7">
        <v>3</v>
      </c>
      <c r="D7" t="s">
        <v>25</v>
      </c>
      <c r="E7">
        <v>1508978235</v>
      </c>
      <c r="F7" t="s">
        <v>46</v>
      </c>
      <c r="G7" t="s">
        <v>45</v>
      </c>
      <c r="H7" t="s">
        <v>47</v>
      </c>
      <c r="J7" t="s">
        <v>55</v>
      </c>
      <c r="O7" t="s">
        <v>30</v>
      </c>
      <c r="Q7" t="s">
        <v>48</v>
      </c>
      <c r="R7" t="s">
        <v>75</v>
      </c>
      <c r="S7" t="s">
        <v>32</v>
      </c>
      <c r="T7" t="s">
        <v>32</v>
      </c>
      <c r="U7" t="s">
        <v>32</v>
      </c>
      <c r="V7" t="s">
        <v>32</v>
      </c>
      <c r="X7">
        <v>98.16</v>
      </c>
      <c r="Y7">
        <v>18.079999999999998</v>
      </c>
      <c r="AA7">
        <v>54.43</v>
      </c>
      <c r="AD7">
        <v>25.65</v>
      </c>
    </row>
    <row r="8" spans="1:32" x14ac:dyDescent="0.25">
      <c r="A8">
        <v>37</v>
      </c>
      <c r="B8" t="s">
        <v>49</v>
      </c>
      <c r="C8">
        <v>3</v>
      </c>
      <c r="D8" t="s">
        <v>25</v>
      </c>
      <c r="E8">
        <v>432771950</v>
      </c>
      <c r="F8" t="s">
        <v>50</v>
      </c>
      <c r="G8" t="s">
        <v>49</v>
      </c>
      <c r="H8" t="s">
        <v>51</v>
      </c>
      <c r="J8" t="s">
        <v>55</v>
      </c>
      <c r="O8" t="s">
        <v>30</v>
      </c>
      <c r="P8" t="s">
        <v>30</v>
      </c>
      <c r="Q8" t="s">
        <v>29</v>
      </c>
      <c r="R8" t="s">
        <v>29</v>
      </c>
      <c r="S8" t="s">
        <v>33</v>
      </c>
      <c r="T8" t="s">
        <v>33</v>
      </c>
      <c r="U8" t="s">
        <v>44</v>
      </c>
      <c r="V8" t="s">
        <v>33</v>
      </c>
      <c r="X8">
        <v>68.64</v>
      </c>
      <c r="Y8">
        <v>15.93</v>
      </c>
      <c r="AA8">
        <v>32.5</v>
      </c>
      <c r="AD8">
        <v>20.21</v>
      </c>
    </row>
    <row r="9" spans="1:32" x14ac:dyDescent="0.25">
      <c r="A9">
        <v>40</v>
      </c>
      <c r="B9" t="s">
        <v>52</v>
      </c>
      <c r="C9">
        <v>3</v>
      </c>
      <c r="D9" t="s">
        <v>25</v>
      </c>
      <c r="E9">
        <v>982860816</v>
      </c>
      <c r="F9" t="s">
        <v>53</v>
      </c>
      <c r="G9" t="s">
        <v>52</v>
      </c>
      <c r="H9" t="s">
        <v>54</v>
      </c>
      <c r="J9" t="s">
        <v>55</v>
      </c>
      <c r="O9" t="s">
        <v>30</v>
      </c>
      <c r="P9" t="s">
        <v>30</v>
      </c>
      <c r="Q9" t="s">
        <v>30</v>
      </c>
      <c r="R9" t="s">
        <v>30</v>
      </c>
      <c r="S9" t="s">
        <v>32</v>
      </c>
      <c r="T9" t="s">
        <v>44</v>
      </c>
      <c r="U9" t="s">
        <v>33</v>
      </c>
      <c r="V9" t="s">
        <v>33</v>
      </c>
      <c r="X9">
        <v>122.12</v>
      </c>
      <c r="Y9">
        <v>27.93</v>
      </c>
      <c r="AA9">
        <v>48.58</v>
      </c>
      <c r="AD9">
        <v>45.61</v>
      </c>
    </row>
    <row r="10" spans="1:32" x14ac:dyDescent="0.25">
      <c r="A10">
        <v>41</v>
      </c>
      <c r="B10" t="s">
        <v>56</v>
      </c>
      <c r="C10">
        <v>3</v>
      </c>
      <c r="D10" t="s">
        <v>25</v>
      </c>
      <c r="E10">
        <v>1529474567</v>
      </c>
      <c r="F10" t="s">
        <v>57</v>
      </c>
      <c r="G10" t="s">
        <v>56</v>
      </c>
      <c r="H10" t="s">
        <v>58</v>
      </c>
      <c r="J10" t="s">
        <v>55</v>
      </c>
      <c r="O10" t="s">
        <v>29</v>
      </c>
      <c r="P10" t="s">
        <v>29</v>
      </c>
      <c r="Q10" t="s">
        <v>29</v>
      </c>
      <c r="R10" t="s">
        <v>29</v>
      </c>
      <c r="S10" t="s">
        <v>44</v>
      </c>
      <c r="T10" t="s">
        <v>33</v>
      </c>
      <c r="U10" t="s">
        <v>33</v>
      </c>
      <c r="V10" t="s">
        <v>31</v>
      </c>
      <c r="X10">
        <v>69.900000000000006</v>
      </c>
      <c r="Y10">
        <v>18.88</v>
      </c>
      <c r="AA10">
        <v>32.11</v>
      </c>
      <c r="AD10">
        <v>18.91</v>
      </c>
    </row>
    <row r="11" spans="1:32" x14ac:dyDescent="0.25">
      <c r="A11">
        <v>43</v>
      </c>
      <c r="B11" t="s">
        <v>59</v>
      </c>
      <c r="C11">
        <v>3</v>
      </c>
      <c r="D11" t="s">
        <v>25</v>
      </c>
      <c r="E11">
        <v>192561537</v>
      </c>
      <c r="F11" t="s">
        <v>60</v>
      </c>
      <c r="G11" t="s">
        <v>59</v>
      </c>
      <c r="H11" t="s">
        <v>61</v>
      </c>
      <c r="J11" t="s">
        <v>55</v>
      </c>
      <c r="O11" t="s">
        <v>30</v>
      </c>
      <c r="P11" t="s">
        <v>30</v>
      </c>
      <c r="Q11" t="s">
        <v>30</v>
      </c>
      <c r="R11" t="s">
        <v>30</v>
      </c>
      <c r="S11" t="s">
        <v>44</v>
      </c>
      <c r="T11" t="s">
        <v>44</v>
      </c>
      <c r="U11" t="s">
        <v>33</v>
      </c>
      <c r="V11" t="s">
        <v>33</v>
      </c>
      <c r="X11">
        <v>97.17</v>
      </c>
      <c r="Y11">
        <v>22.84</v>
      </c>
      <c r="AA11">
        <v>45.33</v>
      </c>
      <c r="AD11">
        <v>29</v>
      </c>
    </row>
    <row r="12" spans="1:32" x14ac:dyDescent="0.25">
      <c r="A12">
        <v>45</v>
      </c>
      <c r="B12" t="s">
        <v>62</v>
      </c>
      <c r="C12">
        <v>3</v>
      </c>
      <c r="D12" t="s">
        <v>25</v>
      </c>
      <c r="E12">
        <v>2113123015</v>
      </c>
      <c r="F12" t="s">
        <v>63</v>
      </c>
      <c r="G12" t="s">
        <v>62</v>
      </c>
      <c r="H12" t="s">
        <v>64</v>
      </c>
      <c r="J12" t="s">
        <v>55</v>
      </c>
      <c r="O12" t="s">
        <v>29</v>
      </c>
      <c r="P12" t="s">
        <v>29</v>
      </c>
      <c r="Q12" t="s">
        <v>29</v>
      </c>
      <c r="R12" t="s">
        <v>29</v>
      </c>
      <c r="S12" t="s">
        <v>44</v>
      </c>
      <c r="T12" t="s">
        <v>44</v>
      </c>
      <c r="U12" t="s">
        <v>44</v>
      </c>
      <c r="V12" t="s">
        <v>31</v>
      </c>
      <c r="X12">
        <v>58.94</v>
      </c>
      <c r="Y12">
        <v>10.220000000000001</v>
      </c>
      <c r="AA12">
        <v>24.29</v>
      </c>
      <c r="AD12">
        <v>24.43</v>
      </c>
    </row>
    <row r="13" spans="1:32" x14ac:dyDescent="0.25">
      <c r="A13">
        <v>47</v>
      </c>
      <c r="B13" t="s">
        <v>65</v>
      </c>
      <c r="C13">
        <v>3</v>
      </c>
      <c r="D13" t="s">
        <v>25</v>
      </c>
      <c r="E13">
        <v>1530057585</v>
      </c>
      <c r="F13" t="s">
        <v>66</v>
      </c>
      <c r="G13" t="s">
        <v>65</v>
      </c>
      <c r="H13" t="s">
        <v>67</v>
      </c>
      <c r="J13" t="s">
        <v>55</v>
      </c>
      <c r="O13" t="s">
        <v>29</v>
      </c>
      <c r="P13" t="s">
        <v>29</v>
      </c>
      <c r="Q13" t="s">
        <v>29</v>
      </c>
      <c r="R13" t="s">
        <v>29</v>
      </c>
      <c r="S13" t="s">
        <v>32</v>
      </c>
      <c r="T13" t="s">
        <v>33</v>
      </c>
      <c r="U13" t="s">
        <v>44</v>
      </c>
      <c r="V13" t="s">
        <v>44</v>
      </c>
      <c r="X13">
        <v>134.01</v>
      </c>
      <c r="Y13">
        <v>19.760000000000002</v>
      </c>
      <c r="AA13">
        <v>45.1</v>
      </c>
      <c r="AD13">
        <v>69.150000000000006</v>
      </c>
    </row>
    <row r="14" spans="1:32" x14ac:dyDescent="0.25">
      <c r="A14">
        <v>63</v>
      </c>
      <c r="B14" t="s">
        <v>68</v>
      </c>
      <c r="C14">
        <v>3</v>
      </c>
      <c r="D14" t="s">
        <v>25</v>
      </c>
      <c r="E14">
        <v>2033177864</v>
      </c>
      <c r="F14" t="s">
        <v>69</v>
      </c>
      <c r="G14" t="s">
        <v>68</v>
      </c>
      <c r="H14" t="s">
        <v>70</v>
      </c>
      <c r="J14" t="s">
        <v>55</v>
      </c>
      <c r="O14" t="s">
        <v>30</v>
      </c>
      <c r="P14" t="s">
        <v>29</v>
      </c>
      <c r="Q14" t="s">
        <v>30</v>
      </c>
      <c r="R14" t="s">
        <v>48</v>
      </c>
      <c r="S14" t="s">
        <v>44</v>
      </c>
      <c r="T14" t="s">
        <v>44</v>
      </c>
      <c r="U14" t="s">
        <v>33</v>
      </c>
      <c r="V14" t="s">
        <v>44</v>
      </c>
      <c r="X14">
        <v>66.77</v>
      </c>
      <c r="Y14">
        <v>10.59</v>
      </c>
      <c r="AA14">
        <v>34.03</v>
      </c>
      <c r="AD14">
        <v>22.15</v>
      </c>
    </row>
    <row r="15" spans="1:32" x14ac:dyDescent="0.25">
      <c r="A15">
        <v>69</v>
      </c>
      <c r="C15">
        <v>0</v>
      </c>
      <c r="D15" t="s">
        <v>25</v>
      </c>
      <c r="E15">
        <v>1388677885</v>
      </c>
      <c r="F15" t="s">
        <v>72</v>
      </c>
      <c r="G15" t="s">
        <v>73</v>
      </c>
      <c r="H15" t="s">
        <v>74</v>
      </c>
      <c r="J15" t="s">
        <v>55</v>
      </c>
      <c r="O15" t="s">
        <v>30</v>
      </c>
      <c r="P15" t="s">
        <v>30</v>
      </c>
      <c r="Q15" t="s">
        <v>30</v>
      </c>
      <c r="R15" t="s">
        <v>48</v>
      </c>
      <c r="S15" t="s">
        <v>44</v>
      </c>
      <c r="T15" t="s">
        <v>44</v>
      </c>
      <c r="U15" t="s">
        <v>33</v>
      </c>
      <c r="V15" t="s">
        <v>44</v>
      </c>
      <c r="X15">
        <v>204.7</v>
      </c>
      <c r="Y15">
        <v>102.92</v>
      </c>
      <c r="AA15">
        <v>51.07</v>
      </c>
      <c r="AD15">
        <v>50.71</v>
      </c>
    </row>
    <row r="16" spans="1:32" x14ac:dyDescent="0.25">
      <c r="A16">
        <v>70</v>
      </c>
      <c r="C16">
        <v>2</v>
      </c>
      <c r="D16" t="s">
        <v>25</v>
      </c>
      <c r="E16">
        <v>2116763425</v>
      </c>
      <c r="F16" t="s">
        <v>76</v>
      </c>
      <c r="G16" t="s">
        <v>77</v>
      </c>
      <c r="H16" t="s">
        <v>74</v>
      </c>
      <c r="J16" t="s">
        <v>55</v>
      </c>
      <c r="O16" t="s">
        <v>29</v>
      </c>
      <c r="P16" t="s">
        <v>29</v>
      </c>
      <c r="Q16" t="s">
        <v>29</v>
      </c>
      <c r="R16" t="s">
        <v>29</v>
      </c>
      <c r="S16" t="s">
        <v>44</v>
      </c>
      <c r="T16" t="s">
        <v>33</v>
      </c>
      <c r="U16" t="s">
        <v>32</v>
      </c>
      <c r="V16" t="s">
        <v>33</v>
      </c>
      <c r="X16">
        <v>16.09</v>
      </c>
      <c r="Y16">
        <v>7.8</v>
      </c>
      <c r="AA16">
        <v>8.2899999999999991</v>
      </c>
    </row>
    <row r="17" spans="1:30" x14ac:dyDescent="0.25">
      <c r="A17">
        <v>74</v>
      </c>
      <c r="B17" t="s">
        <v>78</v>
      </c>
      <c r="C17">
        <v>3</v>
      </c>
      <c r="D17" t="s">
        <v>25</v>
      </c>
      <c r="E17">
        <v>1970067598</v>
      </c>
      <c r="F17" t="s">
        <v>79</v>
      </c>
      <c r="G17" t="s">
        <v>78</v>
      </c>
      <c r="H17" t="s">
        <v>39</v>
      </c>
      <c r="J17" t="s">
        <v>55</v>
      </c>
      <c r="O17" t="s">
        <v>30</v>
      </c>
      <c r="P17" t="s">
        <v>29</v>
      </c>
      <c r="Q17" t="s">
        <v>30</v>
      </c>
      <c r="R17" t="s">
        <v>30</v>
      </c>
      <c r="S17" t="s">
        <v>33</v>
      </c>
      <c r="T17" t="s">
        <v>44</v>
      </c>
      <c r="U17" t="s">
        <v>33</v>
      </c>
      <c r="V17" t="s">
        <v>33</v>
      </c>
      <c r="X17">
        <v>1200.72</v>
      </c>
      <c r="Y17">
        <v>8.9700000000000006</v>
      </c>
      <c r="AA17">
        <v>55.67</v>
      </c>
      <c r="AD17">
        <v>1136.08</v>
      </c>
    </row>
    <row r="18" spans="1:30" x14ac:dyDescent="0.25">
      <c r="A18">
        <v>90</v>
      </c>
      <c r="B18" t="s">
        <v>80</v>
      </c>
      <c r="C18">
        <v>3</v>
      </c>
      <c r="D18" t="s">
        <v>25</v>
      </c>
      <c r="E18">
        <v>122961527</v>
      </c>
      <c r="F18" t="s">
        <v>81</v>
      </c>
      <c r="G18" t="s">
        <v>80</v>
      </c>
      <c r="H18" t="s">
        <v>39</v>
      </c>
      <c r="J18" t="s">
        <v>40</v>
      </c>
      <c r="O18" t="s">
        <v>30</v>
      </c>
      <c r="P18" t="s">
        <v>29</v>
      </c>
      <c r="Q18" t="s">
        <v>29</v>
      </c>
      <c r="R18" t="s">
        <v>29</v>
      </c>
      <c r="X18">
        <v>70.239999999999995</v>
      </c>
      <c r="Y18">
        <v>14.57</v>
      </c>
      <c r="AA18">
        <v>30.45</v>
      </c>
      <c r="AD18">
        <v>25.22</v>
      </c>
    </row>
    <row r="19" spans="1:30" x14ac:dyDescent="0.25">
      <c r="A19">
        <v>118</v>
      </c>
      <c r="B19" t="s">
        <v>82</v>
      </c>
      <c r="C19">
        <v>3</v>
      </c>
      <c r="D19" t="s">
        <v>25</v>
      </c>
      <c r="E19">
        <v>1425470140</v>
      </c>
      <c r="F19" t="s">
        <v>83</v>
      </c>
      <c r="G19" t="s">
        <v>82</v>
      </c>
      <c r="H19" t="s">
        <v>84</v>
      </c>
      <c r="J19" t="s">
        <v>40</v>
      </c>
      <c r="O19" t="s">
        <v>29</v>
      </c>
      <c r="P19" t="s">
        <v>29</v>
      </c>
      <c r="Q19" t="s">
        <v>29</v>
      </c>
      <c r="R19" t="s">
        <v>29</v>
      </c>
      <c r="S19" t="s">
        <v>33</v>
      </c>
      <c r="T19" t="s">
        <v>33</v>
      </c>
      <c r="U19" t="s">
        <v>32</v>
      </c>
      <c r="V19" t="s">
        <v>31</v>
      </c>
      <c r="X19">
        <v>87.16</v>
      </c>
      <c r="Y19">
        <v>27.2</v>
      </c>
      <c r="AA19">
        <v>51.71</v>
      </c>
      <c r="AD19">
        <v>8.25</v>
      </c>
    </row>
    <row r="20" spans="1:30" x14ac:dyDescent="0.25">
      <c r="A20">
        <v>122</v>
      </c>
      <c r="B20" t="s">
        <v>86</v>
      </c>
      <c r="C20">
        <v>3</v>
      </c>
      <c r="D20" t="s">
        <v>25</v>
      </c>
      <c r="E20">
        <v>275192394</v>
      </c>
      <c r="F20" t="s">
        <v>87</v>
      </c>
      <c r="G20" t="s">
        <v>86</v>
      </c>
      <c r="H20" t="s">
        <v>88</v>
      </c>
      <c r="J20" t="s">
        <v>40</v>
      </c>
      <c r="O20" t="s">
        <v>29</v>
      </c>
      <c r="P20" t="s">
        <v>30</v>
      </c>
      <c r="Q20" t="s">
        <v>30</v>
      </c>
      <c r="R20" t="s">
        <v>29</v>
      </c>
      <c r="S20" t="s">
        <v>33</v>
      </c>
      <c r="T20" t="s">
        <v>33</v>
      </c>
      <c r="U20" t="s">
        <v>44</v>
      </c>
      <c r="V20" t="s">
        <v>44</v>
      </c>
      <c r="X20">
        <v>72.41</v>
      </c>
      <c r="Y20">
        <v>7.03</v>
      </c>
      <c r="AA20">
        <v>34.090000000000003</v>
      </c>
      <c r="AD20">
        <v>31.29</v>
      </c>
    </row>
    <row r="21" spans="1:30" x14ac:dyDescent="0.25">
      <c r="A21">
        <v>123</v>
      </c>
      <c r="B21" t="s">
        <v>89</v>
      </c>
      <c r="C21">
        <v>3</v>
      </c>
      <c r="D21" t="s">
        <v>25</v>
      </c>
      <c r="E21">
        <v>741169223</v>
      </c>
      <c r="F21" t="s">
        <v>90</v>
      </c>
      <c r="G21" t="s">
        <v>89</v>
      </c>
      <c r="H21" t="s">
        <v>91</v>
      </c>
      <c r="J21" t="s">
        <v>40</v>
      </c>
      <c r="O21" t="s">
        <v>30</v>
      </c>
      <c r="P21" t="s">
        <v>29</v>
      </c>
      <c r="Q21" t="s">
        <v>29</v>
      </c>
      <c r="R21" t="s">
        <v>29</v>
      </c>
      <c r="X21">
        <v>64.09</v>
      </c>
      <c r="Y21">
        <v>8.11</v>
      </c>
      <c r="AA21">
        <v>30.09</v>
      </c>
      <c r="AD21">
        <v>25.89</v>
      </c>
    </row>
    <row r="22" spans="1:30" x14ac:dyDescent="0.25">
      <c r="A22">
        <v>124</v>
      </c>
      <c r="C22">
        <v>0</v>
      </c>
      <c r="D22" t="s">
        <v>25</v>
      </c>
      <c r="E22">
        <v>1218833535</v>
      </c>
      <c r="F22" t="s">
        <v>92</v>
      </c>
      <c r="G22" t="s">
        <v>93</v>
      </c>
      <c r="H22" t="s">
        <v>94</v>
      </c>
      <c r="J22" t="s">
        <v>40</v>
      </c>
      <c r="O22" t="s">
        <v>29</v>
      </c>
      <c r="P22" t="s">
        <v>29</v>
      </c>
      <c r="Q22" t="s">
        <v>29</v>
      </c>
      <c r="R22" t="s">
        <v>29</v>
      </c>
      <c r="S22" t="s">
        <v>31</v>
      </c>
      <c r="T22" t="s">
        <v>31</v>
      </c>
      <c r="U22" t="s">
        <v>32</v>
      </c>
      <c r="V22" t="s">
        <v>33</v>
      </c>
      <c r="X22">
        <v>27.62</v>
      </c>
      <c r="Y22">
        <v>18.95</v>
      </c>
      <c r="AA22">
        <v>8.67</v>
      </c>
    </row>
    <row r="23" spans="1:30" x14ac:dyDescent="0.25">
      <c r="A23">
        <v>125</v>
      </c>
      <c r="B23" t="s">
        <v>95</v>
      </c>
      <c r="C23">
        <v>3</v>
      </c>
      <c r="D23" t="s">
        <v>25</v>
      </c>
      <c r="E23">
        <v>1426410109</v>
      </c>
      <c r="F23" t="s">
        <v>96</v>
      </c>
      <c r="G23" t="s">
        <v>95</v>
      </c>
      <c r="H23" t="s">
        <v>97</v>
      </c>
      <c r="J23" t="s">
        <v>40</v>
      </c>
      <c r="O23" t="s">
        <v>29</v>
      </c>
      <c r="P23" t="s">
        <v>29</v>
      </c>
      <c r="Q23" t="s">
        <v>29</v>
      </c>
      <c r="R23" t="s">
        <v>30</v>
      </c>
      <c r="S23" t="s">
        <v>33</v>
      </c>
      <c r="T23" t="s">
        <v>33</v>
      </c>
      <c r="U23" t="s">
        <v>44</v>
      </c>
      <c r="V23" t="s">
        <v>33</v>
      </c>
      <c r="X23">
        <v>112.46</v>
      </c>
      <c r="Y23">
        <v>11.1</v>
      </c>
      <c r="AA23">
        <v>64.599999999999994</v>
      </c>
      <c r="AD23">
        <v>36.76</v>
      </c>
    </row>
    <row r="24" spans="1:30" x14ac:dyDescent="0.25">
      <c r="A24">
        <v>126</v>
      </c>
      <c r="C24">
        <v>2</v>
      </c>
      <c r="D24" t="s">
        <v>25</v>
      </c>
      <c r="E24">
        <v>1554726297</v>
      </c>
      <c r="F24" t="s">
        <v>98</v>
      </c>
      <c r="G24" t="s">
        <v>99</v>
      </c>
      <c r="H24" t="s">
        <v>85</v>
      </c>
      <c r="J24" t="s">
        <v>40</v>
      </c>
      <c r="O24" t="s">
        <v>29</v>
      </c>
      <c r="P24" t="s">
        <v>29</v>
      </c>
      <c r="Q24" t="s">
        <v>29</v>
      </c>
      <c r="R24" t="s">
        <v>29</v>
      </c>
      <c r="S24" t="s">
        <v>33</v>
      </c>
      <c r="T24" t="s">
        <v>33</v>
      </c>
      <c r="U24" t="s">
        <v>44</v>
      </c>
      <c r="V24" t="s">
        <v>31</v>
      </c>
      <c r="X24">
        <v>51.87</v>
      </c>
      <c r="Y24">
        <v>15.05</v>
      </c>
      <c r="AA24">
        <v>36.82</v>
      </c>
    </row>
    <row r="25" spans="1:30" x14ac:dyDescent="0.25">
      <c r="A25">
        <v>127</v>
      </c>
      <c r="B25" t="s">
        <v>100</v>
      </c>
      <c r="C25">
        <v>3</v>
      </c>
      <c r="D25" t="s">
        <v>25</v>
      </c>
      <c r="E25">
        <v>1632574063</v>
      </c>
      <c r="F25" t="s">
        <v>101</v>
      </c>
      <c r="G25" t="s">
        <v>100</v>
      </c>
      <c r="H25" t="s">
        <v>102</v>
      </c>
      <c r="J25" t="s">
        <v>71</v>
      </c>
      <c r="O25" t="s">
        <v>30</v>
      </c>
      <c r="P25" t="s">
        <v>30</v>
      </c>
      <c r="Q25" t="s">
        <v>48</v>
      </c>
      <c r="R25" t="s">
        <v>48</v>
      </c>
      <c r="S25" t="s">
        <v>32</v>
      </c>
      <c r="T25" t="s">
        <v>44</v>
      </c>
      <c r="U25" t="s">
        <v>33</v>
      </c>
      <c r="V25" t="s">
        <v>33</v>
      </c>
      <c r="X25">
        <v>78.989999999999995</v>
      </c>
      <c r="Y25">
        <v>10.210000000000001</v>
      </c>
      <c r="AA25">
        <v>40.200000000000003</v>
      </c>
      <c r="AD25">
        <v>28.58</v>
      </c>
    </row>
    <row r="26" spans="1:30" x14ac:dyDescent="0.25">
      <c r="A26">
        <v>134</v>
      </c>
      <c r="B26" t="s">
        <v>103</v>
      </c>
      <c r="C26">
        <v>3</v>
      </c>
      <c r="D26" t="s">
        <v>25</v>
      </c>
      <c r="E26">
        <v>885353617</v>
      </c>
      <c r="F26" t="s">
        <v>104</v>
      </c>
      <c r="G26" t="s">
        <v>103</v>
      </c>
      <c r="H26" t="s">
        <v>105</v>
      </c>
      <c r="J26" t="s">
        <v>71</v>
      </c>
      <c r="O26" t="s">
        <v>75</v>
      </c>
      <c r="P26" t="s">
        <v>29</v>
      </c>
      <c r="Q26" t="s">
        <v>29</v>
      </c>
      <c r="R26" t="s">
        <v>75</v>
      </c>
      <c r="S26" t="s">
        <v>44</v>
      </c>
      <c r="T26" t="s">
        <v>44</v>
      </c>
      <c r="U26" t="s">
        <v>33</v>
      </c>
      <c r="V26" t="s">
        <v>31</v>
      </c>
      <c r="X26">
        <v>83.41</v>
      </c>
      <c r="Y26">
        <v>14.18</v>
      </c>
      <c r="AA26">
        <v>38.71</v>
      </c>
      <c r="AD26">
        <v>30.52</v>
      </c>
    </row>
    <row r="27" spans="1:30" x14ac:dyDescent="0.25">
      <c r="A27">
        <v>137</v>
      </c>
      <c r="C27">
        <v>2</v>
      </c>
      <c r="D27" t="s">
        <v>25</v>
      </c>
      <c r="E27">
        <v>1532558722</v>
      </c>
      <c r="F27" t="s">
        <v>106</v>
      </c>
      <c r="G27" t="s">
        <v>107</v>
      </c>
      <c r="H27" t="s">
        <v>108</v>
      </c>
      <c r="J27" t="s">
        <v>71</v>
      </c>
      <c r="O27" t="s">
        <v>48</v>
      </c>
      <c r="P27" t="s">
        <v>29</v>
      </c>
      <c r="Q27" t="s">
        <v>30</v>
      </c>
      <c r="R27" t="s">
        <v>75</v>
      </c>
      <c r="S27" t="s">
        <v>32</v>
      </c>
      <c r="T27" t="s">
        <v>32</v>
      </c>
      <c r="U27" t="s">
        <v>31</v>
      </c>
      <c r="V27" t="s">
        <v>44</v>
      </c>
      <c r="X27">
        <v>82.68</v>
      </c>
      <c r="Y27">
        <v>48.09</v>
      </c>
      <c r="AA27">
        <v>34.590000000000003</v>
      </c>
    </row>
    <row r="28" spans="1:30" x14ac:dyDescent="0.25">
      <c r="A28">
        <v>138</v>
      </c>
      <c r="B28" t="s">
        <v>109</v>
      </c>
      <c r="C28">
        <v>3</v>
      </c>
      <c r="D28" t="s">
        <v>25</v>
      </c>
      <c r="E28">
        <v>857468946</v>
      </c>
      <c r="F28" t="s">
        <v>110</v>
      </c>
      <c r="G28" t="s">
        <v>109</v>
      </c>
      <c r="H28" t="s">
        <v>111</v>
      </c>
      <c r="J28" t="s">
        <v>71</v>
      </c>
      <c r="O28" t="s">
        <v>29</v>
      </c>
      <c r="P28" t="s">
        <v>29</v>
      </c>
      <c r="Q28" t="s">
        <v>29</v>
      </c>
      <c r="R28" t="s">
        <v>29</v>
      </c>
      <c r="S28" t="s">
        <v>44</v>
      </c>
      <c r="T28" t="s">
        <v>31</v>
      </c>
      <c r="U28" t="s">
        <v>44</v>
      </c>
      <c r="V28" t="s">
        <v>31</v>
      </c>
      <c r="X28">
        <v>88.26</v>
      </c>
      <c r="Y28">
        <v>20.21</v>
      </c>
      <c r="AA28">
        <v>35.43</v>
      </c>
      <c r="AD28">
        <v>32.619999999999997</v>
      </c>
    </row>
    <row r="29" spans="1:30" x14ac:dyDescent="0.25">
      <c r="A29">
        <v>140</v>
      </c>
      <c r="B29" t="s">
        <v>112</v>
      </c>
      <c r="C29">
        <v>3</v>
      </c>
      <c r="D29" t="s">
        <v>25</v>
      </c>
      <c r="E29">
        <v>800917150</v>
      </c>
      <c r="F29" t="s">
        <v>113</v>
      </c>
      <c r="G29" t="s">
        <v>112</v>
      </c>
      <c r="H29" t="s">
        <v>114</v>
      </c>
      <c r="J29" t="s">
        <v>71</v>
      </c>
      <c r="O29" t="s">
        <v>30</v>
      </c>
      <c r="P29" t="s">
        <v>30</v>
      </c>
      <c r="Q29" t="s">
        <v>30</v>
      </c>
      <c r="R29" t="s">
        <v>48</v>
      </c>
      <c r="S29" t="s">
        <v>32</v>
      </c>
      <c r="T29" t="s">
        <v>44</v>
      </c>
      <c r="U29" t="s">
        <v>33</v>
      </c>
      <c r="V29" t="s">
        <v>33</v>
      </c>
      <c r="X29">
        <v>163.27000000000001</v>
      </c>
      <c r="Y29">
        <v>24.42</v>
      </c>
      <c r="AA29">
        <v>72.25</v>
      </c>
      <c r="AD29">
        <v>66.599999999999994</v>
      </c>
    </row>
    <row r="30" spans="1:30" x14ac:dyDescent="0.25">
      <c r="A30">
        <v>142</v>
      </c>
      <c r="B30" t="s">
        <v>115</v>
      </c>
      <c r="C30">
        <v>3</v>
      </c>
      <c r="D30" t="s">
        <v>25</v>
      </c>
      <c r="E30">
        <v>1388228707</v>
      </c>
      <c r="F30" t="s">
        <v>116</v>
      </c>
      <c r="G30" t="s">
        <v>115</v>
      </c>
      <c r="H30" t="s">
        <v>117</v>
      </c>
      <c r="J30" t="s">
        <v>71</v>
      </c>
      <c r="O30" t="s">
        <v>30</v>
      </c>
      <c r="P30" t="s">
        <v>30</v>
      </c>
      <c r="Q30" t="s">
        <v>48</v>
      </c>
      <c r="R30" t="s">
        <v>30</v>
      </c>
      <c r="S30" t="s">
        <v>32</v>
      </c>
      <c r="T30" t="s">
        <v>44</v>
      </c>
      <c r="U30" t="s">
        <v>33</v>
      </c>
      <c r="V30" t="s">
        <v>44</v>
      </c>
      <c r="X30">
        <v>72.349999999999994</v>
      </c>
      <c r="Y30">
        <v>14.93</v>
      </c>
      <c r="AA30">
        <v>37.01</v>
      </c>
      <c r="AD30">
        <v>20.41</v>
      </c>
    </row>
    <row r="31" spans="1:30" x14ac:dyDescent="0.25">
      <c r="A31">
        <v>143</v>
      </c>
      <c r="C31">
        <v>2</v>
      </c>
      <c r="D31" t="s">
        <v>25</v>
      </c>
      <c r="E31">
        <v>1323126067</v>
      </c>
      <c r="F31" t="s">
        <v>118</v>
      </c>
      <c r="G31" t="s">
        <v>119</v>
      </c>
      <c r="H31" t="s">
        <v>120</v>
      </c>
      <c r="J31" t="s">
        <v>71</v>
      </c>
      <c r="O31" t="s">
        <v>30</v>
      </c>
      <c r="P31" t="s">
        <v>30</v>
      </c>
      <c r="Q31" t="s">
        <v>30</v>
      </c>
      <c r="R31" t="s">
        <v>48</v>
      </c>
      <c r="S31" t="s">
        <v>44</v>
      </c>
      <c r="T31" t="s">
        <v>44</v>
      </c>
      <c r="U31" t="s">
        <v>33</v>
      </c>
      <c r="V31" t="s">
        <v>44</v>
      </c>
      <c r="X31">
        <v>33.96</v>
      </c>
      <c r="Y31">
        <v>9.52</v>
      </c>
      <c r="AA31">
        <v>24.44</v>
      </c>
    </row>
    <row r="32" spans="1:30" x14ac:dyDescent="0.25">
      <c r="A32">
        <v>144</v>
      </c>
      <c r="B32" t="s">
        <v>121</v>
      </c>
      <c r="C32">
        <v>3</v>
      </c>
      <c r="D32" t="s">
        <v>25</v>
      </c>
      <c r="E32">
        <v>1273107730</v>
      </c>
      <c r="F32" t="s">
        <v>122</v>
      </c>
      <c r="G32" t="s">
        <v>121</v>
      </c>
      <c r="H32" t="s">
        <v>123</v>
      </c>
      <c r="J32" t="s">
        <v>28</v>
      </c>
      <c r="O32" t="s">
        <v>29</v>
      </c>
      <c r="P32" t="s">
        <v>29</v>
      </c>
      <c r="Q32" t="s">
        <v>30</v>
      </c>
      <c r="R32" t="s">
        <v>29</v>
      </c>
      <c r="S32" t="s">
        <v>31</v>
      </c>
      <c r="T32" t="s">
        <v>31</v>
      </c>
      <c r="U32" t="s">
        <v>32</v>
      </c>
      <c r="V32" t="s">
        <v>33</v>
      </c>
      <c r="X32">
        <v>109.61</v>
      </c>
      <c r="Y32">
        <v>23.53</v>
      </c>
      <c r="AA32">
        <v>63.71</v>
      </c>
      <c r="AD32">
        <v>22.37</v>
      </c>
    </row>
    <row r="33" spans="1:30" x14ac:dyDescent="0.25">
      <c r="A33">
        <v>145</v>
      </c>
      <c r="B33" t="s">
        <v>124</v>
      </c>
      <c r="C33">
        <v>3</v>
      </c>
      <c r="D33" t="s">
        <v>25</v>
      </c>
      <c r="E33">
        <v>1285643894</v>
      </c>
      <c r="F33" t="s">
        <v>125</v>
      </c>
      <c r="G33" t="s">
        <v>124</v>
      </c>
      <c r="H33" t="s">
        <v>126</v>
      </c>
      <c r="J33" t="s">
        <v>28</v>
      </c>
      <c r="O33" t="s">
        <v>29</v>
      </c>
      <c r="P33" t="s">
        <v>29</v>
      </c>
      <c r="Q33" t="s">
        <v>29</v>
      </c>
      <c r="R33" t="s">
        <v>29</v>
      </c>
      <c r="S33" t="s">
        <v>31</v>
      </c>
      <c r="T33" t="s">
        <v>31</v>
      </c>
      <c r="U33" t="s">
        <v>32</v>
      </c>
      <c r="V33" t="s">
        <v>33</v>
      </c>
      <c r="W33" t="s">
        <v>127</v>
      </c>
      <c r="X33">
        <v>212.13</v>
      </c>
      <c r="Y33">
        <v>20.72</v>
      </c>
      <c r="AA33">
        <v>53.81</v>
      </c>
      <c r="AD33">
        <v>137.6</v>
      </c>
    </row>
    <row r="34" spans="1:30" x14ac:dyDescent="0.25">
      <c r="A34">
        <v>147</v>
      </c>
      <c r="B34" t="s">
        <v>128</v>
      </c>
      <c r="C34">
        <v>3</v>
      </c>
      <c r="D34" t="s">
        <v>25</v>
      </c>
      <c r="E34">
        <v>2061405899</v>
      </c>
      <c r="F34" t="s">
        <v>129</v>
      </c>
      <c r="G34" t="s">
        <v>128</v>
      </c>
      <c r="H34" t="s">
        <v>130</v>
      </c>
      <c r="J34" t="s">
        <v>28</v>
      </c>
      <c r="O34" t="s">
        <v>30</v>
      </c>
      <c r="P34" t="s">
        <v>30</v>
      </c>
      <c r="Q34" t="s">
        <v>29</v>
      </c>
      <c r="R34" t="s">
        <v>30</v>
      </c>
      <c r="S34" t="s">
        <v>31</v>
      </c>
      <c r="T34" t="s">
        <v>33</v>
      </c>
      <c r="U34" t="s">
        <v>31</v>
      </c>
      <c r="V34" t="s">
        <v>44</v>
      </c>
      <c r="X34">
        <v>88.01</v>
      </c>
      <c r="Y34">
        <v>18.37</v>
      </c>
      <c r="AA34">
        <v>44.66</v>
      </c>
      <c r="AD34">
        <v>24.98</v>
      </c>
    </row>
    <row r="35" spans="1:30" x14ac:dyDescent="0.25">
      <c r="A35">
        <v>148</v>
      </c>
      <c r="B35" t="s">
        <v>131</v>
      </c>
      <c r="C35">
        <v>3</v>
      </c>
      <c r="D35" t="s">
        <v>25</v>
      </c>
      <c r="E35">
        <v>2102218908</v>
      </c>
      <c r="F35" t="s">
        <v>132</v>
      </c>
      <c r="G35" t="s">
        <v>131</v>
      </c>
      <c r="H35" t="s">
        <v>133</v>
      </c>
      <c r="J35" t="s">
        <v>28</v>
      </c>
      <c r="O35" t="s">
        <v>30</v>
      </c>
      <c r="P35" t="s">
        <v>48</v>
      </c>
      <c r="Q35" t="s">
        <v>48</v>
      </c>
      <c r="R35" t="s">
        <v>30</v>
      </c>
      <c r="S35" t="s">
        <v>31</v>
      </c>
      <c r="T35" t="s">
        <v>44</v>
      </c>
      <c r="U35" t="s">
        <v>33</v>
      </c>
      <c r="V35" t="s">
        <v>44</v>
      </c>
      <c r="X35">
        <v>163.96</v>
      </c>
      <c r="Y35">
        <v>37.58</v>
      </c>
      <c r="AA35">
        <v>80.959999999999994</v>
      </c>
      <c r="AD35">
        <v>45.42</v>
      </c>
    </row>
    <row r="36" spans="1:30" x14ac:dyDescent="0.25">
      <c r="A36">
        <v>150</v>
      </c>
      <c r="B36" t="s">
        <v>134</v>
      </c>
      <c r="C36">
        <v>3</v>
      </c>
      <c r="D36" t="s">
        <v>25</v>
      </c>
      <c r="E36">
        <v>2046738747</v>
      </c>
      <c r="F36" t="s">
        <v>135</v>
      </c>
      <c r="G36" t="s">
        <v>134</v>
      </c>
      <c r="H36" t="s">
        <v>136</v>
      </c>
      <c r="J36" t="s">
        <v>28</v>
      </c>
      <c r="O36" t="s">
        <v>48</v>
      </c>
      <c r="P36" t="s">
        <v>48</v>
      </c>
      <c r="Q36" t="s">
        <v>30</v>
      </c>
      <c r="R36" t="s">
        <v>30</v>
      </c>
      <c r="S36" t="s">
        <v>44</v>
      </c>
      <c r="T36" t="s">
        <v>44</v>
      </c>
      <c r="U36" t="s">
        <v>33</v>
      </c>
      <c r="V36" t="s">
        <v>31</v>
      </c>
      <c r="X36">
        <v>88.28</v>
      </c>
      <c r="Y36">
        <v>20.2</v>
      </c>
      <c r="AA36">
        <v>36.6</v>
      </c>
      <c r="AD36">
        <v>31.48</v>
      </c>
    </row>
    <row r="37" spans="1:30" x14ac:dyDescent="0.25">
      <c r="A37">
        <v>151</v>
      </c>
      <c r="B37" t="s">
        <v>137</v>
      </c>
      <c r="C37">
        <v>3</v>
      </c>
      <c r="D37" t="s">
        <v>25</v>
      </c>
      <c r="E37">
        <v>192004623</v>
      </c>
      <c r="F37" t="s">
        <v>138</v>
      </c>
      <c r="G37" t="s">
        <v>137</v>
      </c>
      <c r="H37" t="s">
        <v>139</v>
      </c>
      <c r="J37" t="s">
        <v>28</v>
      </c>
      <c r="O37" t="s">
        <v>48</v>
      </c>
      <c r="P37" t="s">
        <v>30</v>
      </c>
      <c r="Q37" t="s">
        <v>29</v>
      </c>
      <c r="R37" t="s">
        <v>29</v>
      </c>
      <c r="S37" t="s">
        <v>33</v>
      </c>
      <c r="T37" t="s">
        <v>33</v>
      </c>
      <c r="U37" t="s">
        <v>44</v>
      </c>
      <c r="V37" t="s">
        <v>32</v>
      </c>
      <c r="X37">
        <v>97.51</v>
      </c>
      <c r="Y37">
        <v>17.850000000000001</v>
      </c>
      <c r="AA37">
        <v>45.58</v>
      </c>
      <c r="AD37">
        <v>34.08</v>
      </c>
    </row>
    <row r="38" spans="1:30" x14ac:dyDescent="0.25">
      <c r="A38">
        <v>152</v>
      </c>
      <c r="B38" t="s">
        <v>140</v>
      </c>
      <c r="C38">
        <v>3</v>
      </c>
      <c r="D38" t="s">
        <v>25</v>
      </c>
      <c r="E38">
        <v>483717508</v>
      </c>
      <c r="F38" t="s">
        <v>141</v>
      </c>
      <c r="G38" t="s">
        <v>140</v>
      </c>
      <c r="H38" t="s">
        <v>142</v>
      </c>
      <c r="J38" t="s">
        <v>28</v>
      </c>
      <c r="O38" t="s">
        <v>48</v>
      </c>
      <c r="P38" t="s">
        <v>29</v>
      </c>
      <c r="Q38" t="s">
        <v>29</v>
      </c>
      <c r="R38" t="s">
        <v>29</v>
      </c>
      <c r="S38" t="s">
        <v>31</v>
      </c>
      <c r="T38" t="s">
        <v>31</v>
      </c>
      <c r="U38" t="s">
        <v>32</v>
      </c>
      <c r="V38" t="s">
        <v>44</v>
      </c>
      <c r="W38" t="s">
        <v>143</v>
      </c>
      <c r="X38">
        <v>238.2</v>
      </c>
      <c r="Y38">
        <v>27.63</v>
      </c>
      <c r="AA38">
        <v>56.63</v>
      </c>
      <c r="AD38">
        <v>153.94</v>
      </c>
    </row>
    <row r="39" spans="1:30" x14ac:dyDescent="0.25">
      <c r="A39">
        <v>153</v>
      </c>
      <c r="B39" t="s">
        <v>144</v>
      </c>
      <c r="C39">
        <v>3</v>
      </c>
      <c r="D39" t="s">
        <v>25</v>
      </c>
      <c r="E39">
        <v>1993621155</v>
      </c>
      <c r="F39" t="s">
        <v>145</v>
      </c>
      <c r="G39" t="s">
        <v>144</v>
      </c>
      <c r="H39" t="s">
        <v>146</v>
      </c>
      <c r="J39" t="s">
        <v>28</v>
      </c>
      <c r="O39" t="s">
        <v>30</v>
      </c>
      <c r="P39" t="s">
        <v>30</v>
      </c>
      <c r="Q39" t="s">
        <v>29</v>
      </c>
      <c r="R39" t="s">
        <v>29</v>
      </c>
      <c r="S39" t="s">
        <v>33</v>
      </c>
      <c r="T39" t="s">
        <v>33</v>
      </c>
      <c r="U39" t="s">
        <v>44</v>
      </c>
      <c r="V39" t="s">
        <v>44</v>
      </c>
      <c r="X39">
        <v>66.42</v>
      </c>
      <c r="Y39">
        <v>14.2</v>
      </c>
      <c r="AA39">
        <v>32.799999999999997</v>
      </c>
      <c r="AD39">
        <v>19.420000000000002</v>
      </c>
    </row>
    <row r="40" spans="1:30" x14ac:dyDescent="0.25">
      <c r="A40">
        <v>155</v>
      </c>
      <c r="B40" t="s">
        <v>147</v>
      </c>
      <c r="C40">
        <v>3</v>
      </c>
      <c r="D40" t="s">
        <v>25</v>
      </c>
      <c r="E40">
        <v>188613615</v>
      </c>
      <c r="F40" t="s">
        <v>148</v>
      </c>
      <c r="G40" t="s">
        <v>147</v>
      </c>
      <c r="H40" t="s">
        <v>149</v>
      </c>
      <c r="J40" t="s">
        <v>28</v>
      </c>
      <c r="O40" t="s">
        <v>48</v>
      </c>
      <c r="P40" t="s">
        <v>48</v>
      </c>
      <c r="Q40" t="s">
        <v>48</v>
      </c>
      <c r="R40" t="s">
        <v>30</v>
      </c>
      <c r="S40" t="s">
        <v>44</v>
      </c>
      <c r="T40" t="s">
        <v>44</v>
      </c>
      <c r="U40" t="s">
        <v>33</v>
      </c>
      <c r="V40" t="s">
        <v>32</v>
      </c>
      <c r="X40">
        <v>77.53</v>
      </c>
      <c r="Y40">
        <v>10.97</v>
      </c>
      <c r="AA40">
        <v>44.48</v>
      </c>
      <c r="AD40">
        <v>22.08</v>
      </c>
    </row>
    <row r="41" spans="1:30" x14ac:dyDescent="0.25">
      <c r="A41">
        <v>158</v>
      </c>
      <c r="B41" t="s">
        <v>150</v>
      </c>
      <c r="C41">
        <v>3</v>
      </c>
      <c r="D41" t="s">
        <v>25</v>
      </c>
      <c r="E41">
        <v>859558054</v>
      </c>
      <c r="F41" t="s">
        <v>151</v>
      </c>
      <c r="G41" t="s">
        <v>150</v>
      </c>
      <c r="H41" t="s">
        <v>152</v>
      </c>
      <c r="J41" t="s">
        <v>28</v>
      </c>
      <c r="O41" t="s">
        <v>29</v>
      </c>
      <c r="P41" t="s">
        <v>29</v>
      </c>
      <c r="Q41" t="s">
        <v>29</v>
      </c>
      <c r="R41" t="s">
        <v>29</v>
      </c>
      <c r="S41" t="s">
        <v>33</v>
      </c>
      <c r="T41" t="s">
        <v>31</v>
      </c>
      <c r="U41" t="s">
        <v>44</v>
      </c>
      <c r="V41" t="s">
        <v>33</v>
      </c>
      <c r="X41">
        <v>76.95</v>
      </c>
      <c r="Y41">
        <v>23.14</v>
      </c>
      <c r="AA41">
        <v>35.549999999999997</v>
      </c>
      <c r="AD41">
        <v>18.260000000000002</v>
      </c>
    </row>
    <row r="42" spans="1:30" x14ac:dyDescent="0.25">
      <c r="A42">
        <v>159</v>
      </c>
      <c r="B42" t="s">
        <v>153</v>
      </c>
      <c r="C42">
        <v>3</v>
      </c>
      <c r="D42" t="s">
        <v>25</v>
      </c>
      <c r="E42">
        <v>1224543245</v>
      </c>
      <c r="F42" t="s">
        <v>154</v>
      </c>
      <c r="G42" t="s">
        <v>153</v>
      </c>
      <c r="H42" t="s">
        <v>155</v>
      </c>
      <c r="J42" t="s">
        <v>28</v>
      </c>
      <c r="O42" t="s">
        <v>29</v>
      </c>
      <c r="P42" t="s">
        <v>29</v>
      </c>
      <c r="Q42" t="s">
        <v>29</v>
      </c>
      <c r="R42" t="s">
        <v>29</v>
      </c>
      <c r="S42" t="s">
        <v>33</v>
      </c>
      <c r="T42" t="s">
        <v>33</v>
      </c>
      <c r="U42" t="s">
        <v>44</v>
      </c>
      <c r="V42" t="s">
        <v>33</v>
      </c>
      <c r="X42">
        <v>65.540000000000006</v>
      </c>
      <c r="Y42">
        <v>9.74</v>
      </c>
      <c r="AA42">
        <v>33.43</v>
      </c>
      <c r="AD42">
        <v>22.37</v>
      </c>
    </row>
    <row r="43" spans="1:30" x14ac:dyDescent="0.25">
      <c r="A43">
        <v>161</v>
      </c>
      <c r="B43" t="s">
        <v>156</v>
      </c>
      <c r="C43">
        <v>3</v>
      </c>
      <c r="D43" t="s">
        <v>25</v>
      </c>
      <c r="E43">
        <v>723900680</v>
      </c>
      <c r="F43" t="s">
        <v>157</v>
      </c>
      <c r="G43" t="s">
        <v>156</v>
      </c>
      <c r="H43" t="s">
        <v>158</v>
      </c>
      <c r="J43" t="s">
        <v>28</v>
      </c>
      <c r="O43" t="s">
        <v>29</v>
      </c>
      <c r="P43" t="s">
        <v>29</v>
      </c>
      <c r="Q43" t="s">
        <v>29</v>
      </c>
      <c r="R43" t="s">
        <v>30</v>
      </c>
      <c r="S43" t="s">
        <v>31</v>
      </c>
      <c r="T43" t="s">
        <v>31</v>
      </c>
      <c r="U43" t="s">
        <v>32</v>
      </c>
      <c r="V43" t="s">
        <v>31</v>
      </c>
      <c r="X43">
        <v>118.49</v>
      </c>
      <c r="Y43">
        <v>11.38</v>
      </c>
      <c r="AA43">
        <v>64.290000000000006</v>
      </c>
      <c r="AD43">
        <v>42.82</v>
      </c>
    </row>
    <row r="44" spans="1:30" x14ac:dyDescent="0.25">
      <c r="A44">
        <v>163</v>
      </c>
      <c r="B44" t="s">
        <v>159</v>
      </c>
      <c r="C44">
        <v>3</v>
      </c>
      <c r="D44" t="s">
        <v>25</v>
      </c>
      <c r="E44">
        <v>1341945584</v>
      </c>
      <c r="F44" t="s">
        <v>160</v>
      </c>
      <c r="G44" t="s">
        <v>159</v>
      </c>
      <c r="H44" t="s">
        <v>161</v>
      </c>
      <c r="J44" t="s">
        <v>28</v>
      </c>
      <c r="O44" t="s">
        <v>29</v>
      </c>
      <c r="P44" t="s">
        <v>29</v>
      </c>
      <c r="Q44" t="s">
        <v>30</v>
      </c>
      <c r="R44" t="s">
        <v>30</v>
      </c>
      <c r="S44" t="s">
        <v>33</v>
      </c>
      <c r="T44" t="s">
        <v>33</v>
      </c>
      <c r="U44" t="s">
        <v>44</v>
      </c>
      <c r="V44" t="s">
        <v>33</v>
      </c>
      <c r="X44">
        <v>174.32</v>
      </c>
      <c r="Y44">
        <v>17.5</v>
      </c>
      <c r="AA44">
        <v>54.71</v>
      </c>
      <c r="AD44">
        <v>102.11</v>
      </c>
    </row>
    <row r="45" spans="1:30" x14ac:dyDescent="0.25">
      <c r="A45">
        <v>165</v>
      </c>
      <c r="B45" t="s">
        <v>162</v>
      </c>
      <c r="C45">
        <v>3</v>
      </c>
      <c r="D45" t="s">
        <v>25</v>
      </c>
      <c r="E45">
        <v>1581123153</v>
      </c>
      <c r="F45" t="s">
        <v>163</v>
      </c>
      <c r="G45" t="s">
        <v>162</v>
      </c>
      <c r="H45" t="s">
        <v>164</v>
      </c>
      <c r="W45" t="s">
        <v>165</v>
      </c>
      <c r="X45">
        <v>317.5</v>
      </c>
      <c r="Y45">
        <v>23.79</v>
      </c>
      <c r="AA45">
        <v>116.02</v>
      </c>
      <c r="AD45">
        <v>177.69</v>
      </c>
    </row>
    <row r="48" spans="1:30" s="5" customFormat="1" ht="13" x14ac:dyDescent="0.3">
      <c r="A48" s="5" t="s">
        <v>168</v>
      </c>
    </row>
    <row r="50" spans="2:22" x14ac:dyDescent="0.25">
      <c r="B50" s="3" t="s">
        <v>169</v>
      </c>
      <c r="I50" t="s">
        <v>328</v>
      </c>
      <c r="J50" t="s">
        <v>171</v>
      </c>
      <c r="K50" t="s">
        <v>172</v>
      </c>
      <c r="L50">
        <v>22</v>
      </c>
      <c r="M50" t="s">
        <v>174</v>
      </c>
      <c r="N50" t="s">
        <v>173</v>
      </c>
      <c r="O50" t="s">
        <v>30</v>
      </c>
      <c r="P50" t="s">
        <v>30</v>
      </c>
      <c r="Q50" t="s">
        <v>29</v>
      </c>
      <c r="R50" t="s">
        <v>29</v>
      </c>
      <c r="S50" t="s">
        <v>44</v>
      </c>
      <c r="T50" t="s">
        <v>44</v>
      </c>
      <c r="U50" t="s">
        <v>33</v>
      </c>
      <c r="V50" t="s">
        <v>33</v>
      </c>
    </row>
    <row r="51" spans="2:22" x14ac:dyDescent="0.25">
      <c r="B51" s="3" t="s">
        <v>169</v>
      </c>
      <c r="I51" t="s">
        <v>328</v>
      </c>
      <c r="J51" t="s">
        <v>171</v>
      </c>
      <c r="K51" t="s">
        <v>172</v>
      </c>
      <c r="L51">
        <v>23</v>
      </c>
      <c r="M51" t="s">
        <v>174</v>
      </c>
      <c r="N51" t="s">
        <v>173</v>
      </c>
      <c r="O51" t="s">
        <v>29</v>
      </c>
      <c r="P51" t="s">
        <v>30</v>
      </c>
      <c r="Q51" t="s">
        <v>30</v>
      </c>
      <c r="R51" t="s">
        <v>29</v>
      </c>
      <c r="S51" t="s">
        <v>32</v>
      </c>
      <c r="T51" t="s">
        <v>33</v>
      </c>
      <c r="U51" t="s">
        <v>44</v>
      </c>
      <c r="V51" t="s">
        <v>33</v>
      </c>
    </row>
    <row r="52" spans="2:22" x14ac:dyDescent="0.25">
      <c r="B52" s="3" t="s">
        <v>169</v>
      </c>
      <c r="I52" t="s">
        <v>328</v>
      </c>
      <c r="J52" t="s">
        <v>171</v>
      </c>
      <c r="K52" t="s">
        <v>172</v>
      </c>
      <c r="L52">
        <v>21</v>
      </c>
      <c r="M52" t="s">
        <v>174</v>
      </c>
      <c r="N52" t="s">
        <v>173</v>
      </c>
      <c r="O52" t="s">
        <v>30</v>
      </c>
      <c r="P52" t="s">
        <v>176</v>
      </c>
      <c r="Q52" t="s">
        <v>48</v>
      </c>
      <c r="R52" t="s">
        <v>29</v>
      </c>
      <c r="S52" t="s">
        <v>32</v>
      </c>
      <c r="T52" t="s">
        <v>44</v>
      </c>
      <c r="U52" t="s">
        <v>33</v>
      </c>
      <c r="V52" t="s">
        <v>31</v>
      </c>
    </row>
    <row r="53" spans="2:22" x14ac:dyDescent="0.25">
      <c r="B53" s="3" t="s">
        <v>169</v>
      </c>
      <c r="I53" t="s">
        <v>328</v>
      </c>
      <c r="J53" t="s">
        <v>171</v>
      </c>
      <c r="K53" t="s">
        <v>172</v>
      </c>
      <c r="L53">
        <v>34</v>
      </c>
      <c r="M53" t="s">
        <v>174</v>
      </c>
      <c r="N53" t="s">
        <v>173</v>
      </c>
      <c r="O53" t="s">
        <v>30</v>
      </c>
      <c r="P53" t="s">
        <v>29</v>
      </c>
      <c r="Q53" t="s">
        <v>29</v>
      </c>
      <c r="R53" t="s">
        <v>29</v>
      </c>
      <c r="S53" t="s">
        <v>44</v>
      </c>
      <c r="T53" t="s">
        <v>31</v>
      </c>
      <c r="U53" t="s">
        <v>32</v>
      </c>
      <c r="V53" t="s">
        <v>31</v>
      </c>
    </row>
    <row r="54" spans="2:22" x14ac:dyDescent="0.25">
      <c r="B54" s="3" t="s">
        <v>169</v>
      </c>
      <c r="I54" t="s">
        <v>328</v>
      </c>
      <c r="J54" t="s">
        <v>171</v>
      </c>
      <c r="K54" t="s">
        <v>172</v>
      </c>
      <c r="L54">
        <v>34</v>
      </c>
      <c r="M54" t="s">
        <v>174</v>
      </c>
      <c r="N54" t="s">
        <v>173</v>
      </c>
      <c r="O54" t="s">
        <v>29</v>
      </c>
      <c r="P54" t="s">
        <v>30</v>
      </c>
      <c r="Q54" t="s">
        <v>48</v>
      </c>
      <c r="R54" t="s">
        <v>30</v>
      </c>
      <c r="S54" t="s">
        <v>32</v>
      </c>
      <c r="T54" t="s">
        <v>44</v>
      </c>
      <c r="U54" t="s">
        <v>33</v>
      </c>
      <c r="V54" t="s">
        <v>33</v>
      </c>
    </row>
    <row r="55" spans="2:22" x14ac:dyDescent="0.25">
      <c r="B55" s="3" t="s">
        <v>169</v>
      </c>
      <c r="I55" t="s">
        <v>328</v>
      </c>
      <c r="J55" t="s">
        <v>171</v>
      </c>
      <c r="K55" t="s">
        <v>172</v>
      </c>
      <c r="L55">
        <v>41</v>
      </c>
      <c r="M55" t="s">
        <v>174</v>
      </c>
      <c r="N55" t="s">
        <v>173</v>
      </c>
      <c r="O55" t="s">
        <v>48</v>
      </c>
      <c r="P55" t="s">
        <v>30</v>
      </c>
      <c r="Q55" t="s">
        <v>30</v>
      </c>
      <c r="R55" t="s">
        <v>48</v>
      </c>
      <c r="S55" t="s">
        <v>44</v>
      </c>
      <c r="T55" t="s">
        <v>44</v>
      </c>
      <c r="U55" t="s">
        <v>33</v>
      </c>
      <c r="V55" t="s">
        <v>44</v>
      </c>
    </row>
    <row r="56" spans="2:22" x14ac:dyDescent="0.25">
      <c r="B56" s="3" t="s">
        <v>169</v>
      </c>
      <c r="I56" t="s">
        <v>328</v>
      </c>
      <c r="J56" t="s">
        <v>171</v>
      </c>
      <c r="K56" t="s">
        <v>172</v>
      </c>
      <c r="L56">
        <v>48</v>
      </c>
      <c r="M56" t="s">
        <v>174</v>
      </c>
      <c r="N56" t="s">
        <v>173</v>
      </c>
      <c r="O56" t="s">
        <v>29</v>
      </c>
      <c r="P56" t="s">
        <v>29</v>
      </c>
      <c r="Q56" t="s">
        <v>29</v>
      </c>
      <c r="R56" t="s">
        <v>29</v>
      </c>
      <c r="S56" t="s">
        <v>44</v>
      </c>
      <c r="T56" t="s">
        <v>33</v>
      </c>
      <c r="U56" t="s">
        <v>32</v>
      </c>
      <c r="V56" t="s">
        <v>44</v>
      </c>
    </row>
    <row r="57" spans="2:22" x14ac:dyDescent="0.25">
      <c r="B57" s="3" t="s">
        <v>169</v>
      </c>
      <c r="I57" t="s">
        <v>328</v>
      </c>
      <c r="J57" t="s">
        <v>171</v>
      </c>
      <c r="K57" t="s">
        <v>172</v>
      </c>
      <c r="L57">
        <v>40</v>
      </c>
      <c r="M57" t="s">
        <v>174</v>
      </c>
      <c r="N57" t="s">
        <v>177</v>
      </c>
      <c r="O57" t="s">
        <v>29</v>
      </c>
      <c r="P57" t="s">
        <v>30</v>
      </c>
      <c r="Q57" t="s">
        <v>30</v>
      </c>
      <c r="R57" t="s">
        <v>30</v>
      </c>
      <c r="S57" t="s">
        <v>31</v>
      </c>
      <c r="T57" t="s">
        <v>44</v>
      </c>
      <c r="U57" t="s">
        <v>44</v>
      </c>
      <c r="V57" t="s">
        <v>44</v>
      </c>
    </row>
    <row r="58" spans="2:22" x14ac:dyDescent="0.25">
      <c r="B58" s="3" t="s">
        <v>169</v>
      </c>
      <c r="I58" t="s">
        <v>328</v>
      </c>
      <c r="J58" t="s">
        <v>171</v>
      </c>
      <c r="K58" t="s">
        <v>172</v>
      </c>
      <c r="L58">
        <v>37</v>
      </c>
      <c r="M58" t="s">
        <v>174</v>
      </c>
      <c r="N58" t="s">
        <v>179</v>
      </c>
      <c r="Q58" t="s">
        <v>30</v>
      </c>
      <c r="R58" t="s">
        <v>48</v>
      </c>
      <c r="S58" t="s">
        <v>32</v>
      </c>
      <c r="T58" t="s">
        <v>33</v>
      </c>
      <c r="U58" t="s">
        <v>33</v>
      </c>
      <c r="V58" t="s">
        <v>44</v>
      </c>
    </row>
    <row r="59" spans="2:22" x14ac:dyDescent="0.25">
      <c r="B59" s="3" t="s">
        <v>169</v>
      </c>
      <c r="I59" t="s">
        <v>328</v>
      </c>
      <c r="J59" t="s">
        <v>171</v>
      </c>
      <c r="K59" t="s">
        <v>172</v>
      </c>
      <c r="L59">
        <v>35</v>
      </c>
      <c r="M59" t="s">
        <v>174</v>
      </c>
      <c r="N59" t="s">
        <v>173</v>
      </c>
      <c r="O59" t="s">
        <v>29</v>
      </c>
      <c r="P59" t="s">
        <v>29</v>
      </c>
      <c r="Q59" t="s">
        <v>29</v>
      </c>
      <c r="R59" t="s">
        <v>29</v>
      </c>
      <c r="S59" t="s">
        <v>31</v>
      </c>
      <c r="T59" t="s">
        <v>31</v>
      </c>
      <c r="U59" t="s">
        <v>44</v>
      </c>
      <c r="V59" t="s">
        <v>32</v>
      </c>
    </row>
    <row r="60" spans="2:22" x14ac:dyDescent="0.25">
      <c r="B60" s="3" t="s">
        <v>169</v>
      </c>
      <c r="I60" t="s">
        <v>328</v>
      </c>
      <c r="J60" t="s">
        <v>171</v>
      </c>
      <c r="K60" t="s">
        <v>172</v>
      </c>
      <c r="L60">
        <v>45</v>
      </c>
      <c r="M60" t="s">
        <v>174</v>
      </c>
      <c r="N60" t="s">
        <v>173</v>
      </c>
      <c r="O60" t="s">
        <v>29</v>
      </c>
      <c r="P60" t="s">
        <v>29</v>
      </c>
      <c r="Q60" t="s">
        <v>29</v>
      </c>
      <c r="R60" t="s">
        <v>48</v>
      </c>
      <c r="S60" t="s">
        <v>44</v>
      </c>
      <c r="T60" t="s">
        <v>33</v>
      </c>
      <c r="U60" t="s">
        <v>33</v>
      </c>
      <c r="V60" t="s">
        <v>44</v>
      </c>
    </row>
    <row r="61" spans="2:22" x14ac:dyDescent="0.25">
      <c r="B61" s="3" t="s">
        <v>169</v>
      </c>
      <c r="I61" t="s">
        <v>328</v>
      </c>
      <c r="J61" t="s">
        <v>171</v>
      </c>
      <c r="K61" t="s">
        <v>172</v>
      </c>
      <c r="L61">
        <v>30</v>
      </c>
      <c r="M61" t="s">
        <v>174</v>
      </c>
      <c r="N61" t="s">
        <v>180</v>
      </c>
      <c r="O61" t="s">
        <v>30</v>
      </c>
      <c r="P61" t="s">
        <v>30</v>
      </c>
      <c r="Q61" t="s">
        <v>29</v>
      </c>
      <c r="R61" t="s">
        <v>29</v>
      </c>
      <c r="S61" t="s">
        <v>44</v>
      </c>
      <c r="T61" t="s">
        <v>33</v>
      </c>
      <c r="U61" t="s">
        <v>44</v>
      </c>
      <c r="V61" t="s">
        <v>32</v>
      </c>
    </row>
    <row r="62" spans="2:22" x14ac:dyDescent="0.25">
      <c r="B62" s="3" t="s">
        <v>169</v>
      </c>
      <c r="I62" t="s">
        <v>328</v>
      </c>
      <c r="J62" t="s">
        <v>171</v>
      </c>
      <c r="K62" t="s">
        <v>172</v>
      </c>
      <c r="L62">
        <v>43</v>
      </c>
      <c r="M62" t="s">
        <v>174</v>
      </c>
      <c r="N62" t="s">
        <v>173</v>
      </c>
      <c r="O62" t="s">
        <v>48</v>
      </c>
      <c r="P62" t="s">
        <v>30</v>
      </c>
      <c r="Q62" t="s">
        <v>29</v>
      </c>
      <c r="R62" t="s">
        <v>29</v>
      </c>
      <c r="S62" t="s">
        <v>44</v>
      </c>
      <c r="T62" t="s">
        <v>31</v>
      </c>
      <c r="U62" t="s">
        <v>33</v>
      </c>
      <c r="V62" t="s">
        <v>33</v>
      </c>
    </row>
    <row r="63" spans="2:22" x14ac:dyDescent="0.25">
      <c r="B63" s="3" t="s">
        <v>169</v>
      </c>
      <c r="I63" t="s">
        <v>328</v>
      </c>
      <c r="J63" t="s">
        <v>171</v>
      </c>
      <c r="K63" t="s">
        <v>172</v>
      </c>
      <c r="L63">
        <v>65</v>
      </c>
      <c r="M63" t="s">
        <v>174</v>
      </c>
      <c r="N63" t="s">
        <v>181</v>
      </c>
      <c r="O63" t="s">
        <v>29</v>
      </c>
      <c r="P63" t="s">
        <v>30</v>
      </c>
      <c r="Q63" t="s">
        <v>30</v>
      </c>
      <c r="R63" t="s">
        <v>29</v>
      </c>
      <c r="S63" t="s">
        <v>32</v>
      </c>
      <c r="T63" t="s">
        <v>32</v>
      </c>
      <c r="U63" t="s">
        <v>44</v>
      </c>
      <c r="V63" t="s">
        <v>31</v>
      </c>
    </row>
    <row r="64" spans="2:22" x14ac:dyDescent="0.25">
      <c r="B64" s="3" t="s">
        <v>169</v>
      </c>
      <c r="I64" t="s">
        <v>328</v>
      </c>
      <c r="J64" t="s">
        <v>171</v>
      </c>
      <c r="K64" t="s">
        <v>172</v>
      </c>
      <c r="L64">
        <v>67</v>
      </c>
      <c r="M64" t="s">
        <v>174</v>
      </c>
      <c r="N64" t="s">
        <v>181</v>
      </c>
      <c r="O64" t="s">
        <v>29</v>
      </c>
      <c r="P64" t="s">
        <v>30</v>
      </c>
      <c r="Q64" t="s">
        <v>30</v>
      </c>
      <c r="R64" t="s">
        <v>29</v>
      </c>
      <c r="S64" t="s">
        <v>32</v>
      </c>
      <c r="T64" t="s">
        <v>32</v>
      </c>
      <c r="U64" t="s">
        <v>44</v>
      </c>
      <c r="V64" t="s">
        <v>31</v>
      </c>
    </row>
    <row r="65" spans="2:22" x14ac:dyDescent="0.25">
      <c r="B65" s="3" t="s">
        <v>169</v>
      </c>
      <c r="I65" t="s">
        <v>328</v>
      </c>
      <c r="J65" t="s">
        <v>171</v>
      </c>
      <c r="K65" t="s">
        <v>172</v>
      </c>
      <c r="L65">
        <v>72</v>
      </c>
      <c r="M65" t="s">
        <v>174</v>
      </c>
      <c r="N65" t="s">
        <v>181</v>
      </c>
      <c r="O65" t="s">
        <v>29</v>
      </c>
      <c r="P65" t="s">
        <v>30</v>
      </c>
      <c r="Q65" t="s">
        <v>30</v>
      </c>
      <c r="R65" t="s">
        <v>29</v>
      </c>
      <c r="S65" t="s">
        <v>32</v>
      </c>
      <c r="T65" t="s">
        <v>32</v>
      </c>
      <c r="U65" t="s">
        <v>44</v>
      </c>
      <c r="V65" t="s">
        <v>31</v>
      </c>
    </row>
    <row r="66" spans="2:22" x14ac:dyDescent="0.25">
      <c r="B66" s="3" t="s">
        <v>169</v>
      </c>
      <c r="I66" t="s">
        <v>328</v>
      </c>
      <c r="J66" t="s">
        <v>171</v>
      </c>
      <c r="K66" t="s">
        <v>172</v>
      </c>
      <c r="L66">
        <v>69</v>
      </c>
      <c r="M66" t="s">
        <v>174</v>
      </c>
      <c r="N66" t="s">
        <v>181</v>
      </c>
      <c r="O66" t="s">
        <v>29</v>
      </c>
      <c r="P66" t="s">
        <v>30</v>
      </c>
      <c r="Q66" t="s">
        <v>30</v>
      </c>
      <c r="R66" t="s">
        <v>29</v>
      </c>
      <c r="S66" t="s">
        <v>32</v>
      </c>
      <c r="T66" t="s">
        <v>32</v>
      </c>
      <c r="U66" t="s">
        <v>44</v>
      </c>
      <c r="V66" t="s">
        <v>31</v>
      </c>
    </row>
    <row r="67" spans="2:22" x14ac:dyDescent="0.25">
      <c r="B67" s="3" t="s">
        <v>169</v>
      </c>
      <c r="I67" t="s">
        <v>328</v>
      </c>
      <c r="J67" t="s">
        <v>171</v>
      </c>
      <c r="K67" t="s">
        <v>172</v>
      </c>
      <c r="L67">
        <v>70</v>
      </c>
      <c r="M67" t="s">
        <v>174</v>
      </c>
      <c r="N67" t="s">
        <v>181</v>
      </c>
      <c r="O67" t="s">
        <v>29</v>
      </c>
      <c r="P67" t="s">
        <v>30</v>
      </c>
      <c r="Q67" t="s">
        <v>30</v>
      </c>
      <c r="R67" t="s">
        <v>29</v>
      </c>
      <c r="S67" t="s">
        <v>32</v>
      </c>
      <c r="T67" t="s">
        <v>32</v>
      </c>
      <c r="U67" t="s">
        <v>44</v>
      </c>
      <c r="V67" t="s">
        <v>31</v>
      </c>
    </row>
    <row r="68" spans="2:22" x14ac:dyDescent="0.25">
      <c r="B68" s="3" t="s">
        <v>169</v>
      </c>
      <c r="I68" t="s">
        <v>328</v>
      </c>
      <c r="J68" t="s">
        <v>171</v>
      </c>
      <c r="K68" t="s">
        <v>172</v>
      </c>
      <c r="L68">
        <v>75</v>
      </c>
      <c r="M68" t="s">
        <v>174</v>
      </c>
      <c r="N68" t="s">
        <v>181</v>
      </c>
      <c r="O68" t="s">
        <v>29</v>
      </c>
      <c r="P68" t="s">
        <v>30</v>
      </c>
      <c r="Q68" t="s">
        <v>30</v>
      </c>
      <c r="R68" t="s">
        <v>29</v>
      </c>
      <c r="S68" t="s">
        <v>32</v>
      </c>
      <c r="T68" t="s">
        <v>32</v>
      </c>
      <c r="U68" t="s">
        <v>44</v>
      </c>
      <c r="V68" t="s">
        <v>31</v>
      </c>
    </row>
    <row r="69" spans="2:22" x14ac:dyDescent="0.25">
      <c r="B69" s="3" t="s">
        <v>169</v>
      </c>
      <c r="I69" t="s">
        <v>328</v>
      </c>
      <c r="J69" t="s">
        <v>182</v>
      </c>
      <c r="K69" t="s">
        <v>172</v>
      </c>
      <c r="L69">
        <v>35</v>
      </c>
      <c r="M69" t="s">
        <v>174</v>
      </c>
      <c r="N69" t="s">
        <v>177</v>
      </c>
      <c r="O69" t="s">
        <v>29</v>
      </c>
      <c r="P69" t="s">
        <v>29</v>
      </c>
      <c r="Q69" t="s">
        <v>30</v>
      </c>
      <c r="R69" t="s">
        <v>30</v>
      </c>
      <c r="S69" t="s">
        <v>44</v>
      </c>
      <c r="T69" t="s">
        <v>44</v>
      </c>
      <c r="U69" t="s">
        <v>44</v>
      </c>
      <c r="V69" t="s">
        <v>33</v>
      </c>
    </row>
    <row r="70" spans="2:22" x14ac:dyDescent="0.25">
      <c r="B70" s="3" t="s">
        <v>169</v>
      </c>
      <c r="I70" t="s">
        <v>328</v>
      </c>
      <c r="J70" t="s">
        <v>182</v>
      </c>
      <c r="K70" t="s">
        <v>172</v>
      </c>
      <c r="L70">
        <v>38</v>
      </c>
      <c r="M70" t="s">
        <v>174</v>
      </c>
      <c r="N70" t="s">
        <v>177</v>
      </c>
      <c r="O70" t="s">
        <v>29</v>
      </c>
      <c r="P70" t="s">
        <v>29</v>
      </c>
      <c r="Q70" t="s">
        <v>29</v>
      </c>
      <c r="R70" t="s">
        <v>30</v>
      </c>
      <c r="S70" t="s">
        <v>32</v>
      </c>
      <c r="T70" t="s">
        <v>44</v>
      </c>
      <c r="U70" t="s">
        <v>44</v>
      </c>
      <c r="V70" t="s">
        <v>31</v>
      </c>
    </row>
    <row r="71" spans="2:22" x14ac:dyDescent="0.25">
      <c r="B71" s="3" t="s">
        <v>169</v>
      </c>
      <c r="I71" t="s">
        <v>328</v>
      </c>
      <c r="J71" t="s">
        <v>182</v>
      </c>
      <c r="K71" t="s">
        <v>172</v>
      </c>
      <c r="L71">
        <v>36</v>
      </c>
      <c r="M71" t="s">
        <v>174</v>
      </c>
      <c r="N71" t="s">
        <v>181</v>
      </c>
      <c r="O71" t="s">
        <v>30</v>
      </c>
      <c r="P71" t="s">
        <v>29</v>
      </c>
      <c r="Q71" t="s">
        <v>30</v>
      </c>
      <c r="R71" t="s">
        <v>48</v>
      </c>
      <c r="S71" t="s">
        <v>32</v>
      </c>
      <c r="T71" t="s">
        <v>44</v>
      </c>
      <c r="U71" t="s">
        <v>31</v>
      </c>
      <c r="V71" t="s">
        <v>33</v>
      </c>
    </row>
    <row r="72" spans="2:22" x14ac:dyDescent="0.25">
      <c r="B72" s="3" t="s">
        <v>169</v>
      </c>
      <c r="I72" t="s">
        <v>328</v>
      </c>
      <c r="J72" t="s">
        <v>182</v>
      </c>
      <c r="K72" t="s">
        <v>172</v>
      </c>
      <c r="L72">
        <v>27</v>
      </c>
      <c r="M72" t="s">
        <v>174</v>
      </c>
      <c r="N72" t="s">
        <v>181</v>
      </c>
      <c r="O72" t="s">
        <v>29</v>
      </c>
      <c r="P72" t="s">
        <v>30</v>
      </c>
      <c r="Q72" t="s">
        <v>30</v>
      </c>
      <c r="R72" t="s">
        <v>183</v>
      </c>
      <c r="S72" t="s">
        <v>32</v>
      </c>
      <c r="T72" t="s">
        <v>32</v>
      </c>
      <c r="U72" t="s">
        <v>32</v>
      </c>
      <c r="V72" t="s">
        <v>32</v>
      </c>
    </row>
    <row r="73" spans="2:22" x14ac:dyDescent="0.25">
      <c r="B73" s="3" t="s">
        <v>169</v>
      </c>
      <c r="I73" t="s">
        <v>328</v>
      </c>
      <c r="J73" t="s">
        <v>182</v>
      </c>
      <c r="K73" t="s">
        <v>172</v>
      </c>
      <c r="L73">
        <v>56</v>
      </c>
      <c r="M73" t="s">
        <v>174</v>
      </c>
      <c r="N73" t="s">
        <v>181</v>
      </c>
      <c r="O73" t="s">
        <v>30</v>
      </c>
      <c r="P73" t="s">
        <v>30</v>
      </c>
      <c r="Q73" t="s">
        <v>30</v>
      </c>
      <c r="R73" t="s">
        <v>30</v>
      </c>
      <c r="S73" t="s">
        <v>32</v>
      </c>
      <c r="T73" t="s">
        <v>32</v>
      </c>
      <c r="U73" t="s">
        <v>32</v>
      </c>
      <c r="V73" t="s">
        <v>33</v>
      </c>
    </row>
    <row r="74" spans="2:22" x14ac:dyDescent="0.25">
      <c r="B74" s="3" t="s">
        <v>169</v>
      </c>
      <c r="I74" t="s">
        <v>328</v>
      </c>
      <c r="J74" t="s">
        <v>182</v>
      </c>
      <c r="K74" t="s">
        <v>172</v>
      </c>
      <c r="L74">
        <v>31</v>
      </c>
      <c r="M74" t="s">
        <v>174</v>
      </c>
      <c r="N74" t="s">
        <v>181</v>
      </c>
      <c r="O74" t="s">
        <v>30</v>
      </c>
      <c r="P74" t="s">
        <v>29</v>
      </c>
      <c r="Q74" t="s">
        <v>30</v>
      </c>
      <c r="R74" t="s">
        <v>48</v>
      </c>
      <c r="S74" t="s">
        <v>32</v>
      </c>
      <c r="T74" t="s">
        <v>44</v>
      </c>
      <c r="U74" t="s">
        <v>44</v>
      </c>
      <c r="V74" t="s">
        <v>44</v>
      </c>
    </row>
    <row r="75" spans="2:22" x14ac:dyDescent="0.25">
      <c r="B75" s="3" t="s">
        <v>184</v>
      </c>
      <c r="I75" t="s">
        <v>328</v>
      </c>
      <c r="J75" t="s">
        <v>171</v>
      </c>
      <c r="K75" t="s">
        <v>172</v>
      </c>
      <c r="L75">
        <v>27</v>
      </c>
      <c r="M75" t="s">
        <v>174</v>
      </c>
      <c r="N75" t="s">
        <v>173</v>
      </c>
      <c r="O75" t="s">
        <v>29</v>
      </c>
      <c r="P75" t="s">
        <v>29</v>
      </c>
      <c r="Q75" t="s">
        <v>29</v>
      </c>
      <c r="R75" t="s">
        <v>30</v>
      </c>
      <c r="S75" t="s">
        <v>44</v>
      </c>
      <c r="T75" t="s">
        <v>33</v>
      </c>
      <c r="U75" t="s">
        <v>33</v>
      </c>
      <c r="V75" t="s">
        <v>44</v>
      </c>
    </row>
    <row r="76" spans="2:22" x14ac:dyDescent="0.25">
      <c r="B76" s="3" t="s">
        <v>184</v>
      </c>
      <c r="I76" t="s">
        <v>328</v>
      </c>
      <c r="J76" t="s">
        <v>171</v>
      </c>
      <c r="K76" t="s">
        <v>172</v>
      </c>
      <c r="L76">
        <v>34</v>
      </c>
      <c r="M76" t="s">
        <v>174</v>
      </c>
      <c r="N76" t="s">
        <v>180</v>
      </c>
      <c r="O76" t="s">
        <v>30</v>
      </c>
      <c r="P76" t="s">
        <v>185</v>
      </c>
      <c r="Q76" t="s">
        <v>30</v>
      </c>
      <c r="R76" t="s">
        <v>48</v>
      </c>
      <c r="S76" t="s">
        <v>32</v>
      </c>
      <c r="T76" t="s">
        <v>44</v>
      </c>
      <c r="U76" t="s">
        <v>44</v>
      </c>
      <c r="V76" t="s">
        <v>33</v>
      </c>
    </row>
    <row r="77" spans="2:22" x14ac:dyDescent="0.25">
      <c r="B77" s="3" t="s">
        <v>184</v>
      </c>
      <c r="I77" t="s">
        <v>328</v>
      </c>
      <c r="J77" t="s">
        <v>171</v>
      </c>
      <c r="K77" t="s">
        <v>172</v>
      </c>
      <c r="L77" t="s">
        <v>412</v>
      </c>
      <c r="M77" t="s">
        <v>174</v>
      </c>
      <c r="N77" t="s">
        <v>173</v>
      </c>
      <c r="O77" t="s">
        <v>30</v>
      </c>
      <c r="P77" t="s">
        <v>178</v>
      </c>
      <c r="Q77" t="s">
        <v>30</v>
      </c>
      <c r="R77" t="s">
        <v>30</v>
      </c>
      <c r="S77" t="s">
        <v>44</v>
      </c>
      <c r="T77" t="s">
        <v>44</v>
      </c>
      <c r="U77" t="s">
        <v>44</v>
      </c>
      <c r="V77" t="s">
        <v>44</v>
      </c>
    </row>
    <row r="78" spans="2:22" x14ac:dyDescent="0.25">
      <c r="B78" s="3" t="s">
        <v>184</v>
      </c>
      <c r="I78" t="s">
        <v>328</v>
      </c>
      <c r="J78" t="s">
        <v>171</v>
      </c>
      <c r="K78" t="s">
        <v>172</v>
      </c>
      <c r="L78">
        <v>61</v>
      </c>
      <c r="M78" t="s">
        <v>174</v>
      </c>
      <c r="N78" t="s">
        <v>181</v>
      </c>
      <c r="O78" t="s">
        <v>29</v>
      </c>
      <c r="P78" t="s">
        <v>29</v>
      </c>
      <c r="Q78" t="s">
        <v>29</v>
      </c>
      <c r="R78" t="s">
        <v>29</v>
      </c>
      <c r="S78" t="s">
        <v>32</v>
      </c>
      <c r="T78" t="s">
        <v>32</v>
      </c>
      <c r="U78" t="s">
        <v>44</v>
      </c>
      <c r="V78" t="s">
        <v>186</v>
      </c>
    </row>
    <row r="79" spans="2:22" x14ac:dyDescent="0.25">
      <c r="B79" s="3" t="s">
        <v>184</v>
      </c>
      <c r="I79" t="s">
        <v>328</v>
      </c>
      <c r="J79" t="s">
        <v>171</v>
      </c>
      <c r="K79" t="s">
        <v>172</v>
      </c>
      <c r="L79">
        <v>58</v>
      </c>
      <c r="M79" t="s">
        <v>174</v>
      </c>
      <c r="N79" t="s">
        <v>181</v>
      </c>
      <c r="O79" t="s">
        <v>29</v>
      </c>
      <c r="P79" t="s">
        <v>29</v>
      </c>
      <c r="Q79" t="s">
        <v>30</v>
      </c>
      <c r="R79" t="s">
        <v>30</v>
      </c>
      <c r="S79" t="s">
        <v>32</v>
      </c>
      <c r="T79" t="s">
        <v>44</v>
      </c>
      <c r="U79" t="s">
        <v>31</v>
      </c>
      <c r="V79" t="s">
        <v>32</v>
      </c>
    </row>
    <row r="80" spans="2:22" x14ac:dyDescent="0.25">
      <c r="B80" s="3" t="s">
        <v>184</v>
      </c>
      <c r="I80" t="s">
        <v>328</v>
      </c>
      <c r="J80" t="s">
        <v>171</v>
      </c>
      <c r="K80" t="s">
        <v>172</v>
      </c>
      <c r="L80">
        <v>61</v>
      </c>
      <c r="M80" t="s">
        <v>174</v>
      </c>
      <c r="N80" t="s">
        <v>181</v>
      </c>
      <c r="O80" t="s">
        <v>29</v>
      </c>
      <c r="P80" t="s">
        <v>29</v>
      </c>
      <c r="Q80" t="s">
        <v>29</v>
      </c>
      <c r="R80" t="s">
        <v>29</v>
      </c>
      <c r="S80" t="s">
        <v>32</v>
      </c>
      <c r="T80" t="s">
        <v>32</v>
      </c>
      <c r="U80" t="s">
        <v>44</v>
      </c>
      <c r="V80" t="s">
        <v>31</v>
      </c>
    </row>
    <row r="81" spans="1:34" x14ac:dyDescent="0.25">
      <c r="B81" s="3" t="s">
        <v>184</v>
      </c>
      <c r="I81" t="s">
        <v>328</v>
      </c>
      <c r="J81" t="s">
        <v>171</v>
      </c>
      <c r="K81" t="s">
        <v>172</v>
      </c>
      <c r="L81">
        <v>47</v>
      </c>
      <c r="M81" t="s">
        <v>174</v>
      </c>
      <c r="N81" t="s">
        <v>177</v>
      </c>
      <c r="O81" t="s">
        <v>30</v>
      </c>
      <c r="P81" t="s">
        <v>30</v>
      </c>
      <c r="Q81" t="s">
        <v>30</v>
      </c>
      <c r="R81" t="s">
        <v>30</v>
      </c>
      <c r="S81" t="s">
        <v>44</v>
      </c>
      <c r="T81" t="s">
        <v>33</v>
      </c>
      <c r="U81" t="s">
        <v>33</v>
      </c>
      <c r="V81" t="s">
        <v>33</v>
      </c>
    </row>
    <row r="82" spans="1:34" x14ac:dyDescent="0.25">
      <c r="A82">
        <v>77</v>
      </c>
      <c r="B82" t="s">
        <v>325</v>
      </c>
      <c r="C82">
        <v>3</v>
      </c>
      <c r="D82" t="s">
        <v>25</v>
      </c>
      <c r="E82">
        <v>749335299</v>
      </c>
      <c r="F82" t="s">
        <v>326</v>
      </c>
      <c r="G82" t="s">
        <v>325</v>
      </c>
      <c r="H82" t="s">
        <v>327</v>
      </c>
      <c r="I82" t="s">
        <v>328</v>
      </c>
      <c r="J82" t="s">
        <v>171</v>
      </c>
      <c r="K82" t="s">
        <v>364</v>
      </c>
      <c r="L82">
        <v>22</v>
      </c>
      <c r="M82" t="s">
        <v>367</v>
      </c>
      <c r="O82" t="s">
        <v>29</v>
      </c>
      <c r="P82" t="s">
        <v>30</v>
      </c>
      <c r="Q82" t="s">
        <v>30</v>
      </c>
      <c r="R82" t="s">
        <v>30</v>
      </c>
      <c r="S82" t="s">
        <v>32</v>
      </c>
      <c r="U82" t="s">
        <v>44</v>
      </c>
      <c r="V82" t="s">
        <v>32</v>
      </c>
      <c r="X82">
        <v>143.69</v>
      </c>
      <c r="Y82">
        <v>44.92</v>
      </c>
      <c r="AE82">
        <v>72.73</v>
      </c>
      <c r="AH82">
        <v>26.04</v>
      </c>
    </row>
    <row r="83" spans="1:34" x14ac:dyDescent="0.25">
      <c r="A83">
        <v>78</v>
      </c>
      <c r="B83" t="s">
        <v>329</v>
      </c>
      <c r="C83">
        <v>3</v>
      </c>
      <c r="D83" t="s">
        <v>25</v>
      </c>
      <c r="E83">
        <v>37660989</v>
      </c>
      <c r="F83" t="s">
        <v>330</v>
      </c>
      <c r="G83" t="s">
        <v>329</v>
      </c>
      <c r="H83" t="s">
        <v>331</v>
      </c>
      <c r="I83" t="s">
        <v>328</v>
      </c>
      <c r="J83" t="s">
        <v>171</v>
      </c>
      <c r="K83" t="s">
        <v>172</v>
      </c>
      <c r="L83">
        <v>17</v>
      </c>
      <c r="M83" t="s">
        <v>367</v>
      </c>
      <c r="N83" t="s">
        <v>173</v>
      </c>
      <c r="O83" t="s">
        <v>29</v>
      </c>
      <c r="P83" t="s">
        <v>29</v>
      </c>
      <c r="Q83" t="s">
        <v>29</v>
      </c>
      <c r="R83" t="s">
        <v>29</v>
      </c>
      <c r="S83" t="s">
        <v>33</v>
      </c>
      <c r="T83" t="s">
        <v>31</v>
      </c>
      <c r="U83" t="s">
        <v>32</v>
      </c>
      <c r="V83" t="s">
        <v>44</v>
      </c>
      <c r="X83">
        <v>89.36</v>
      </c>
      <c r="Y83">
        <v>26.04</v>
      </c>
      <c r="AE83">
        <v>40.67</v>
      </c>
      <c r="AH83">
        <v>22.65</v>
      </c>
    </row>
    <row r="84" spans="1:34" x14ac:dyDescent="0.25">
      <c r="A84">
        <v>83</v>
      </c>
      <c r="B84" t="s">
        <v>332</v>
      </c>
      <c r="C84">
        <v>3</v>
      </c>
      <c r="D84" t="s">
        <v>25</v>
      </c>
      <c r="E84">
        <v>493699242</v>
      </c>
      <c r="F84" t="s">
        <v>333</v>
      </c>
      <c r="G84" t="s">
        <v>332</v>
      </c>
      <c r="H84" t="s">
        <v>331</v>
      </c>
      <c r="I84" t="s">
        <v>334</v>
      </c>
      <c r="J84" t="s">
        <v>171</v>
      </c>
      <c r="K84" t="s">
        <v>172</v>
      </c>
      <c r="L84">
        <v>17</v>
      </c>
      <c r="M84" t="s">
        <v>174</v>
      </c>
      <c r="N84" t="s">
        <v>173</v>
      </c>
      <c r="O84" t="s">
        <v>29</v>
      </c>
      <c r="P84" t="s">
        <v>29</v>
      </c>
      <c r="Q84" t="s">
        <v>30</v>
      </c>
      <c r="R84" t="s">
        <v>29</v>
      </c>
      <c r="S84" t="s">
        <v>33</v>
      </c>
      <c r="T84" t="s">
        <v>31</v>
      </c>
      <c r="U84" t="s">
        <v>32</v>
      </c>
      <c r="V84" t="s">
        <v>31</v>
      </c>
      <c r="X84">
        <v>113.33</v>
      </c>
      <c r="Y84">
        <v>46.41</v>
      </c>
      <c r="AE84">
        <v>39.07</v>
      </c>
      <c r="AH84">
        <v>27.85</v>
      </c>
    </row>
    <row r="85" spans="1:34" x14ac:dyDescent="0.25">
      <c r="A85">
        <v>84</v>
      </c>
      <c r="B85" t="s">
        <v>335</v>
      </c>
      <c r="C85">
        <v>3</v>
      </c>
      <c r="D85" t="s">
        <v>25</v>
      </c>
      <c r="E85">
        <v>540079052</v>
      </c>
      <c r="F85" t="s">
        <v>336</v>
      </c>
      <c r="G85" t="s">
        <v>335</v>
      </c>
      <c r="H85" t="s">
        <v>337</v>
      </c>
      <c r="I85" t="s">
        <v>338</v>
      </c>
      <c r="J85" t="s">
        <v>171</v>
      </c>
      <c r="K85" t="s">
        <v>172</v>
      </c>
      <c r="L85" t="s">
        <v>412</v>
      </c>
      <c r="O85" t="s">
        <v>29</v>
      </c>
      <c r="P85" t="s">
        <v>29</v>
      </c>
      <c r="Q85" t="s">
        <v>29</v>
      </c>
      <c r="R85" t="s">
        <v>29</v>
      </c>
      <c r="S85" t="s">
        <v>33</v>
      </c>
      <c r="T85" t="s">
        <v>31</v>
      </c>
      <c r="U85" t="s">
        <v>44</v>
      </c>
      <c r="V85" t="s">
        <v>31</v>
      </c>
      <c r="X85">
        <v>87.06</v>
      </c>
      <c r="Y85">
        <v>30.45</v>
      </c>
      <c r="AE85">
        <v>35.380000000000003</v>
      </c>
      <c r="AH85">
        <v>21.23</v>
      </c>
    </row>
    <row r="86" spans="1:34" x14ac:dyDescent="0.25">
      <c r="A86">
        <v>85</v>
      </c>
      <c r="B86" t="s">
        <v>339</v>
      </c>
      <c r="C86">
        <v>3</v>
      </c>
      <c r="D86" t="s">
        <v>25</v>
      </c>
      <c r="E86">
        <v>1581051909</v>
      </c>
      <c r="F86" t="s">
        <v>340</v>
      </c>
      <c r="G86" t="s">
        <v>339</v>
      </c>
      <c r="H86" t="s">
        <v>341</v>
      </c>
      <c r="I86" t="s">
        <v>342</v>
      </c>
      <c r="J86" t="s">
        <v>171</v>
      </c>
      <c r="K86" t="s">
        <v>172</v>
      </c>
      <c r="L86">
        <v>23</v>
      </c>
      <c r="O86" t="s">
        <v>30</v>
      </c>
      <c r="P86" t="s">
        <v>30</v>
      </c>
      <c r="Q86" t="s">
        <v>30</v>
      </c>
      <c r="R86" t="s">
        <v>29</v>
      </c>
      <c r="S86" t="s">
        <v>44</v>
      </c>
      <c r="T86" t="s">
        <v>33</v>
      </c>
      <c r="U86" t="s">
        <v>32</v>
      </c>
      <c r="V86" t="s">
        <v>31</v>
      </c>
      <c r="X86">
        <v>146.69999999999999</v>
      </c>
      <c r="Y86">
        <v>48.47</v>
      </c>
      <c r="AE86">
        <v>62.24</v>
      </c>
      <c r="AH86">
        <v>35.99</v>
      </c>
    </row>
    <row r="87" spans="1:34" x14ac:dyDescent="0.25">
      <c r="A87">
        <v>86</v>
      </c>
      <c r="B87" t="s">
        <v>343</v>
      </c>
      <c r="C87">
        <v>3</v>
      </c>
      <c r="D87" t="s">
        <v>25</v>
      </c>
      <c r="E87">
        <v>1016607721</v>
      </c>
      <c r="F87" t="s">
        <v>344</v>
      </c>
      <c r="G87" t="s">
        <v>343</v>
      </c>
      <c r="H87" t="s">
        <v>341</v>
      </c>
      <c r="I87" t="s">
        <v>345</v>
      </c>
      <c r="J87" t="s">
        <v>171</v>
      </c>
      <c r="K87" t="s">
        <v>172</v>
      </c>
      <c r="L87">
        <v>24</v>
      </c>
      <c r="N87" t="s">
        <v>173</v>
      </c>
      <c r="O87" t="s">
        <v>29</v>
      </c>
      <c r="P87" t="s">
        <v>29</v>
      </c>
      <c r="Q87" t="s">
        <v>29</v>
      </c>
      <c r="R87" t="s">
        <v>29</v>
      </c>
      <c r="S87" t="s">
        <v>32</v>
      </c>
      <c r="T87" t="s">
        <v>31</v>
      </c>
      <c r="U87" t="s">
        <v>32</v>
      </c>
      <c r="V87" t="s">
        <v>32</v>
      </c>
      <c r="X87">
        <v>198.55</v>
      </c>
      <c r="Y87">
        <v>60.31</v>
      </c>
      <c r="AE87">
        <v>83</v>
      </c>
      <c r="AH87">
        <v>55.24</v>
      </c>
    </row>
    <row r="88" spans="1:34" x14ac:dyDescent="0.25">
      <c r="A88">
        <v>87</v>
      </c>
      <c r="B88" t="s">
        <v>346</v>
      </c>
      <c r="C88">
        <v>3</v>
      </c>
      <c r="D88" t="s">
        <v>25</v>
      </c>
      <c r="E88">
        <v>292984574</v>
      </c>
      <c r="F88" t="s">
        <v>347</v>
      </c>
      <c r="G88" t="s">
        <v>346</v>
      </c>
      <c r="H88" t="s">
        <v>341</v>
      </c>
      <c r="I88" t="s">
        <v>348</v>
      </c>
      <c r="J88" t="s">
        <v>171</v>
      </c>
      <c r="K88" t="s">
        <v>172</v>
      </c>
      <c r="L88">
        <v>47</v>
      </c>
      <c r="N88" t="s">
        <v>173</v>
      </c>
      <c r="O88" t="s">
        <v>29</v>
      </c>
      <c r="P88" t="s">
        <v>29</v>
      </c>
      <c r="Q88" t="s">
        <v>30</v>
      </c>
      <c r="R88" t="s">
        <v>30</v>
      </c>
      <c r="S88" t="s">
        <v>44</v>
      </c>
      <c r="T88" t="s">
        <v>44</v>
      </c>
      <c r="U88" t="s">
        <v>44</v>
      </c>
      <c r="V88" t="s">
        <v>33</v>
      </c>
      <c r="X88">
        <v>126.87</v>
      </c>
      <c r="Y88">
        <v>53.05</v>
      </c>
      <c r="AE88">
        <v>31.1</v>
      </c>
      <c r="AH88">
        <v>42.72</v>
      </c>
    </row>
    <row r="89" spans="1:34" x14ac:dyDescent="0.25">
      <c r="A89">
        <v>89</v>
      </c>
      <c r="B89" t="s">
        <v>349</v>
      </c>
      <c r="C89">
        <v>3</v>
      </c>
      <c r="D89" t="s">
        <v>25</v>
      </c>
      <c r="E89">
        <v>1321647127</v>
      </c>
      <c r="F89" t="s">
        <v>350</v>
      </c>
      <c r="G89" t="s">
        <v>349</v>
      </c>
      <c r="H89" t="s">
        <v>351</v>
      </c>
      <c r="I89" t="s">
        <v>334</v>
      </c>
      <c r="J89" t="s">
        <v>171</v>
      </c>
      <c r="K89" t="s">
        <v>364</v>
      </c>
      <c r="L89">
        <v>24</v>
      </c>
      <c r="N89" t="s">
        <v>173</v>
      </c>
      <c r="O89" t="s">
        <v>30</v>
      </c>
      <c r="P89" t="s">
        <v>30</v>
      </c>
      <c r="Q89" t="s">
        <v>30</v>
      </c>
      <c r="R89" t="s">
        <v>30</v>
      </c>
      <c r="S89" t="s">
        <v>33</v>
      </c>
      <c r="T89" t="s">
        <v>44</v>
      </c>
      <c r="U89" t="s">
        <v>44</v>
      </c>
      <c r="V89" t="s">
        <v>33</v>
      </c>
      <c r="X89">
        <v>154.94999999999999</v>
      </c>
      <c r="Y89">
        <v>79.7</v>
      </c>
      <c r="AE89">
        <v>49.56</v>
      </c>
      <c r="AH89">
        <v>25.69</v>
      </c>
    </row>
    <row r="90" spans="1:34" x14ac:dyDescent="0.25">
      <c r="A90">
        <v>90</v>
      </c>
      <c r="B90" t="s">
        <v>352</v>
      </c>
      <c r="C90">
        <v>3</v>
      </c>
      <c r="D90" t="s">
        <v>25</v>
      </c>
      <c r="E90">
        <v>452391963</v>
      </c>
      <c r="F90" t="s">
        <v>353</v>
      </c>
      <c r="G90" t="s">
        <v>352</v>
      </c>
      <c r="H90" t="s">
        <v>354</v>
      </c>
      <c r="I90" t="s">
        <v>355</v>
      </c>
      <c r="J90" t="s">
        <v>171</v>
      </c>
      <c r="K90" t="s">
        <v>172</v>
      </c>
      <c r="L90">
        <v>22</v>
      </c>
      <c r="M90" t="s">
        <v>367</v>
      </c>
      <c r="N90" t="s">
        <v>173</v>
      </c>
      <c r="O90" t="s">
        <v>29</v>
      </c>
      <c r="P90" t="s">
        <v>29</v>
      </c>
      <c r="Q90" t="s">
        <v>29</v>
      </c>
      <c r="R90" t="s">
        <v>29</v>
      </c>
      <c r="S90" t="s">
        <v>33</v>
      </c>
      <c r="T90" t="s">
        <v>33</v>
      </c>
      <c r="U90" t="s">
        <v>44</v>
      </c>
      <c r="V90" t="s">
        <v>44</v>
      </c>
      <c r="X90">
        <v>118.43</v>
      </c>
      <c r="Y90">
        <v>52.47</v>
      </c>
      <c r="AE90">
        <v>37.979999999999997</v>
      </c>
      <c r="AH90">
        <v>27.98</v>
      </c>
    </row>
    <row r="91" spans="1:34" x14ac:dyDescent="0.25">
      <c r="B91" s="3"/>
    </row>
    <row r="92" spans="1:34" s="5" customFormat="1" ht="13" x14ac:dyDescent="0.3">
      <c r="A92" s="5" t="s">
        <v>378</v>
      </c>
      <c r="B92" s="13"/>
    </row>
    <row r="93" spans="1:34" x14ac:dyDescent="0.25">
      <c r="B93" s="3"/>
    </row>
    <row r="94" spans="1:34" x14ac:dyDescent="0.25">
      <c r="B94" s="3" t="s">
        <v>379</v>
      </c>
      <c r="I94" t="s">
        <v>380</v>
      </c>
      <c r="J94" t="s">
        <v>167</v>
      </c>
      <c r="K94" t="s">
        <v>172</v>
      </c>
      <c r="L94">
        <v>20</v>
      </c>
      <c r="M94" t="s">
        <v>367</v>
      </c>
      <c r="N94" t="s">
        <v>177</v>
      </c>
      <c r="O94" t="s">
        <v>75</v>
      </c>
      <c r="P94" t="s">
        <v>75</v>
      </c>
      <c r="Q94" t="s">
        <v>75</v>
      </c>
      <c r="R94" t="s">
        <v>30</v>
      </c>
      <c r="S94" t="s">
        <v>32</v>
      </c>
      <c r="T94" t="s">
        <v>31</v>
      </c>
      <c r="U94" t="s">
        <v>44</v>
      </c>
      <c r="V94" t="s">
        <v>32</v>
      </c>
    </row>
    <row r="95" spans="1:34" x14ac:dyDescent="0.25">
      <c r="B95" s="3" t="s">
        <v>379</v>
      </c>
      <c r="I95" t="s">
        <v>380</v>
      </c>
      <c r="J95" t="s">
        <v>167</v>
      </c>
      <c r="K95" t="s">
        <v>172</v>
      </c>
      <c r="L95">
        <v>23</v>
      </c>
      <c r="M95" t="s">
        <v>367</v>
      </c>
      <c r="N95" t="s">
        <v>177</v>
      </c>
      <c r="O95" t="s">
        <v>48</v>
      </c>
      <c r="P95" t="s">
        <v>30</v>
      </c>
      <c r="Q95" t="s">
        <v>381</v>
      </c>
      <c r="R95" t="s">
        <v>30</v>
      </c>
      <c r="S95" t="s">
        <v>32</v>
      </c>
      <c r="T95" t="s">
        <v>31</v>
      </c>
      <c r="U95" t="s">
        <v>32</v>
      </c>
      <c r="V95" t="s">
        <v>44</v>
      </c>
    </row>
    <row r="96" spans="1:34" x14ac:dyDescent="0.25">
      <c r="B96" s="3" t="s">
        <v>379</v>
      </c>
      <c r="I96" t="s">
        <v>380</v>
      </c>
      <c r="J96" t="s">
        <v>167</v>
      </c>
      <c r="K96" t="s">
        <v>172</v>
      </c>
      <c r="L96">
        <v>32</v>
      </c>
      <c r="M96" t="s">
        <v>367</v>
      </c>
      <c r="N96" t="s">
        <v>382</v>
      </c>
      <c r="O96" t="s">
        <v>30</v>
      </c>
      <c r="P96" t="s">
        <v>30</v>
      </c>
      <c r="Q96" t="s">
        <v>48</v>
      </c>
      <c r="R96" t="s">
        <v>29</v>
      </c>
      <c r="S96" t="s">
        <v>31</v>
      </c>
      <c r="T96" t="s">
        <v>31</v>
      </c>
      <c r="U96" t="s">
        <v>33</v>
      </c>
      <c r="V96" t="s">
        <v>33</v>
      </c>
    </row>
    <row r="97" spans="2:22" x14ac:dyDescent="0.25">
      <c r="B97" s="3" t="s">
        <v>379</v>
      </c>
      <c r="I97" t="s">
        <v>380</v>
      </c>
      <c r="J97" t="s">
        <v>167</v>
      </c>
      <c r="K97" t="s">
        <v>364</v>
      </c>
      <c r="L97">
        <v>27</v>
      </c>
      <c r="M97" t="s">
        <v>181</v>
      </c>
      <c r="N97" t="s">
        <v>367</v>
      </c>
      <c r="O97" t="s">
        <v>29</v>
      </c>
      <c r="P97" t="s">
        <v>29</v>
      </c>
      <c r="Q97" t="s">
        <v>30</v>
      </c>
      <c r="R97" t="s">
        <v>30</v>
      </c>
      <c r="S97" t="s">
        <v>33</v>
      </c>
      <c r="T97" t="s">
        <v>31</v>
      </c>
      <c r="U97" t="s">
        <v>44</v>
      </c>
      <c r="V97" t="s">
        <v>31</v>
      </c>
    </row>
    <row r="98" spans="2:22" x14ac:dyDescent="0.25">
      <c r="B98" s="3" t="s">
        <v>379</v>
      </c>
      <c r="I98" t="s">
        <v>380</v>
      </c>
      <c r="J98" t="s">
        <v>167</v>
      </c>
      <c r="K98" t="s">
        <v>364</v>
      </c>
      <c r="L98">
        <v>27</v>
      </c>
      <c r="M98" t="s">
        <v>181</v>
      </c>
      <c r="N98" t="s">
        <v>367</v>
      </c>
      <c r="O98" t="s">
        <v>381</v>
      </c>
      <c r="P98" t="s">
        <v>30</v>
      </c>
      <c r="Q98" t="s">
        <v>409</v>
      </c>
      <c r="R98" t="s">
        <v>29</v>
      </c>
      <c r="S98" t="s">
        <v>33</v>
      </c>
      <c r="T98" t="s">
        <v>31</v>
      </c>
      <c r="U98" t="s">
        <v>33</v>
      </c>
      <c r="V98" t="s">
        <v>31</v>
      </c>
    </row>
    <row r="99" spans="2:22" x14ac:dyDescent="0.25">
      <c r="B99" s="3" t="s">
        <v>379</v>
      </c>
      <c r="I99" t="s">
        <v>380</v>
      </c>
      <c r="J99" t="s">
        <v>167</v>
      </c>
      <c r="K99" t="s">
        <v>364</v>
      </c>
      <c r="L99">
        <v>21</v>
      </c>
      <c r="M99" t="s">
        <v>181</v>
      </c>
      <c r="N99" t="s">
        <v>367</v>
      </c>
      <c r="O99" t="s">
        <v>381</v>
      </c>
      <c r="P99" t="s">
        <v>29</v>
      </c>
      <c r="Q99" t="s">
        <v>29</v>
      </c>
      <c r="R99" t="s">
        <v>29</v>
      </c>
      <c r="S99" t="s">
        <v>33</v>
      </c>
      <c r="T99" t="s">
        <v>33</v>
      </c>
      <c r="U99" t="s">
        <v>32</v>
      </c>
      <c r="V99" t="s">
        <v>44</v>
      </c>
    </row>
    <row r="100" spans="2:22" x14ac:dyDescent="0.25">
      <c r="B100" s="3" t="s">
        <v>379</v>
      </c>
      <c r="I100" t="s">
        <v>380</v>
      </c>
      <c r="J100" t="s">
        <v>167</v>
      </c>
      <c r="K100" t="s">
        <v>364</v>
      </c>
      <c r="L100">
        <v>26</v>
      </c>
      <c r="M100" t="s">
        <v>181</v>
      </c>
      <c r="N100" t="s">
        <v>367</v>
      </c>
      <c r="O100" t="s">
        <v>30</v>
      </c>
      <c r="P100" t="s">
        <v>30</v>
      </c>
      <c r="Q100" t="s">
        <v>48</v>
      </c>
      <c r="R100" t="s">
        <v>48</v>
      </c>
      <c r="S100" t="s">
        <v>33</v>
      </c>
      <c r="T100" t="s">
        <v>31</v>
      </c>
      <c r="U100" t="s">
        <v>31</v>
      </c>
      <c r="V100" t="s">
        <v>44</v>
      </c>
    </row>
    <row r="101" spans="2:22" x14ac:dyDescent="0.25">
      <c r="B101" s="3" t="s">
        <v>379</v>
      </c>
      <c r="I101" t="s">
        <v>380</v>
      </c>
      <c r="J101" t="s">
        <v>167</v>
      </c>
      <c r="K101" t="s">
        <v>364</v>
      </c>
      <c r="L101">
        <v>23</v>
      </c>
      <c r="M101" t="s">
        <v>181</v>
      </c>
      <c r="N101" t="s">
        <v>367</v>
      </c>
      <c r="O101" t="s">
        <v>48</v>
      </c>
      <c r="P101" t="s">
        <v>30</v>
      </c>
      <c r="Q101" t="s">
        <v>30</v>
      </c>
      <c r="R101" t="s">
        <v>30</v>
      </c>
      <c r="S101" t="s">
        <v>32</v>
      </c>
      <c r="T101" t="s">
        <v>44</v>
      </c>
      <c r="U101" t="s">
        <v>44</v>
      </c>
      <c r="V101" t="s">
        <v>44</v>
      </c>
    </row>
    <row r="102" spans="2:22" x14ac:dyDescent="0.25">
      <c r="B102" s="3" t="s">
        <v>379</v>
      </c>
      <c r="I102" t="s">
        <v>380</v>
      </c>
      <c r="J102" t="s">
        <v>167</v>
      </c>
      <c r="K102" t="s">
        <v>364</v>
      </c>
      <c r="L102">
        <v>19</v>
      </c>
      <c r="M102" t="s">
        <v>181</v>
      </c>
      <c r="N102" t="s">
        <v>367</v>
      </c>
      <c r="O102" t="s">
        <v>30</v>
      </c>
      <c r="P102" t="s">
        <v>29</v>
      </c>
      <c r="Q102" t="s">
        <v>30</v>
      </c>
      <c r="R102" t="s">
        <v>30</v>
      </c>
      <c r="S102" t="s">
        <v>32</v>
      </c>
      <c r="T102" t="s">
        <v>44</v>
      </c>
      <c r="U102" t="s">
        <v>44</v>
      </c>
      <c r="V102" t="s">
        <v>44</v>
      </c>
    </row>
    <row r="103" spans="2:22" x14ac:dyDescent="0.25">
      <c r="B103" s="3" t="s">
        <v>379</v>
      </c>
      <c r="I103" t="s">
        <v>380</v>
      </c>
      <c r="J103" t="s">
        <v>167</v>
      </c>
      <c r="K103" t="s">
        <v>364</v>
      </c>
      <c r="L103">
        <v>19</v>
      </c>
      <c r="M103" t="s">
        <v>181</v>
      </c>
      <c r="N103" t="s">
        <v>367</v>
      </c>
      <c r="O103" t="s">
        <v>381</v>
      </c>
      <c r="P103" t="s">
        <v>29</v>
      </c>
      <c r="Q103" t="s">
        <v>29</v>
      </c>
      <c r="R103" t="s">
        <v>30</v>
      </c>
      <c r="S103" t="s">
        <v>31</v>
      </c>
      <c r="T103" t="s">
        <v>31</v>
      </c>
      <c r="U103" t="s">
        <v>33</v>
      </c>
      <c r="V103" t="s">
        <v>33</v>
      </c>
    </row>
    <row r="104" spans="2:22" x14ac:dyDescent="0.25">
      <c r="B104" s="3" t="s">
        <v>379</v>
      </c>
      <c r="I104" t="s">
        <v>380</v>
      </c>
      <c r="J104" t="s">
        <v>167</v>
      </c>
      <c r="K104" t="s">
        <v>364</v>
      </c>
      <c r="L104">
        <v>37</v>
      </c>
      <c r="M104" t="s">
        <v>181</v>
      </c>
      <c r="N104" t="s">
        <v>367</v>
      </c>
      <c r="O104" t="s">
        <v>48</v>
      </c>
      <c r="P104" t="s">
        <v>29</v>
      </c>
      <c r="Q104" t="s">
        <v>29</v>
      </c>
      <c r="R104" t="s">
        <v>29</v>
      </c>
      <c r="S104" t="s">
        <v>33</v>
      </c>
      <c r="T104" t="s">
        <v>410</v>
      </c>
      <c r="U104" t="s">
        <v>44</v>
      </c>
      <c r="V104" t="s">
        <v>44</v>
      </c>
    </row>
    <row r="105" spans="2:22" x14ac:dyDescent="0.25">
      <c r="B105" s="3" t="s">
        <v>379</v>
      </c>
      <c r="I105" t="s">
        <v>380</v>
      </c>
      <c r="J105" t="s">
        <v>167</v>
      </c>
      <c r="K105" t="s">
        <v>364</v>
      </c>
      <c r="L105">
        <v>25</v>
      </c>
      <c r="M105" t="s">
        <v>181</v>
      </c>
      <c r="N105" t="s">
        <v>367</v>
      </c>
      <c r="O105" t="s">
        <v>30</v>
      </c>
      <c r="P105" t="s">
        <v>30</v>
      </c>
      <c r="Q105" t="s">
        <v>48</v>
      </c>
      <c r="R105" t="s">
        <v>30</v>
      </c>
      <c r="S105" t="s">
        <v>32</v>
      </c>
      <c r="T105" t="s">
        <v>44</v>
      </c>
      <c r="U105" t="s">
        <v>33</v>
      </c>
      <c r="V105" t="s">
        <v>44</v>
      </c>
    </row>
    <row r="106" spans="2:22" x14ac:dyDescent="0.25">
      <c r="B106" s="3" t="s">
        <v>379</v>
      </c>
      <c r="I106" t="s">
        <v>380</v>
      </c>
      <c r="J106" t="s">
        <v>167</v>
      </c>
      <c r="K106" t="s">
        <v>364</v>
      </c>
      <c r="L106">
        <v>42</v>
      </c>
      <c r="M106" t="s">
        <v>181</v>
      </c>
      <c r="N106" t="s">
        <v>367</v>
      </c>
      <c r="O106" t="s">
        <v>30</v>
      </c>
      <c r="P106" t="s">
        <v>29</v>
      </c>
      <c r="Q106" t="s">
        <v>29</v>
      </c>
      <c r="R106" t="s">
        <v>29</v>
      </c>
      <c r="S106" t="s">
        <v>44</v>
      </c>
      <c r="T106" t="s">
        <v>33</v>
      </c>
      <c r="U106" t="s">
        <v>32</v>
      </c>
      <c r="V106" t="s">
        <v>44</v>
      </c>
    </row>
    <row r="107" spans="2:22" x14ac:dyDescent="0.25">
      <c r="B107" s="3" t="s">
        <v>379</v>
      </c>
      <c r="I107" t="s">
        <v>380</v>
      </c>
      <c r="J107" t="s">
        <v>167</v>
      </c>
      <c r="K107" t="s">
        <v>172</v>
      </c>
      <c r="L107">
        <v>31</v>
      </c>
      <c r="M107" t="s">
        <v>177</v>
      </c>
      <c r="N107" t="s">
        <v>367</v>
      </c>
      <c r="O107" t="s">
        <v>30</v>
      </c>
      <c r="P107" t="s">
        <v>30</v>
      </c>
      <c r="Q107" t="s">
        <v>30</v>
      </c>
      <c r="R107" t="s">
        <v>29</v>
      </c>
      <c r="S107" t="s">
        <v>31</v>
      </c>
      <c r="T107" t="s">
        <v>31</v>
      </c>
      <c r="U107" t="s">
        <v>44</v>
      </c>
      <c r="V107" t="s">
        <v>44</v>
      </c>
    </row>
    <row r="108" spans="2:22" x14ac:dyDescent="0.25">
      <c r="B108" s="3" t="s">
        <v>379</v>
      </c>
      <c r="I108" t="s">
        <v>380</v>
      </c>
      <c r="J108" t="s">
        <v>167</v>
      </c>
      <c r="K108" t="s">
        <v>172</v>
      </c>
      <c r="L108">
        <v>39</v>
      </c>
      <c r="M108" t="s">
        <v>177</v>
      </c>
      <c r="N108" t="s">
        <v>367</v>
      </c>
      <c r="O108" t="s">
        <v>411</v>
      </c>
      <c r="P108" t="s">
        <v>30</v>
      </c>
      <c r="Q108" t="s">
        <v>30</v>
      </c>
      <c r="R108" t="s">
        <v>29</v>
      </c>
      <c r="S108" t="s">
        <v>44</v>
      </c>
      <c r="T108" t="s">
        <v>33</v>
      </c>
      <c r="U108" t="s">
        <v>44</v>
      </c>
      <c r="V108" t="s">
        <v>33</v>
      </c>
    </row>
    <row r="109" spans="2:22" x14ac:dyDescent="0.25">
      <c r="B109" s="3" t="s">
        <v>379</v>
      </c>
      <c r="I109" t="s">
        <v>380</v>
      </c>
      <c r="J109" t="s">
        <v>167</v>
      </c>
      <c r="K109" t="s">
        <v>172</v>
      </c>
      <c r="L109">
        <v>26</v>
      </c>
      <c r="M109" t="s">
        <v>173</v>
      </c>
      <c r="N109" t="s">
        <v>367</v>
      </c>
      <c r="O109" t="s">
        <v>48</v>
      </c>
      <c r="P109" t="s">
        <v>30</v>
      </c>
      <c r="Q109" t="s">
        <v>30</v>
      </c>
      <c r="R109" t="s">
        <v>30</v>
      </c>
      <c r="S109" t="s">
        <v>33</v>
      </c>
      <c r="T109" t="s">
        <v>31</v>
      </c>
      <c r="U109" t="s">
        <v>44</v>
      </c>
      <c r="V109" t="s">
        <v>32</v>
      </c>
    </row>
    <row r="110" spans="2:22" x14ac:dyDescent="0.25">
      <c r="B110" s="3" t="s">
        <v>379</v>
      </c>
      <c r="I110" t="s">
        <v>380</v>
      </c>
      <c r="J110" t="s">
        <v>167</v>
      </c>
      <c r="K110" t="s">
        <v>172</v>
      </c>
      <c r="L110">
        <v>25</v>
      </c>
      <c r="M110" t="s">
        <v>173</v>
      </c>
      <c r="N110" t="s">
        <v>367</v>
      </c>
      <c r="O110" t="s">
        <v>30</v>
      </c>
      <c r="P110" t="s">
        <v>381</v>
      </c>
      <c r="Q110" t="s">
        <v>29</v>
      </c>
      <c r="R110" t="s">
        <v>29</v>
      </c>
      <c r="S110" t="s">
        <v>32</v>
      </c>
      <c r="T110" t="s">
        <v>31</v>
      </c>
      <c r="U110" t="s">
        <v>44</v>
      </c>
      <c r="V110" t="s">
        <v>44</v>
      </c>
    </row>
    <row r="111" spans="2:22" x14ac:dyDescent="0.25">
      <c r="B111" s="3" t="s">
        <v>379</v>
      </c>
      <c r="I111" t="s">
        <v>380</v>
      </c>
      <c r="J111" t="s">
        <v>167</v>
      </c>
      <c r="K111" t="s">
        <v>172</v>
      </c>
      <c r="L111">
        <v>20</v>
      </c>
      <c r="M111" t="s">
        <v>173</v>
      </c>
      <c r="N111" t="s">
        <v>367</v>
      </c>
      <c r="O111" t="s">
        <v>30</v>
      </c>
      <c r="P111" t="s">
        <v>30</v>
      </c>
      <c r="Q111" t="s">
        <v>30</v>
      </c>
      <c r="R111" t="s">
        <v>29</v>
      </c>
      <c r="S111" t="s">
        <v>33</v>
      </c>
      <c r="T111" t="s">
        <v>31</v>
      </c>
      <c r="U111" t="s">
        <v>44</v>
      </c>
      <c r="V111" t="s">
        <v>31</v>
      </c>
    </row>
    <row r="112" spans="2:22" x14ac:dyDescent="0.25">
      <c r="B112" s="3" t="s">
        <v>379</v>
      </c>
      <c r="I112" t="s">
        <v>380</v>
      </c>
      <c r="J112" t="s">
        <v>167</v>
      </c>
      <c r="K112" t="s">
        <v>172</v>
      </c>
      <c r="L112">
        <v>31</v>
      </c>
      <c r="M112" t="s">
        <v>177</v>
      </c>
      <c r="N112" t="s">
        <v>367</v>
      </c>
      <c r="O112" t="s">
        <v>48</v>
      </c>
      <c r="P112" t="s">
        <v>29</v>
      </c>
      <c r="Q112" t="s">
        <v>29</v>
      </c>
      <c r="R112" t="s">
        <v>30</v>
      </c>
      <c r="S112" t="s">
        <v>31</v>
      </c>
      <c r="T112" t="s">
        <v>31</v>
      </c>
      <c r="U112" t="s">
        <v>44</v>
      </c>
      <c r="V112" t="s">
        <v>32</v>
      </c>
    </row>
    <row r="113" spans="2:22" x14ac:dyDescent="0.25">
      <c r="B113" s="3" t="s">
        <v>379</v>
      </c>
      <c r="I113" t="s">
        <v>380</v>
      </c>
      <c r="J113" t="s">
        <v>167</v>
      </c>
      <c r="K113" t="s">
        <v>172</v>
      </c>
      <c r="L113">
        <v>20</v>
      </c>
      <c r="M113" t="s">
        <v>177</v>
      </c>
      <c r="N113" t="s">
        <v>367</v>
      </c>
      <c r="O113" t="s">
        <v>48</v>
      </c>
      <c r="P113" t="s">
        <v>30</v>
      </c>
      <c r="Q113" t="s">
        <v>30</v>
      </c>
      <c r="R113" t="s">
        <v>30</v>
      </c>
      <c r="S113" t="s">
        <v>44</v>
      </c>
      <c r="T113" t="s">
        <v>31</v>
      </c>
      <c r="U113" t="s">
        <v>32</v>
      </c>
      <c r="V113" t="s">
        <v>44</v>
      </c>
    </row>
    <row r="114" spans="2:22" x14ac:dyDescent="0.25">
      <c r="B114" s="3" t="s">
        <v>379</v>
      </c>
      <c r="I114" t="s">
        <v>380</v>
      </c>
      <c r="J114" t="s">
        <v>167</v>
      </c>
      <c r="K114" t="s">
        <v>172</v>
      </c>
      <c r="L114">
        <v>24</v>
      </c>
      <c r="M114" t="s">
        <v>177</v>
      </c>
      <c r="N114" t="s">
        <v>367</v>
      </c>
      <c r="O114" t="s">
        <v>75</v>
      </c>
      <c r="P114" t="s">
        <v>381</v>
      </c>
      <c r="Q114" t="s">
        <v>30</v>
      </c>
      <c r="R114" t="s">
        <v>30</v>
      </c>
      <c r="S114" t="s">
        <v>33</v>
      </c>
      <c r="T114" t="s">
        <v>33</v>
      </c>
      <c r="U114" t="s">
        <v>32</v>
      </c>
      <c r="V114" t="s">
        <v>32</v>
      </c>
    </row>
    <row r="115" spans="2:22" x14ac:dyDescent="0.25">
      <c r="B115" s="3" t="s">
        <v>379</v>
      </c>
      <c r="I115" t="s">
        <v>380</v>
      </c>
      <c r="J115" t="s">
        <v>167</v>
      </c>
      <c r="K115" t="s">
        <v>172</v>
      </c>
      <c r="L115" t="s">
        <v>412</v>
      </c>
      <c r="M115" t="s">
        <v>177</v>
      </c>
      <c r="N115" t="s">
        <v>367</v>
      </c>
      <c r="O115" t="s">
        <v>30</v>
      </c>
      <c r="P115" t="s">
        <v>30</v>
      </c>
      <c r="Q115" t="s">
        <v>30</v>
      </c>
      <c r="R115" t="s">
        <v>30</v>
      </c>
      <c r="S115" t="s">
        <v>44</v>
      </c>
      <c r="T115" t="s">
        <v>44</v>
      </c>
      <c r="U115" t="s">
        <v>33</v>
      </c>
      <c r="V115" t="s">
        <v>44</v>
      </c>
    </row>
    <row r="116" spans="2:22" x14ac:dyDescent="0.25">
      <c r="B116" s="3" t="s">
        <v>379</v>
      </c>
      <c r="I116" t="s">
        <v>380</v>
      </c>
      <c r="J116" t="s">
        <v>167</v>
      </c>
      <c r="K116" t="s">
        <v>172</v>
      </c>
      <c r="L116">
        <v>31</v>
      </c>
      <c r="M116" t="s">
        <v>177</v>
      </c>
      <c r="N116" t="s">
        <v>367</v>
      </c>
      <c r="O116" t="s">
        <v>381</v>
      </c>
      <c r="P116" t="s">
        <v>29</v>
      </c>
      <c r="Q116" t="s">
        <v>30</v>
      </c>
      <c r="R116" t="s">
        <v>30</v>
      </c>
      <c r="S116" t="s">
        <v>33</v>
      </c>
      <c r="T116" t="s">
        <v>33</v>
      </c>
      <c r="U116" t="s">
        <v>44</v>
      </c>
      <c r="V116" t="s">
        <v>33</v>
      </c>
    </row>
    <row r="117" spans="2:22" x14ac:dyDescent="0.25">
      <c r="B117" s="3" t="s">
        <v>379</v>
      </c>
      <c r="I117" t="s">
        <v>380</v>
      </c>
      <c r="J117" t="s">
        <v>167</v>
      </c>
      <c r="K117" t="s">
        <v>172</v>
      </c>
      <c r="L117" t="s">
        <v>412</v>
      </c>
      <c r="M117" t="s">
        <v>177</v>
      </c>
      <c r="N117" t="s">
        <v>367</v>
      </c>
      <c r="O117" t="s">
        <v>30</v>
      </c>
      <c r="P117" t="s">
        <v>48</v>
      </c>
      <c r="Q117" t="s">
        <v>48</v>
      </c>
      <c r="R117" t="s">
        <v>48</v>
      </c>
      <c r="S117" t="s">
        <v>44</v>
      </c>
      <c r="T117" t="s">
        <v>33</v>
      </c>
      <c r="U117" t="s">
        <v>33</v>
      </c>
      <c r="V117" t="s">
        <v>44</v>
      </c>
    </row>
    <row r="118" spans="2:22" x14ac:dyDescent="0.25">
      <c r="B118" s="3" t="s">
        <v>379</v>
      </c>
      <c r="I118" t="s">
        <v>380</v>
      </c>
      <c r="J118" t="s">
        <v>167</v>
      </c>
      <c r="K118" t="s">
        <v>172</v>
      </c>
      <c r="L118">
        <v>26</v>
      </c>
      <c r="M118" t="s">
        <v>177</v>
      </c>
      <c r="N118" t="s">
        <v>367</v>
      </c>
      <c r="O118" t="s">
        <v>30</v>
      </c>
      <c r="P118" t="s">
        <v>29</v>
      </c>
      <c r="Q118" t="s">
        <v>29</v>
      </c>
      <c r="R118" t="s">
        <v>30</v>
      </c>
      <c r="S118" t="s">
        <v>32</v>
      </c>
      <c r="T118" t="s">
        <v>33</v>
      </c>
      <c r="U118" t="s">
        <v>33</v>
      </c>
      <c r="V118" t="s">
        <v>32</v>
      </c>
    </row>
    <row r="119" spans="2:22" x14ac:dyDescent="0.25">
      <c r="B119" s="3" t="s">
        <v>379</v>
      </c>
      <c r="I119" t="s">
        <v>380</v>
      </c>
      <c r="J119" t="s">
        <v>167</v>
      </c>
      <c r="K119" t="s">
        <v>172</v>
      </c>
      <c r="L119">
        <v>22</v>
      </c>
      <c r="M119" t="s">
        <v>173</v>
      </c>
      <c r="N119" t="s">
        <v>413</v>
      </c>
      <c r="O119" t="s">
        <v>381</v>
      </c>
      <c r="P119" t="s">
        <v>29</v>
      </c>
      <c r="Q119" t="s">
        <v>29</v>
      </c>
      <c r="R119" t="s">
        <v>29</v>
      </c>
      <c r="S119" t="s">
        <v>44</v>
      </c>
      <c r="T119" t="s">
        <v>31</v>
      </c>
      <c r="U119" t="s">
        <v>44</v>
      </c>
      <c r="V119" t="s">
        <v>33</v>
      </c>
    </row>
    <row r="120" spans="2:22" x14ac:dyDescent="0.25">
      <c r="B120" s="3" t="s">
        <v>379</v>
      </c>
      <c r="I120" t="s">
        <v>380</v>
      </c>
      <c r="J120" t="s">
        <v>167</v>
      </c>
      <c r="K120" t="s">
        <v>172</v>
      </c>
      <c r="L120">
        <v>29</v>
      </c>
      <c r="M120" t="s">
        <v>173</v>
      </c>
      <c r="N120" t="s">
        <v>413</v>
      </c>
      <c r="O120" t="s">
        <v>30</v>
      </c>
      <c r="P120" t="s">
        <v>30</v>
      </c>
      <c r="Q120" t="s">
        <v>30</v>
      </c>
      <c r="R120" t="s">
        <v>29</v>
      </c>
      <c r="S120" t="s">
        <v>44</v>
      </c>
      <c r="T120" t="s">
        <v>31</v>
      </c>
      <c r="U120" t="s">
        <v>44</v>
      </c>
      <c r="V120" t="s">
        <v>33</v>
      </c>
    </row>
    <row r="121" spans="2:22" x14ac:dyDescent="0.25">
      <c r="B121" s="3" t="s">
        <v>379</v>
      </c>
      <c r="I121" t="s">
        <v>380</v>
      </c>
      <c r="J121" t="s">
        <v>167</v>
      </c>
      <c r="K121" t="s">
        <v>172</v>
      </c>
      <c r="L121">
        <v>23</v>
      </c>
      <c r="M121" t="s">
        <v>177</v>
      </c>
      <c r="N121" t="s">
        <v>367</v>
      </c>
      <c r="O121" t="s">
        <v>30</v>
      </c>
      <c r="P121" t="s">
        <v>30</v>
      </c>
      <c r="Q121" t="s">
        <v>30</v>
      </c>
      <c r="R121" t="s">
        <v>48</v>
      </c>
      <c r="S121" t="s">
        <v>31</v>
      </c>
      <c r="T121" t="s">
        <v>31</v>
      </c>
      <c r="U121" t="s">
        <v>33</v>
      </c>
      <c r="V121" t="s">
        <v>44</v>
      </c>
    </row>
    <row r="122" spans="2:22" x14ac:dyDescent="0.25">
      <c r="B122" s="3" t="s">
        <v>379</v>
      </c>
      <c r="I122" t="s">
        <v>380</v>
      </c>
      <c r="J122" t="s">
        <v>167</v>
      </c>
      <c r="K122" t="s">
        <v>172</v>
      </c>
      <c r="L122">
        <v>24</v>
      </c>
      <c r="M122" t="s">
        <v>382</v>
      </c>
      <c r="N122" t="s">
        <v>367</v>
      </c>
      <c r="O122" t="s">
        <v>29</v>
      </c>
      <c r="P122" t="s">
        <v>29</v>
      </c>
      <c r="Q122" t="s">
        <v>30</v>
      </c>
      <c r="R122" t="s">
        <v>30</v>
      </c>
      <c r="S122" t="s">
        <v>44</v>
      </c>
      <c r="T122" t="s">
        <v>31</v>
      </c>
      <c r="U122" t="s">
        <v>31</v>
      </c>
      <c r="V122" t="s">
        <v>33</v>
      </c>
    </row>
    <row r="123" spans="2:22" x14ac:dyDescent="0.25">
      <c r="B123" s="3" t="s">
        <v>379</v>
      </c>
      <c r="I123" t="s">
        <v>380</v>
      </c>
      <c r="J123" t="s">
        <v>167</v>
      </c>
      <c r="K123" t="s">
        <v>172</v>
      </c>
      <c r="L123">
        <v>21</v>
      </c>
      <c r="M123" t="s">
        <v>177</v>
      </c>
      <c r="N123" t="s">
        <v>413</v>
      </c>
      <c r="O123" t="s">
        <v>30</v>
      </c>
      <c r="P123" t="s">
        <v>30</v>
      </c>
      <c r="Q123" t="s">
        <v>30</v>
      </c>
      <c r="R123" t="s">
        <v>30</v>
      </c>
      <c r="S123" t="s">
        <v>44</v>
      </c>
      <c r="T123" t="s">
        <v>33</v>
      </c>
      <c r="U123" t="s">
        <v>33</v>
      </c>
      <c r="V123" t="s">
        <v>33</v>
      </c>
    </row>
    <row r="124" spans="2:22" x14ac:dyDescent="0.25">
      <c r="B124" s="3" t="s">
        <v>379</v>
      </c>
      <c r="I124" t="s">
        <v>380</v>
      </c>
      <c r="J124" t="s">
        <v>167</v>
      </c>
      <c r="K124" t="s">
        <v>172</v>
      </c>
      <c r="L124">
        <v>32</v>
      </c>
      <c r="M124" t="s">
        <v>177</v>
      </c>
      <c r="N124" t="s">
        <v>367</v>
      </c>
      <c r="O124" t="s">
        <v>29</v>
      </c>
      <c r="P124" t="s">
        <v>29</v>
      </c>
      <c r="Q124" t="s">
        <v>29</v>
      </c>
      <c r="R124" t="s">
        <v>29</v>
      </c>
      <c r="S124" t="s">
        <v>33</v>
      </c>
      <c r="T124" t="s">
        <v>31</v>
      </c>
      <c r="U124" t="s">
        <v>44</v>
      </c>
      <c r="V124" t="s">
        <v>33</v>
      </c>
    </row>
    <row r="125" spans="2:22" x14ac:dyDescent="0.25">
      <c r="B125" s="3" t="s">
        <v>379</v>
      </c>
      <c r="I125" t="s">
        <v>380</v>
      </c>
      <c r="J125" t="s">
        <v>167</v>
      </c>
      <c r="K125" t="s">
        <v>172</v>
      </c>
      <c r="L125">
        <v>36</v>
      </c>
      <c r="M125" t="s">
        <v>177</v>
      </c>
      <c r="N125" t="s">
        <v>367</v>
      </c>
      <c r="O125" t="s">
        <v>30</v>
      </c>
      <c r="P125" t="s">
        <v>30</v>
      </c>
      <c r="Q125" t="s">
        <v>30</v>
      </c>
      <c r="R125" t="s">
        <v>29</v>
      </c>
      <c r="S125" t="s">
        <v>31</v>
      </c>
      <c r="T125" t="s">
        <v>31</v>
      </c>
      <c r="U125" t="s">
        <v>44</v>
      </c>
      <c r="V125" t="s">
        <v>33</v>
      </c>
    </row>
    <row r="126" spans="2:22" x14ac:dyDescent="0.25">
      <c r="B126" s="3" t="s">
        <v>379</v>
      </c>
      <c r="I126" t="s">
        <v>380</v>
      </c>
      <c r="J126" t="s">
        <v>167</v>
      </c>
      <c r="K126" t="s">
        <v>364</v>
      </c>
      <c r="L126">
        <v>39</v>
      </c>
      <c r="M126" t="s">
        <v>181</v>
      </c>
      <c r="N126" t="s">
        <v>367</v>
      </c>
      <c r="O126" t="s">
        <v>30</v>
      </c>
      <c r="P126" t="s">
        <v>29</v>
      </c>
      <c r="Q126" t="s">
        <v>30</v>
      </c>
      <c r="R126" t="s">
        <v>29</v>
      </c>
      <c r="S126" t="s">
        <v>44</v>
      </c>
      <c r="T126" t="s">
        <v>44</v>
      </c>
      <c r="U126" t="s">
        <v>44</v>
      </c>
      <c r="V126" t="s">
        <v>44</v>
      </c>
    </row>
    <row r="127" spans="2:22" x14ac:dyDescent="0.25">
      <c r="B127" s="3" t="s">
        <v>379</v>
      </c>
      <c r="I127" t="s">
        <v>380</v>
      </c>
      <c r="J127" t="s">
        <v>167</v>
      </c>
      <c r="K127" t="s">
        <v>364</v>
      </c>
      <c r="L127">
        <v>24</v>
      </c>
      <c r="M127" t="s">
        <v>181</v>
      </c>
      <c r="N127" t="s">
        <v>367</v>
      </c>
      <c r="O127" t="s">
        <v>29</v>
      </c>
      <c r="P127" t="s">
        <v>29</v>
      </c>
      <c r="Q127" t="s">
        <v>30</v>
      </c>
      <c r="R127" t="s">
        <v>30</v>
      </c>
      <c r="S127" t="s">
        <v>33</v>
      </c>
      <c r="T127" t="s">
        <v>31</v>
      </c>
      <c r="U127" t="s">
        <v>44</v>
      </c>
      <c r="V127" t="s">
        <v>44</v>
      </c>
    </row>
    <row r="128" spans="2:22" x14ac:dyDescent="0.25">
      <c r="B128" s="3" t="s">
        <v>379</v>
      </c>
      <c r="I128" t="s">
        <v>380</v>
      </c>
      <c r="J128" t="s">
        <v>167</v>
      </c>
      <c r="K128" t="s">
        <v>364</v>
      </c>
      <c r="L128">
        <v>24</v>
      </c>
      <c r="M128" t="s">
        <v>181</v>
      </c>
      <c r="N128" t="s">
        <v>367</v>
      </c>
      <c r="O128" t="s">
        <v>30</v>
      </c>
      <c r="P128" t="s">
        <v>29</v>
      </c>
      <c r="Q128" t="s">
        <v>29</v>
      </c>
      <c r="R128" t="s">
        <v>29</v>
      </c>
      <c r="S128" t="s">
        <v>33</v>
      </c>
      <c r="T128" t="s">
        <v>33</v>
      </c>
      <c r="U128" t="s">
        <v>44</v>
      </c>
      <c r="V128" t="s">
        <v>32</v>
      </c>
    </row>
    <row r="129" spans="2:22" x14ac:dyDescent="0.25">
      <c r="B129" s="3" t="s">
        <v>379</v>
      </c>
      <c r="I129" t="s">
        <v>380</v>
      </c>
      <c r="J129" t="s">
        <v>167</v>
      </c>
      <c r="K129" t="s">
        <v>364</v>
      </c>
      <c r="L129">
        <v>21</v>
      </c>
      <c r="M129" t="s">
        <v>181</v>
      </c>
      <c r="N129" t="s">
        <v>367</v>
      </c>
      <c r="O129" t="s">
        <v>48</v>
      </c>
      <c r="P129" t="s">
        <v>48</v>
      </c>
      <c r="Q129" t="s">
        <v>48</v>
      </c>
      <c r="R129" t="s">
        <v>30</v>
      </c>
      <c r="S129" t="s">
        <v>44</v>
      </c>
      <c r="T129" t="s">
        <v>44</v>
      </c>
      <c r="U129" t="s">
        <v>33</v>
      </c>
      <c r="V129" t="s">
        <v>32</v>
      </c>
    </row>
    <row r="130" spans="2:22" x14ac:dyDescent="0.25">
      <c r="B130" s="3" t="s">
        <v>379</v>
      </c>
      <c r="I130" t="s">
        <v>380</v>
      </c>
      <c r="J130" t="s">
        <v>167</v>
      </c>
      <c r="K130" t="s">
        <v>364</v>
      </c>
      <c r="L130">
        <v>21</v>
      </c>
      <c r="M130" t="s">
        <v>181</v>
      </c>
      <c r="N130" t="s">
        <v>367</v>
      </c>
      <c r="O130" t="s">
        <v>29</v>
      </c>
      <c r="P130" t="s">
        <v>30</v>
      </c>
      <c r="Q130" t="s">
        <v>48</v>
      </c>
      <c r="R130" t="s">
        <v>29</v>
      </c>
      <c r="S130" t="s">
        <v>33</v>
      </c>
      <c r="T130" t="s">
        <v>31</v>
      </c>
      <c r="U130" t="s">
        <v>44</v>
      </c>
      <c r="V130" t="s">
        <v>44</v>
      </c>
    </row>
    <row r="131" spans="2:22" x14ac:dyDescent="0.25">
      <c r="B131" s="3" t="s">
        <v>431</v>
      </c>
      <c r="I131" t="s">
        <v>430</v>
      </c>
      <c r="J131" t="s">
        <v>166</v>
      </c>
      <c r="K131" t="s">
        <v>172</v>
      </c>
      <c r="L131">
        <v>24</v>
      </c>
      <c r="M131" t="s">
        <v>173</v>
      </c>
      <c r="N131" t="s">
        <v>367</v>
      </c>
      <c r="O131" t="s">
        <v>48</v>
      </c>
      <c r="P131" t="s">
        <v>29</v>
      </c>
      <c r="Q131" t="s">
        <v>29</v>
      </c>
      <c r="R131" t="s">
        <v>30</v>
      </c>
      <c r="S131" t="s">
        <v>44</v>
      </c>
      <c r="T131" t="s">
        <v>31</v>
      </c>
      <c r="U131" t="s">
        <v>44</v>
      </c>
      <c r="V131" t="s">
        <v>44</v>
      </c>
    </row>
    <row r="132" spans="2:22" x14ac:dyDescent="0.25">
      <c r="B132" s="3" t="s">
        <v>431</v>
      </c>
      <c r="I132" t="s">
        <v>430</v>
      </c>
      <c r="J132" t="s">
        <v>166</v>
      </c>
      <c r="K132" t="s">
        <v>172</v>
      </c>
      <c r="L132">
        <v>19</v>
      </c>
      <c r="M132" t="s">
        <v>173</v>
      </c>
      <c r="N132" t="s">
        <v>367</v>
      </c>
      <c r="O132" t="s">
        <v>48</v>
      </c>
      <c r="P132" t="s">
        <v>30</v>
      </c>
      <c r="Q132" t="s">
        <v>29</v>
      </c>
      <c r="R132" t="s">
        <v>30</v>
      </c>
      <c r="S132" t="s">
        <v>44</v>
      </c>
      <c r="T132" t="s">
        <v>33</v>
      </c>
      <c r="U132" t="s">
        <v>33</v>
      </c>
      <c r="V132" t="s">
        <v>44</v>
      </c>
    </row>
    <row r="133" spans="2:22" x14ac:dyDescent="0.25">
      <c r="B133" s="3" t="s">
        <v>431</v>
      </c>
      <c r="I133" t="s">
        <v>430</v>
      </c>
      <c r="J133" t="s">
        <v>166</v>
      </c>
      <c r="K133" t="s">
        <v>172</v>
      </c>
      <c r="L133">
        <v>22</v>
      </c>
      <c r="M133" t="s">
        <v>173</v>
      </c>
      <c r="N133" t="s">
        <v>367</v>
      </c>
      <c r="O133" t="s">
        <v>48</v>
      </c>
      <c r="P133" t="s">
        <v>48</v>
      </c>
      <c r="Q133" t="s">
        <v>29</v>
      </c>
      <c r="R133" t="s">
        <v>30</v>
      </c>
      <c r="S133" t="s">
        <v>33</v>
      </c>
      <c r="T133" t="s">
        <v>31</v>
      </c>
      <c r="U133" t="s">
        <v>33</v>
      </c>
      <c r="V133" t="s">
        <v>44</v>
      </c>
    </row>
    <row r="134" spans="2:22" x14ac:dyDescent="0.25">
      <c r="B134" s="3" t="s">
        <v>431</v>
      </c>
      <c r="I134" t="s">
        <v>430</v>
      </c>
      <c r="J134" t="s">
        <v>166</v>
      </c>
      <c r="K134" t="s">
        <v>172</v>
      </c>
      <c r="L134">
        <v>32</v>
      </c>
      <c r="M134" t="s">
        <v>173</v>
      </c>
      <c r="N134" t="s">
        <v>367</v>
      </c>
      <c r="O134" t="s">
        <v>48</v>
      </c>
      <c r="P134" t="s">
        <v>30</v>
      </c>
      <c r="Q134" t="s">
        <v>30</v>
      </c>
      <c r="R134" t="s">
        <v>30</v>
      </c>
      <c r="S134" t="s">
        <v>44</v>
      </c>
      <c r="T134" t="s">
        <v>44</v>
      </c>
      <c r="U134" t="s">
        <v>31</v>
      </c>
      <c r="V134" t="s">
        <v>32</v>
      </c>
    </row>
    <row r="135" spans="2:22" x14ac:dyDescent="0.25">
      <c r="B135" s="3" t="s">
        <v>431</v>
      </c>
      <c r="I135" t="s">
        <v>430</v>
      </c>
      <c r="J135" t="s">
        <v>166</v>
      </c>
      <c r="K135" t="s">
        <v>172</v>
      </c>
      <c r="L135">
        <v>19</v>
      </c>
      <c r="M135" t="s">
        <v>173</v>
      </c>
      <c r="N135" t="s">
        <v>367</v>
      </c>
      <c r="O135" t="s">
        <v>48</v>
      </c>
      <c r="P135" t="s">
        <v>29</v>
      </c>
      <c r="Q135" t="s">
        <v>30</v>
      </c>
      <c r="R135" t="s">
        <v>30</v>
      </c>
      <c r="S135" t="s">
        <v>44</v>
      </c>
      <c r="T135" t="s">
        <v>33</v>
      </c>
      <c r="U135" t="s">
        <v>44</v>
      </c>
      <c r="V135" t="s">
        <v>44</v>
      </c>
    </row>
    <row r="136" spans="2:22" x14ac:dyDescent="0.25">
      <c r="B136" s="3" t="s">
        <v>431</v>
      </c>
      <c r="I136" t="s">
        <v>430</v>
      </c>
      <c r="J136" t="s">
        <v>166</v>
      </c>
      <c r="K136" t="s">
        <v>172</v>
      </c>
      <c r="L136">
        <v>19</v>
      </c>
      <c r="M136" t="s">
        <v>173</v>
      </c>
      <c r="N136" t="s">
        <v>367</v>
      </c>
      <c r="O136" t="s">
        <v>48</v>
      </c>
      <c r="P136" t="s">
        <v>30</v>
      </c>
      <c r="Q136" t="s">
        <v>30</v>
      </c>
      <c r="R136" t="s">
        <v>48</v>
      </c>
      <c r="S136" t="s">
        <v>44</v>
      </c>
      <c r="T136" t="s">
        <v>33</v>
      </c>
      <c r="U136" t="s">
        <v>44</v>
      </c>
      <c r="V136" t="s">
        <v>44</v>
      </c>
    </row>
    <row r="137" spans="2:22" x14ac:dyDescent="0.25">
      <c r="B137" s="3" t="s">
        <v>431</v>
      </c>
      <c r="I137" t="s">
        <v>430</v>
      </c>
      <c r="J137" t="s">
        <v>166</v>
      </c>
      <c r="K137" t="s">
        <v>172</v>
      </c>
      <c r="L137">
        <v>35</v>
      </c>
      <c r="M137" t="s">
        <v>173</v>
      </c>
      <c r="N137" t="s">
        <v>367</v>
      </c>
      <c r="O137" t="s">
        <v>75</v>
      </c>
      <c r="P137" t="s">
        <v>30</v>
      </c>
      <c r="Q137" t="s">
        <v>30</v>
      </c>
      <c r="R137" t="s">
        <v>30</v>
      </c>
      <c r="S137" t="s">
        <v>44</v>
      </c>
      <c r="T137" t="s">
        <v>31</v>
      </c>
      <c r="U137" t="s">
        <v>33</v>
      </c>
      <c r="V137" t="s">
        <v>382</v>
      </c>
    </row>
    <row r="138" spans="2:22" x14ac:dyDescent="0.25">
      <c r="B138" s="3" t="s">
        <v>431</v>
      </c>
      <c r="I138" t="s">
        <v>430</v>
      </c>
      <c r="J138" t="s">
        <v>166</v>
      </c>
      <c r="K138" t="s">
        <v>172</v>
      </c>
      <c r="L138">
        <v>19</v>
      </c>
      <c r="M138" t="s">
        <v>173</v>
      </c>
      <c r="N138" t="s">
        <v>367</v>
      </c>
      <c r="O138" t="s">
        <v>48</v>
      </c>
      <c r="P138" t="s">
        <v>48</v>
      </c>
      <c r="Q138" t="s">
        <v>30</v>
      </c>
      <c r="R138" t="s">
        <v>48</v>
      </c>
      <c r="S138" t="s">
        <v>44</v>
      </c>
      <c r="T138" t="s">
        <v>44</v>
      </c>
      <c r="U138" t="s">
        <v>33</v>
      </c>
      <c r="V138" t="s">
        <v>44</v>
      </c>
    </row>
    <row r="139" spans="2:22" x14ac:dyDescent="0.25">
      <c r="B139" s="3" t="s">
        <v>431</v>
      </c>
      <c r="I139" t="s">
        <v>430</v>
      </c>
      <c r="J139" t="s">
        <v>166</v>
      </c>
      <c r="K139" t="s">
        <v>172</v>
      </c>
      <c r="L139" t="s">
        <v>412</v>
      </c>
      <c r="M139" t="s">
        <v>173</v>
      </c>
      <c r="N139" t="s">
        <v>367</v>
      </c>
      <c r="O139" t="s">
        <v>30</v>
      </c>
      <c r="P139" t="s">
        <v>30</v>
      </c>
      <c r="Q139" t="s">
        <v>30</v>
      </c>
      <c r="R139" t="s">
        <v>30</v>
      </c>
      <c r="S139" t="s">
        <v>44</v>
      </c>
      <c r="T139" t="s">
        <v>31</v>
      </c>
      <c r="U139" t="s">
        <v>33</v>
      </c>
      <c r="V139" t="s">
        <v>32</v>
      </c>
    </row>
    <row r="140" spans="2:22" x14ac:dyDescent="0.25">
      <c r="B140" s="3" t="s">
        <v>431</v>
      </c>
      <c r="I140" t="s">
        <v>430</v>
      </c>
      <c r="J140" t="s">
        <v>166</v>
      </c>
      <c r="K140" t="s">
        <v>172</v>
      </c>
      <c r="L140">
        <v>33</v>
      </c>
      <c r="M140" t="s">
        <v>173</v>
      </c>
      <c r="N140" t="s">
        <v>367</v>
      </c>
      <c r="O140" t="s">
        <v>30</v>
      </c>
      <c r="P140" t="s">
        <v>30</v>
      </c>
      <c r="Q140" t="s">
        <v>30</v>
      </c>
      <c r="R140" t="s">
        <v>48</v>
      </c>
      <c r="S140" t="s">
        <v>44</v>
      </c>
      <c r="T140" t="s">
        <v>33</v>
      </c>
      <c r="U140" t="s">
        <v>31</v>
      </c>
      <c r="V140" t="s">
        <v>44</v>
      </c>
    </row>
    <row r="141" spans="2:22" x14ac:dyDescent="0.25">
      <c r="B141" s="3" t="s">
        <v>431</v>
      </c>
      <c r="I141" t="s">
        <v>430</v>
      </c>
      <c r="J141" t="s">
        <v>166</v>
      </c>
      <c r="K141" t="s">
        <v>172</v>
      </c>
      <c r="L141">
        <v>22</v>
      </c>
      <c r="M141" t="s">
        <v>173</v>
      </c>
      <c r="N141" t="s">
        <v>367</v>
      </c>
      <c r="O141" t="s">
        <v>48</v>
      </c>
      <c r="P141" t="s">
        <v>30</v>
      </c>
      <c r="Q141" t="s">
        <v>30</v>
      </c>
      <c r="R141" t="s">
        <v>30</v>
      </c>
      <c r="S141" t="s">
        <v>33</v>
      </c>
      <c r="T141" t="s">
        <v>33</v>
      </c>
      <c r="U141" t="s">
        <v>33</v>
      </c>
      <c r="V141" t="s">
        <v>44</v>
      </c>
    </row>
    <row r="142" spans="2:22" x14ac:dyDescent="0.25">
      <c r="B142" s="3" t="s">
        <v>431</v>
      </c>
      <c r="I142" t="s">
        <v>430</v>
      </c>
      <c r="J142" t="s">
        <v>166</v>
      </c>
      <c r="K142" t="s">
        <v>172</v>
      </c>
      <c r="L142">
        <v>19</v>
      </c>
      <c r="M142" t="s">
        <v>173</v>
      </c>
      <c r="N142" t="s">
        <v>367</v>
      </c>
      <c r="O142" t="s">
        <v>48</v>
      </c>
      <c r="P142" t="s">
        <v>48</v>
      </c>
      <c r="Q142" t="s">
        <v>30</v>
      </c>
      <c r="R142" t="s">
        <v>48</v>
      </c>
      <c r="S142" t="s">
        <v>44</v>
      </c>
      <c r="T142" t="s">
        <v>33</v>
      </c>
      <c r="U142" t="s">
        <v>33</v>
      </c>
      <c r="V142" t="s">
        <v>44</v>
      </c>
    </row>
    <row r="143" spans="2:22" x14ac:dyDescent="0.25">
      <c r="B143" s="3" t="s">
        <v>431</v>
      </c>
      <c r="I143" t="s">
        <v>430</v>
      </c>
      <c r="J143" t="s">
        <v>166</v>
      </c>
      <c r="K143" t="s">
        <v>172</v>
      </c>
      <c r="L143">
        <v>18</v>
      </c>
      <c r="M143" t="s">
        <v>173</v>
      </c>
      <c r="N143" t="s">
        <v>367</v>
      </c>
      <c r="O143" t="s">
        <v>48</v>
      </c>
      <c r="P143" t="s">
        <v>30</v>
      </c>
      <c r="Q143" t="s">
        <v>30</v>
      </c>
      <c r="R143" t="s">
        <v>48</v>
      </c>
      <c r="S143" t="s">
        <v>32</v>
      </c>
      <c r="T143" t="s">
        <v>33</v>
      </c>
      <c r="U143" t="s">
        <v>31</v>
      </c>
      <c r="V143" t="s">
        <v>32</v>
      </c>
    </row>
    <row r="144" spans="2:22" x14ac:dyDescent="0.25">
      <c r="B144" s="3" t="s">
        <v>431</v>
      </c>
      <c r="I144" t="s">
        <v>430</v>
      </c>
      <c r="J144" t="s">
        <v>166</v>
      </c>
      <c r="K144" t="s">
        <v>172</v>
      </c>
      <c r="L144">
        <v>32</v>
      </c>
      <c r="M144" t="s">
        <v>173</v>
      </c>
      <c r="N144" t="s">
        <v>367</v>
      </c>
      <c r="O144" t="s">
        <v>30</v>
      </c>
      <c r="P144" t="s">
        <v>29</v>
      </c>
      <c r="Q144" t="s">
        <v>29</v>
      </c>
      <c r="R144" t="s">
        <v>30</v>
      </c>
      <c r="S144" t="s">
        <v>31</v>
      </c>
      <c r="T144" t="s">
        <v>31</v>
      </c>
      <c r="U144" t="s">
        <v>44</v>
      </c>
      <c r="V144" t="s">
        <v>44</v>
      </c>
    </row>
    <row r="145" spans="2:22" x14ac:dyDescent="0.25">
      <c r="B145" s="3" t="s">
        <v>431</v>
      </c>
      <c r="I145" t="s">
        <v>430</v>
      </c>
      <c r="J145" t="s">
        <v>166</v>
      </c>
      <c r="K145" t="s">
        <v>172</v>
      </c>
      <c r="L145">
        <v>20</v>
      </c>
      <c r="M145" t="s">
        <v>173</v>
      </c>
      <c r="N145" t="s">
        <v>367</v>
      </c>
      <c r="O145" t="s">
        <v>30</v>
      </c>
      <c r="P145" t="s">
        <v>29</v>
      </c>
      <c r="Q145" t="s">
        <v>29</v>
      </c>
      <c r="R145" t="s">
        <v>30</v>
      </c>
      <c r="S145" t="s">
        <v>44</v>
      </c>
      <c r="T145" t="s">
        <v>33</v>
      </c>
      <c r="U145" t="s">
        <v>31</v>
      </c>
      <c r="V145" t="s">
        <v>44</v>
      </c>
    </row>
    <row r="146" spans="2:22" x14ac:dyDescent="0.25">
      <c r="B146" s="3" t="s">
        <v>431</v>
      </c>
      <c r="I146" t="s">
        <v>430</v>
      </c>
      <c r="J146" t="s">
        <v>166</v>
      </c>
      <c r="K146" t="s">
        <v>172</v>
      </c>
      <c r="L146">
        <v>25</v>
      </c>
      <c r="M146" t="s">
        <v>177</v>
      </c>
      <c r="N146" t="s">
        <v>413</v>
      </c>
      <c r="O146" t="s">
        <v>75</v>
      </c>
      <c r="P146" t="s">
        <v>30</v>
      </c>
      <c r="Q146" t="s">
        <v>30</v>
      </c>
      <c r="R146" t="s">
        <v>48</v>
      </c>
      <c r="S146" t="s">
        <v>32</v>
      </c>
      <c r="T146" t="s">
        <v>33</v>
      </c>
      <c r="U146" t="s">
        <v>33</v>
      </c>
      <c r="V146" t="s">
        <v>32</v>
      </c>
    </row>
    <row r="147" spans="2:22" x14ac:dyDescent="0.25">
      <c r="B147" s="3" t="s">
        <v>431</v>
      </c>
      <c r="I147" t="s">
        <v>430</v>
      </c>
      <c r="J147" t="s">
        <v>166</v>
      </c>
      <c r="K147" t="s">
        <v>172</v>
      </c>
      <c r="L147">
        <v>19</v>
      </c>
      <c r="M147" t="s">
        <v>177</v>
      </c>
      <c r="N147" t="s">
        <v>413</v>
      </c>
      <c r="O147" t="s">
        <v>75</v>
      </c>
      <c r="P147" t="s">
        <v>48</v>
      </c>
      <c r="Q147" t="s">
        <v>48</v>
      </c>
      <c r="R147" t="s">
        <v>30</v>
      </c>
      <c r="S147" t="s">
        <v>32</v>
      </c>
      <c r="T147" t="s">
        <v>44</v>
      </c>
      <c r="U147" t="s">
        <v>33</v>
      </c>
      <c r="V147" t="s">
        <v>32</v>
      </c>
    </row>
    <row r="148" spans="2:22" x14ac:dyDescent="0.25">
      <c r="B148" s="3" t="s">
        <v>431</v>
      </c>
      <c r="I148" t="s">
        <v>430</v>
      </c>
      <c r="J148" t="s">
        <v>166</v>
      </c>
      <c r="K148" t="s">
        <v>172</v>
      </c>
      <c r="L148">
        <v>34</v>
      </c>
      <c r="M148" t="s">
        <v>177</v>
      </c>
      <c r="N148" t="s">
        <v>413</v>
      </c>
      <c r="O148" t="s">
        <v>75</v>
      </c>
      <c r="P148" t="s">
        <v>48</v>
      </c>
      <c r="Q148" t="s">
        <v>48</v>
      </c>
      <c r="R148" t="s">
        <v>48</v>
      </c>
      <c r="S148" t="s">
        <v>32</v>
      </c>
      <c r="T148" t="s">
        <v>32</v>
      </c>
      <c r="U148" t="s">
        <v>31</v>
      </c>
      <c r="V148" t="s">
        <v>32</v>
      </c>
    </row>
    <row r="149" spans="2:22" x14ac:dyDescent="0.25">
      <c r="B149" s="3" t="s">
        <v>431</v>
      </c>
      <c r="I149" t="s">
        <v>430</v>
      </c>
      <c r="J149" t="s">
        <v>166</v>
      </c>
      <c r="K149" t="s">
        <v>172</v>
      </c>
      <c r="L149">
        <v>26</v>
      </c>
      <c r="M149" t="s">
        <v>177</v>
      </c>
      <c r="N149" t="s">
        <v>413</v>
      </c>
      <c r="O149" t="s">
        <v>48</v>
      </c>
      <c r="P149" t="s">
        <v>48</v>
      </c>
      <c r="Q149" t="s">
        <v>30</v>
      </c>
      <c r="R149" t="s">
        <v>48</v>
      </c>
      <c r="S149" t="s">
        <v>44</v>
      </c>
      <c r="T149" t="s">
        <v>33</v>
      </c>
      <c r="U149" t="s">
        <v>33</v>
      </c>
      <c r="V149" t="s">
        <v>33</v>
      </c>
    </row>
    <row r="150" spans="2:22" x14ac:dyDescent="0.25">
      <c r="B150" s="3" t="s">
        <v>431</v>
      </c>
      <c r="I150" t="s">
        <v>430</v>
      </c>
      <c r="J150" t="s">
        <v>166</v>
      </c>
      <c r="K150" t="s">
        <v>172</v>
      </c>
      <c r="L150">
        <v>38</v>
      </c>
      <c r="M150" t="s">
        <v>177</v>
      </c>
      <c r="N150" t="s">
        <v>413</v>
      </c>
      <c r="O150" t="s">
        <v>48</v>
      </c>
      <c r="P150" t="s">
        <v>30</v>
      </c>
      <c r="Q150" t="s">
        <v>30</v>
      </c>
      <c r="R150" t="s">
        <v>30</v>
      </c>
      <c r="S150" t="s">
        <v>32</v>
      </c>
      <c r="T150" t="s">
        <v>33</v>
      </c>
      <c r="U150" t="s">
        <v>44</v>
      </c>
      <c r="V150" t="s">
        <v>32</v>
      </c>
    </row>
    <row r="151" spans="2:22" x14ac:dyDescent="0.25">
      <c r="B151" s="3" t="s">
        <v>431</v>
      </c>
      <c r="I151" t="s">
        <v>430</v>
      </c>
      <c r="J151" t="s">
        <v>166</v>
      </c>
      <c r="K151" t="s">
        <v>172</v>
      </c>
      <c r="L151">
        <v>28</v>
      </c>
      <c r="M151" t="s">
        <v>177</v>
      </c>
      <c r="N151" t="s">
        <v>413</v>
      </c>
      <c r="O151" t="s">
        <v>75</v>
      </c>
      <c r="P151" t="s">
        <v>48</v>
      </c>
      <c r="Q151" t="s">
        <v>48</v>
      </c>
      <c r="R151" t="s">
        <v>29</v>
      </c>
      <c r="S151" t="s">
        <v>32</v>
      </c>
      <c r="T151" t="s">
        <v>32</v>
      </c>
      <c r="U151" t="s">
        <v>31</v>
      </c>
      <c r="V151" t="s">
        <v>32</v>
      </c>
    </row>
    <row r="152" spans="2:22" x14ac:dyDescent="0.25">
      <c r="B152" s="3" t="s">
        <v>431</v>
      </c>
      <c r="I152" t="s">
        <v>430</v>
      </c>
      <c r="J152" t="s">
        <v>166</v>
      </c>
      <c r="K152" t="s">
        <v>172</v>
      </c>
      <c r="L152">
        <v>24</v>
      </c>
      <c r="M152" t="s">
        <v>177</v>
      </c>
      <c r="N152" t="s">
        <v>413</v>
      </c>
      <c r="O152" t="s">
        <v>75</v>
      </c>
      <c r="P152" t="s">
        <v>75</v>
      </c>
      <c r="Q152" t="s">
        <v>75</v>
      </c>
      <c r="R152" t="s">
        <v>30</v>
      </c>
      <c r="S152" t="s">
        <v>32</v>
      </c>
      <c r="T152" t="s">
        <v>32</v>
      </c>
      <c r="U152" t="s">
        <v>31</v>
      </c>
      <c r="V152" t="s">
        <v>44</v>
      </c>
    </row>
    <row r="153" spans="2:22" x14ac:dyDescent="0.25">
      <c r="B153" s="3" t="s">
        <v>431</v>
      </c>
      <c r="I153" t="s">
        <v>430</v>
      </c>
      <c r="J153" t="s">
        <v>166</v>
      </c>
      <c r="K153" t="s">
        <v>172</v>
      </c>
      <c r="L153">
        <v>34</v>
      </c>
      <c r="M153" t="s">
        <v>177</v>
      </c>
      <c r="N153" t="s">
        <v>413</v>
      </c>
      <c r="O153" t="s">
        <v>75</v>
      </c>
      <c r="P153" t="s">
        <v>75</v>
      </c>
      <c r="Q153" t="s">
        <v>48</v>
      </c>
      <c r="R153" t="s">
        <v>29</v>
      </c>
      <c r="S153" t="s">
        <v>44</v>
      </c>
      <c r="T153" t="s">
        <v>32</v>
      </c>
      <c r="U153" t="s">
        <v>31</v>
      </c>
      <c r="V153" t="s">
        <v>32</v>
      </c>
    </row>
    <row r="154" spans="2:22" x14ac:dyDescent="0.25">
      <c r="B154" s="3" t="s">
        <v>431</v>
      </c>
      <c r="I154" t="s">
        <v>430</v>
      </c>
      <c r="J154" t="s">
        <v>166</v>
      </c>
      <c r="K154" t="s">
        <v>172</v>
      </c>
      <c r="L154">
        <v>23</v>
      </c>
      <c r="M154" t="s">
        <v>177</v>
      </c>
      <c r="N154" t="s">
        <v>413</v>
      </c>
      <c r="O154" t="s">
        <v>75</v>
      </c>
      <c r="P154" t="s">
        <v>75</v>
      </c>
      <c r="Q154" t="s">
        <v>48</v>
      </c>
      <c r="R154" t="s">
        <v>29</v>
      </c>
      <c r="S154" t="s">
        <v>44</v>
      </c>
      <c r="T154" t="s">
        <v>44</v>
      </c>
      <c r="U154" t="s">
        <v>31</v>
      </c>
      <c r="V154" t="s">
        <v>32</v>
      </c>
    </row>
    <row r="155" spans="2:22" x14ac:dyDescent="0.25">
      <c r="B155" s="3" t="s">
        <v>431</v>
      </c>
      <c r="I155" t="s">
        <v>430</v>
      </c>
      <c r="J155" t="s">
        <v>166</v>
      </c>
      <c r="K155" t="s">
        <v>172</v>
      </c>
      <c r="L155">
        <v>24</v>
      </c>
      <c r="M155" t="s">
        <v>177</v>
      </c>
      <c r="N155" t="s">
        <v>413</v>
      </c>
      <c r="O155" t="s">
        <v>75</v>
      </c>
      <c r="P155" t="s">
        <v>30</v>
      </c>
      <c r="Q155" t="s">
        <v>30</v>
      </c>
      <c r="R155" t="s">
        <v>30</v>
      </c>
      <c r="S155" t="s">
        <v>44</v>
      </c>
      <c r="T155" t="s">
        <v>31</v>
      </c>
      <c r="U155" t="s">
        <v>44</v>
      </c>
      <c r="V155" t="s">
        <v>32</v>
      </c>
    </row>
    <row r="156" spans="2:22" x14ac:dyDescent="0.25">
      <c r="B156" s="3" t="s">
        <v>431</v>
      </c>
      <c r="I156" t="s">
        <v>430</v>
      </c>
      <c r="J156" t="s">
        <v>166</v>
      </c>
      <c r="K156" t="s">
        <v>172</v>
      </c>
      <c r="L156" t="s">
        <v>412</v>
      </c>
      <c r="M156" t="s">
        <v>177</v>
      </c>
      <c r="N156" t="s">
        <v>413</v>
      </c>
      <c r="O156" t="s">
        <v>75</v>
      </c>
      <c r="P156" t="s">
        <v>75</v>
      </c>
      <c r="Q156" t="s">
        <v>75</v>
      </c>
      <c r="R156" t="s">
        <v>75</v>
      </c>
      <c r="S156" t="s">
        <v>32</v>
      </c>
      <c r="T156" t="s">
        <v>32</v>
      </c>
      <c r="U156" t="s">
        <v>31</v>
      </c>
      <c r="V156" t="s">
        <v>32</v>
      </c>
    </row>
    <row r="157" spans="2:22" x14ac:dyDescent="0.25">
      <c r="B157" s="3" t="s">
        <v>431</v>
      </c>
      <c r="I157" t="s">
        <v>430</v>
      </c>
      <c r="J157" t="s">
        <v>166</v>
      </c>
      <c r="K157" t="s">
        <v>172</v>
      </c>
      <c r="L157">
        <v>19</v>
      </c>
      <c r="M157" t="s">
        <v>177</v>
      </c>
      <c r="N157" t="s">
        <v>413</v>
      </c>
      <c r="O157" t="s">
        <v>75</v>
      </c>
      <c r="P157" t="s">
        <v>48</v>
      </c>
      <c r="Q157" t="s">
        <v>48</v>
      </c>
      <c r="R157" t="s">
        <v>30</v>
      </c>
      <c r="S157" t="s">
        <v>44</v>
      </c>
      <c r="T157" t="s">
        <v>33</v>
      </c>
      <c r="U157" t="s">
        <v>31</v>
      </c>
      <c r="V157" t="s">
        <v>32</v>
      </c>
    </row>
    <row r="158" spans="2:22" x14ac:dyDescent="0.25">
      <c r="B158" s="3" t="s">
        <v>431</v>
      </c>
      <c r="I158" t="s">
        <v>430</v>
      </c>
      <c r="J158" t="s">
        <v>166</v>
      </c>
      <c r="K158" t="s">
        <v>172</v>
      </c>
      <c r="L158">
        <v>21</v>
      </c>
      <c r="M158" t="s">
        <v>177</v>
      </c>
      <c r="N158" t="s">
        <v>413</v>
      </c>
      <c r="O158" t="s">
        <v>75</v>
      </c>
      <c r="P158" t="s">
        <v>30</v>
      </c>
      <c r="Q158" t="s">
        <v>30</v>
      </c>
      <c r="R158" t="s">
        <v>30</v>
      </c>
      <c r="S158" t="s">
        <v>44</v>
      </c>
      <c r="T158" t="s">
        <v>33</v>
      </c>
      <c r="U158" t="s">
        <v>33</v>
      </c>
      <c r="V158" t="s">
        <v>32</v>
      </c>
    </row>
    <row r="159" spans="2:22" x14ac:dyDescent="0.25">
      <c r="B159" s="3" t="s">
        <v>431</v>
      </c>
      <c r="I159" t="s">
        <v>430</v>
      </c>
      <c r="J159" t="s">
        <v>166</v>
      </c>
      <c r="K159" t="s">
        <v>172</v>
      </c>
      <c r="L159">
        <v>28</v>
      </c>
      <c r="M159" t="s">
        <v>177</v>
      </c>
      <c r="N159" t="s">
        <v>413</v>
      </c>
      <c r="O159" t="s">
        <v>75</v>
      </c>
      <c r="P159" t="s">
        <v>30</v>
      </c>
      <c r="Q159" t="s">
        <v>30</v>
      </c>
      <c r="R159" t="s">
        <v>48</v>
      </c>
      <c r="S159" t="s">
        <v>44</v>
      </c>
      <c r="T159" t="s">
        <v>44</v>
      </c>
      <c r="U159" t="s">
        <v>33</v>
      </c>
      <c r="V159" t="s">
        <v>32</v>
      </c>
    </row>
    <row r="160" spans="2:22" x14ac:dyDescent="0.25">
      <c r="B160" s="3" t="s">
        <v>431</v>
      </c>
      <c r="I160" t="s">
        <v>430</v>
      </c>
      <c r="J160" t="s">
        <v>166</v>
      </c>
      <c r="K160" t="s">
        <v>172</v>
      </c>
      <c r="L160">
        <v>26</v>
      </c>
      <c r="M160" t="s">
        <v>177</v>
      </c>
      <c r="N160" t="s">
        <v>413</v>
      </c>
      <c r="O160" t="s">
        <v>75</v>
      </c>
      <c r="P160" t="s">
        <v>29</v>
      </c>
      <c r="Q160" t="s">
        <v>30</v>
      </c>
      <c r="R160" t="s">
        <v>30</v>
      </c>
      <c r="S160" t="s">
        <v>32</v>
      </c>
      <c r="T160" t="s">
        <v>33</v>
      </c>
      <c r="U160" t="s">
        <v>33</v>
      </c>
      <c r="V160" t="s">
        <v>32</v>
      </c>
    </row>
    <row r="161" spans="1:34" x14ac:dyDescent="0.25">
      <c r="B161" s="3" t="s">
        <v>431</v>
      </c>
      <c r="I161" t="s">
        <v>430</v>
      </c>
      <c r="J161" t="s">
        <v>166</v>
      </c>
      <c r="K161" t="s">
        <v>172</v>
      </c>
      <c r="L161">
        <v>27</v>
      </c>
      <c r="M161" t="s">
        <v>177</v>
      </c>
      <c r="N161" t="s">
        <v>413</v>
      </c>
      <c r="O161" t="s">
        <v>75</v>
      </c>
      <c r="P161" t="s">
        <v>29</v>
      </c>
      <c r="Q161" t="s">
        <v>48</v>
      </c>
      <c r="R161" t="s">
        <v>30</v>
      </c>
      <c r="S161" t="s">
        <v>32</v>
      </c>
      <c r="T161" t="s">
        <v>44</v>
      </c>
      <c r="U161" t="s">
        <v>31</v>
      </c>
      <c r="V161" t="s">
        <v>32</v>
      </c>
    </row>
    <row r="162" spans="1:34" x14ac:dyDescent="0.25">
      <c r="B162" s="3"/>
    </row>
    <row r="163" spans="1:34" ht="14.4" customHeight="1" x14ac:dyDescent="0.25"/>
    <row r="164" spans="1:34" s="5" customFormat="1" ht="13" x14ac:dyDescent="0.3">
      <c r="A164" s="5" t="s">
        <v>372</v>
      </c>
    </row>
    <row r="165" spans="1:34" x14ac:dyDescent="0.25">
      <c r="A165">
        <v>7</v>
      </c>
      <c r="B165" t="s">
        <v>188</v>
      </c>
      <c r="C165">
        <v>3</v>
      </c>
      <c r="D165" t="s">
        <v>25</v>
      </c>
      <c r="E165">
        <v>1722397259</v>
      </c>
      <c r="F165" t="s">
        <v>189</v>
      </c>
      <c r="G165" t="s">
        <v>188</v>
      </c>
      <c r="H165" t="s">
        <v>190</v>
      </c>
      <c r="I165" t="s">
        <v>191</v>
      </c>
      <c r="J165" t="s">
        <v>171</v>
      </c>
      <c r="K165" t="s">
        <v>364</v>
      </c>
      <c r="L165">
        <v>30</v>
      </c>
      <c r="M165" t="s">
        <v>367</v>
      </c>
      <c r="N165" t="s">
        <v>173</v>
      </c>
      <c r="O165" t="s">
        <v>29</v>
      </c>
      <c r="P165" t="s">
        <v>29</v>
      </c>
      <c r="Q165" t="s">
        <v>29</v>
      </c>
      <c r="R165" t="s">
        <v>29</v>
      </c>
      <c r="S165" t="s">
        <v>32</v>
      </c>
      <c r="T165" t="s">
        <v>44</v>
      </c>
      <c r="U165" t="s">
        <v>44</v>
      </c>
      <c r="V165" t="s">
        <v>31</v>
      </c>
      <c r="X165">
        <v>406.72</v>
      </c>
      <c r="Y165">
        <v>61.6</v>
      </c>
      <c r="AE165">
        <v>190.36</v>
      </c>
      <c r="AH165">
        <v>154.76</v>
      </c>
    </row>
    <row r="166" spans="1:34" x14ac:dyDescent="0.25">
      <c r="A166">
        <v>8</v>
      </c>
      <c r="B166" t="s">
        <v>192</v>
      </c>
      <c r="C166">
        <v>3</v>
      </c>
      <c r="D166" t="s">
        <v>25</v>
      </c>
      <c r="E166">
        <v>123228805</v>
      </c>
      <c r="F166" t="s">
        <v>193</v>
      </c>
      <c r="G166" t="s">
        <v>192</v>
      </c>
      <c r="H166" t="s">
        <v>194</v>
      </c>
      <c r="I166" t="s">
        <v>195</v>
      </c>
      <c r="J166" t="s">
        <v>171</v>
      </c>
      <c r="K166" t="s">
        <v>172</v>
      </c>
      <c r="L166">
        <v>32</v>
      </c>
      <c r="M166" t="s">
        <v>174</v>
      </c>
      <c r="N166" t="s">
        <v>173</v>
      </c>
      <c r="O166" t="s">
        <v>30</v>
      </c>
      <c r="P166" t="s">
        <v>30</v>
      </c>
      <c r="Q166" t="s">
        <v>30</v>
      </c>
      <c r="R166" t="s">
        <v>30</v>
      </c>
      <c r="S166" t="s">
        <v>44</v>
      </c>
      <c r="T166" t="s">
        <v>33</v>
      </c>
      <c r="U166" t="s">
        <v>44</v>
      </c>
      <c r="V166" t="s">
        <v>33</v>
      </c>
      <c r="W166" t="s">
        <v>368</v>
      </c>
      <c r="X166">
        <v>439.45</v>
      </c>
      <c r="Y166">
        <v>49.83</v>
      </c>
      <c r="AE166">
        <v>160.99</v>
      </c>
      <c r="AH166">
        <v>228.63</v>
      </c>
    </row>
    <row r="167" spans="1:34" x14ac:dyDescent="0.25">
      <c r="A167">
        <v>14</v>
      </c>
      <c r="B167" t="s">
        <v>196</v>
      </c>
      <c r="C167">
        <v>3</v>
      </c>
      <c r="D167" t="s">
        <v>25</v>
      </c>
      <c r="E167">
        <v>337857316</v>
      </c>
      <c r="F167" t="s">
        <v>197</v>
      </c>
      <c r="G167" t="s">
        <v>196</v>
      </c>
      <c r="H167" t="s">
        <v>198</v>
      </c>
      <c r="I167" t="s">
        <v>195</v>
      </c>
      <c r="J167" t="s">
        <v>171</v>
      </c>
      <c r="K167" t="s">
        <v>172</v>
      </c>
      <c r="L167">
        <v>26</v>
      </c>
      <c r="M167" t="s">
        <v>367</v>
      </c>
      <c r="O167" t="s">
        <v>29</v>
      </c>
      <c r="P167" t="s">
        <v>30</v>
      </c>
      <c r="Q167" t="s">
        <v>30</v>
      </c>
      <c r="R167" t="s">
        <v>30</v>
      </c>
      <c r="S167" t="s">
        <v>44</v>
      </c>
      <c r="T167" t="s">
        <v>44</v>
      </c>
      <c r="U167" t="s">
        <v>33</v>
      </c>
      <c r="V167" t="s">
        <v>44</v>
      </c>
      <c r="X167">
        <v>49.3</v>
      </c>
      <c r="Y167">
        <v>10.01</v>
      </c>
      <c r="AE167">
        <v>20.94</v>
      </c>
      <c r="AH167">
        <v>18.350000000000001</v>
      </c>
    </row>
    <row r="168" spans="1:34" x14ac:dyDescent="0.25">
      <c r="A168">
        <v>16</v>
      </c>
      <c r="C168">
        <v>2</v>
      </c>
      <c r="D168" t="s">
        <v>25</v>
      </c>
      <c r="E168">
        <v>1915518741</v>
      </c>
      <c r="F168" t="s">
        <v>199</v>
      </c>
      <c r="G168" t="s">
        <v>200</v>
      </c>
      <c r="H168" t="s">
        <v>201</v>
      </c>
      <c r="I168" t="s">
        <v>191</v>
      </c>
      <c r="J168" t="s">
        <v>171</v>
      </c>
      <c r="K168" t="s">
        <v>172</v>
      </c>
      <c r="L168">
        <v>25</v>
      </c>
      <c r="M168" t="s">
        <v>367</v>
      </c>
      <c r="O168" t="s">
        <v>30</v>
      </c>
      <c r="P168" t="s">
        <v>29</v>
      </c>
      <c r="Q168" t="s">
        <v>48</v>
      </c>
      <c r="R168" t="s">
        <v>48</v>
      </c>
      <c r="S168" t="s">
        <v>32</v>
      </c>
      <c r="T168" t="s">
        <v>32</v>
      </c>
      <c r="U168" t="s">
        <v>33</v>
      </c>
      <c r="V168" t="s">
        <v>32</v>
      </c>
      <c r="X168">
        <v>62.69</v>
      </c>
      <c r="Y168">
        <v>31.42</v>
      </c>
      <c r="AE168">
        <v>31.27</v>
      </c>
    </row>
    <row r="169" spans="1:34" x14ac:dyDescent="0.25">
      <c r="A169">
        <v>17</v>
      </c>
      <c r="B169" t="s">
        <v>202</v>
      </c>
      <c r="C169">
        <v>3</v>
      </c>
      <c r="D169" t="s">
        <v>25</v>
      </c>
      <c r="E169">
        <v>650532696</v>
      </c>
      <c r="F169" t="s">
        <v>203</v>
      </c>
      <c r="G169" t="s">
        <v>202</v>
      </c>
      <c r="H169" t="s">
        <v>204</v>
      </c>
      <c r="I169" t="s">
        <v>205</v>
      </c>
      <c r="J169" t="s">
        <v>171</v>
      </c>
      <c r="K169" t="s">
        <v>172</v>
      </c>
      <c r="L169">
        <v>22</v>
      </c>
      <c r="M169" t="s">
        <v>367</v>
      </c>
      <c r="N169" t="s">
        <v>173</v>
      </c>
      <c r="O169" t="s">
        <v>30</v>
      </c>
      <c r="P169" t="s">
        <v>30</v>
      </c>
      <c r="Q169" t="s">
        <v>30</v>
      </c>
      <c r="R169" t="s">
        <v>48</v>
      </c>
      <c r="S169" t="s">
        <v>44</v>
      </c>
      <c r="T169" t="s">
        <v>44</v>
      </c>
      <c r="U169" t="s">
        <v>44</v>
      </c>
      <c r="V169" t="s">
        <v>32</v>
      </c>
      <c r="X169">
        <v>137.88999999999999</v>
      </c>
      <c r="Y169">
        <v>60.2</v>
      </c>
      <c r="AE169">
        <v>36.630000000000003</v>
      </c>
      <c r="AH169">
        <v>41.06</v>
      </c>
    </row>
    <row r="170" spans="1:34" x14ac:dyDescent="0.25">
      <c r="A170">
        <v>18</v>
      </c>
      <c r="B170" t="s">
        <v>206</v>
      </c>
      <c r="C170">
        <v>3</v>
      </c>
      <c r="D170" t="s">
        <v>25</v>
      </c>
      <c r="E170">
        <v>113351083</v>
      </c>
      <c r="F170" t="s">
        <v>207</v>
      </c>
      <c r="G170" t="s">
        <v>206</v>
      </c>
      <c r="H170" t="s">
        <v>208</v>
      </c>
      <c r="I170" t="s">
        <v>191</v>
      </c>
      <c r="J170" t="s">
        <v>171</v>
      </c>
      <c r="K170" t="s">
        <v>172</v>
      </c>
      <c r="L170">
        <v>25</v>
      </c>
      <c r="M170" t="s">
        <v>367</v>
      </c>
      <c r="N170" t="s">
        <v>173</v>
      </c>
      <c r="O170" t="s">
        <v>29</v>
      </c>
      <c r="P170" t="s">
        <v>29</v>
      </c>
      <c r="Q170" t="s">
        <v>29</v>
      </c>
      <c r="R170" t="s">
        <v>29</v>
      </c>
      <c r="S170" t="s">
        <v>33</v>
      </c>
      <c r="T170" t="s">
        <v>31</v>
      </c>
      <c r="U170" t="s">
        <v>44</v>
      </c>
      <c r="V170" t="s">
        <v>33</v>
      </c>
      <c r="X170">
        <v>149.16</v>
      </c>
      <c r="Y170">
        <v>50.44</v>
      </c>
      <c r="AE170">
        <v>49.18</v>
      </c>
      <c r="AH170">
        <v>49.54</v>
      </c>
    </row>
    <row r="171" spans="1:34" x14ac:dyDescent="0.25">
      <c r="A171">
        <v>19</v>
      </c>
      <c r="B171" t="s">
        <v>209</v>
      </c>
      <c r="C171">
        <v>3</v>
      </c>
      <c r="D171" t="s">
        <v>25</v>
      </c>
      <c r="E171">
        <v>1903071131</v>
      </c>
      <c r="F171" t="s">
        <v>210</v>
      </c>
      <c r="G171" t="s">
        <v>209</v>
      </c>
      <c r="H171" t="s">
        <v>211</v>
      </c>
      <c r="I171" t="s">
        <v>205</v>
      </c>
      <c r="J171" t="s">
        <v>171</v>
      </c>
      <c r="K171" t="s">
        <v>172</v>
      </c>
      <c r="L171">
        <v>22</v>
      </c>
      <c r="M171" t="s">
        <v>367</v>
      </c>
      <c r="N171" t="s">
        <v>173</v>
      </c>
      <c r="O171" t="s">
        <v>30</v>
      </c>
      <c r="P171" t="s">
        <v>30</v>
      </c>
      <c r="Q171" t="s">
        <v>48</v>
      </c>
      <c r="R171" t="s">
        <v>48</v>
      </c>
      <c r="S171" t="s">
        <v>44</v>
      </c>
      <c r="T171" t="s">
        <v>33</v>
      </c>
      <c r="U171" t="s">
        <v>44</v>
      </c>
      <c r="V171" t="s">
        <v>33</v>
      </c>
      <c r="X171">
        <v>101.37</v>
      </c>
      <c r="Y171">
        <v>39.57</v>
      </c>
      <c r="AE171">
        <v>37.619999999999997</v>
      </c>
      <c r="AH171">
        <v>24.18</v>
      </c>
    </row>
    <row r="172" spans="1:34" x14ac:dyDescent="0.25">
      <c r="A172">
        <v>20</v>
      </c>
      <c r="B172" t="s">
        <v>212</v>
      </c>
      <c r="C172">
        <v>3</v>
      </c>
      <c r="D172" t="s">
        <v>25</v>
      </c>
      <c r="E172">
        <v>1055396617</v>
      </c>
      <c r="F172" t="s">
        <v>213</v>
      </c>
      <c r="G172" t="s">
        <v>212</v>
      </c>
      <c r="H172" t="s">
        <v>214</v>
      </c>
      <c r="I172" t="s">
        <v>205</v>
      </c>
      <c r="J172" t="s">
        <v>171</v>
      </c>
      <c r="K172" t="s">
        <v>172</v>
      </c>
      <c r="L172">
        <v>20</v>
      </c>
      <c r="M172" t="s">
        <v>367</v>
      </c>
      <c r="O172" t="s">
        <v>48</v>
      </c>
      <c r="P172" t="s">
        <v>30</v>
      </c>
      <c r="Q172" t="s">
        <v>30</v>
      </c>
      <c r="R172" t="s">
        <v>48</v>
      </c>
      <c r="S172" t="s">
        <v>32</v>
      </c>
      <c r="T172" t="s">
        <v>33</v>
      </c>
      <c r="U172" t="s">
        <v>33</v>
      </c>
      <c r="V172" t="s">
        <v>33</v>
      </c>
      <c r="X172">
        <v>143.12</v>
      </c>
      <c r="Y172">
        <v>41.31</v>
      </c>
      <c r="AE172">
        <v>59.41</v>
      </c>
      <c r="AH172">
        <v>42.4</v>
      </c>
    </row>
    <row r="173" spans="1:34" x14ac:dyDescent="0.25">
      <c r="A173">
        <v>21</v>
      </c>
      <c r="B173" t="s">
        <v>215</v>
      </c>
      <c r="C173">
        <v>3</v>
      </c>
      <c r="D173" t="s">
        <v>25</v>
      </c>
      <c r="E173">
        <v>1230610560</v>
      </c>
      <c r="F173" t="s">
        <v>216</v>
      </c>
      <c r="G173" t="s">
        <v>215</v>
      </c>
      <c r="H173" t="s">
        <v>198</v>
      </c>
      <c r="I173" t="s">
        <v>191</v>
      </c>
      <c r="J173" t="s">
        <v>171</v>
      </c>
      <c r="K173" t="s">
        <v>172</v>
      </c>
      <c r="L173">
        <v>26</v>
      </c>
      <c r="M173" t="s">
        <v>367</v>
      </c>
      <c r="N173" t="s">
        <v>173</v>
      </c>
      <c r="O173" t="s">
        <v>30</v>
      </c>
      <c r="P173" t="s">
        <v>29</v>
      </c>
      <c r="Q173" t="s">
        <v>29</v>
      </c>
      <c r="R173" t="s">
        <v>30</v>
      </c>
      <c r="S173" t="s">
        <v>44</v>
      </c>
      <c r="T173" t="s">
        <v>44</v>
      </c>
      <c r="U173" t="s">
        <v>33</v>
      </c>
      <c r="V173" t="s">
        <v>44</v>
      </c>
      <c r="X173">
        <v>65.73</v>
      </c>
      <c r="Y173">
        <v>18.98</v>
      </c>
      <c r="AE173">
        <v>29.99</v>
      </c>
      <c r="AH173">
        <v>16.760000000000002</v>
      </c>
    </row>
    <row r="174" spans="1:34" x14ac:dyDescent="0.25">
      <c r="A174">
        <v>22</v>
      </c>
      <c r="B174" t="s">
        <v>217</v>
      </c>
      <c r="C174">
        <v>3</v>
      </c>
      <c r="D174" t="s">
        <v>25</v>
      </c>
      <c r="E174">
        <v>639668047</v>
      </c>
      <c r="F174" t="s">
        <v>218</v>
      </c>
      <c r="G174" t="s">
        <v>217</v>
      </c>
      <c r="H174" t="s">
        <v>219</v>
      </c>
      <c r="I174" t="s">
        <v>205</v>
      </c>
      <c r="J174" t="s">
        <v>171</v>
      </c>
      <c r="K174" t="s">
        <v>172</v>
      </c>
      <c r="L174">
        <v>25</v>
      </c>
      <c r="M174" t="s">
        <v>367</v>
      </c>
      <c r="O174" t="s">
        <v>30</v>
      </c>
      <c r="P174" t="s">
        <v>29</v>
      </c>
      <c r="Q174" t="s">
        <v>30</v>
      </c>
      <c r="R174" t="s">
        <v>29</v>
      </c>
      <c r="S174" t="s">
        <v>32</v>
      </c>
      <c r="T174" t="s">
        <v>33</v>
      </c>
      <c r="U174" t="s">
        <v>33</v>
      </c>
      <c r="V174" t="s">
        <v>44</v>
      </c>
      <c r="X174">
        <v>176.09</v>
      </c>
      <c r="Y174">
        <v>61.24</v>
      </c>
      <c r="AE174">
        <v>75.87</v>
      </c>
      <c r="AH174">
        <v>38.979999999999997</v>
      </c>
    </row>
    <row r="175" spans="1:34" x14ac:dyDescent="0.25">
      <c r="A175">
        <v>23</v>
      </c>
      <c r="B175" t="s">
        <v>220</v>
      </c>
      <c r="C175">
        <v>3</v>
      </c>
      <c r="D175" t="s">
        <v>25</v>
      </c>
      <c r="E175">
        <v>1647527722</v>
      </c>
      <c r="F175" t="s">
        <v>221</v>
      </c>
      <c r="G175" t="s">
        <v>220</v>
      </c>
      <c r="H175" t="s">
        <v>222</v>
      </c>
      <c r="I175" t="s">
        <v>195</v>
      </c>
      <c r="J175" t="s">
        <v>171</v>
      </c>
      <c r="K175" t="s">
        <v>172</v>
      </c>
      <c r="L175">
        <v>23</v>
      </c>
      <c r="M175" t="s">
        <v>367</v>
      </c>
      <c r="N175" t="s">
        <v>173</v>
      </c>
      <c r="O175" t="s">
        <v>30</v>
      </c>
      <c r="P175" t="s">
        <v>29</v>
      </c>
      <c r="Q175" t="s">
        <v>30</v>
      </c>
      <c r="R175" t="s">
        <v>48</v>
      </c>
      <c r="S175" t="s">
        <v>44</v>
      </c>
      <c r="T175" t="s">
        <v>44</v>
      </c>
      <c r="U175" t="s">
        <v>44</v>
      </c>
      <c r="V175" t="s">
        <v>33</v>
      </c>
      <c r="X175">
        <v>138.11000000000001</v>
      </c>
      <c r="Y175">
        <v>30.51</v>
      </c>
      <c r="AE175">
        <v>57.81</v>
      </c>
      <c r="AH175">
        <v>49.79</v>
      </c>
    </row>
    <row r="176" spans="1:34" x14ac:dyDescent="0.25">
      <c r="A176">
        <v>27</v>
      </c>
      <c r="B176" t="s">
        <v>224</v>
      </c>
      <c r="C176">
        <v>3</v>
      </c>
      <c r="D176" t="s">
        <v>25</v>
      </c>
      <c r="E176">
        <v>1152964666</v>
      </c>
      <c r="F176" t="s">
        <v>223</v>
      </c>
      <c r="G176" t="s">
        <v>224</v>
      </c>
      <c r="H176" t="s">
        <v>225</v>
      </c>
      <c r="I176" t="s">
        <v>195</v>
      </c>
      <c r="J176" t="s">
        <v>171</v>
      </c>
      <c r="K176" t="s">
        <v>364</v>
      </c>
      <c r="L176">
        <v>18</v>
      </c>
      <c r="M176" t="s">
        <v>367</v>
      </c>
      <c r="N176" t="s">
        <v>173</v>
      </c>
      <c r="O176" t="s">
        <v>29</v>
      </c>
      <c r="P176" t="s">
        <v>29</v>
      </c>
      <c r="Q176" t="s">
        <v>30</v>
      </c>
      <c r="R176" t="s">
        <v>30</v>
      </c>
      <c r="S176" t="s">
        <v>44</v>
      </c>
      <c r="T176" t="s">
        <v>31</v>
      </c>
      <c r="U176" t="s">
        <v>44</v>
      </c>
      <c r="V176" t="s">
        <v>33</v>
      </c>
      <c r="X176">
        <v>150.47</v>
      </c>
      <c r="Y176">
        <v>43.92</v>
      </c>
      <c r="AE176">
        <v>64.53</v>
      </c>
      <c r="AH176">
        <v>42.02</v>
      </c>
    </row>
    <row r="177" spans="1:34" x14ac:dyDescent="0.25">
      <c r="A177">
        <v>28</v>
      </c>
      <c r="B177" t="s">
        <v>226</v>
      </c>
      <c r="C177">
        <v>3</v>
      </c>
      <c r="D177" t="s">
        <v>25</v>
      </c>
      <c r="E177">
        <v>635021398</v>
      </c>
      <c r="F177" t="s">
        <v>227</v>
      </c>
      <c r="G177" t="s">
        <v>226</v>
      </c>
      <c r="H177" t="s">
        <v>228</v>
      </c>
      <c r="I177" t="s">
        <v>195</v>
      </c>
      <c r="J177" t="s">
        <v>171</v>
      </c>
      <c r="K177" t="s">
        <v>172</v>
      </c>
      <c r="M177" t="s">
        <v>367</v>
      </c>
      <c r="O177" t="s">
        <v>48</v>
      </c>
      <c r="P177" t="s">
        <v>29</v>
      </c>
      <c r="Q177" t="s">
        <v>48</v>
      </c>
      <c r="R177" t="s">
        <v>48</v>
      </c>
      <c r="S177" t="s">
        <v>44</v>
      </c>
      <c r="T177" t="s">
        <v>44</v>
      </c>
      <c r="U177" t="s">
        <v>33</v>
      </c>
      <c r="V177" t="s">
        <v>44</v>
      </c>
      <c r="X177">
        <v>160.62</v>
      </c>
      <c r="Y177">
        <v>30.8</v>
      </c>
      <c r="AE177">
        <v>55.22</v>
      </c>
      <c r="AH177">
        <v>74.599999999999994</v>
      </c>
    </row>
    <row r="178" spans="1:34" x14ac:dyDescent="0.25">
      <c r="A178">
        <v>29</v>
      </c>
      <c r="B178" t="s">
        <v>383</v>
      </c>
      <c r="C178">
        <v>2</v>
      </c>
      <c r="D178" t="s">
        <v>25</v>
      </c>
      <c r="E178">
        <v>1329254277</v>
      </c>
      <c r="F178" t="s">
        <v>229</v>
      </c>
      <c r="G178" t="s">
        <v>230</v>
      </c>
      <c r="H178" t="s">
        <v>231</v>
      </c>
      <c r="I178" t="s">
        <v>195</v>
      </c>
      <c r="J178" t="s">
        <v>171</v>
      </c>
      <c r="K178" t="s">
        <v>364</v>
      </c>
      <c r="L178">
        <v>16</v>
      </c>
      <c r="M178" t="s">
        <v>367</v>
      </c>
      <c r="N178" t="s">
        <v>173</v>
      </c>
      <c r="O178" t="s">
        <v>29</v>
      </c>
      <c r="P178" t="s">
        <v>29</v>
      </c>
      <c r="Q178" t="s">
        <v>30</v>
      </c>
      <c r="R178" t="s">
        <v>30</v>
      </c>
      <c r="S178" t="s">
        <v>44</v>
      </c>
      <c r="T178" t="s">
        <v>33</v>
      </c>
      <c r="U178" t="s">
        <v>33</v>
      </c>
      <c r="V178" t="s">
        <v>44</v>
      </c>
      <c r="X178">
        <v>92.18</v>
      </c>
      <c r="Y178">
        <v>60.94</v>
      </c>
      <c r="AE178">
        <v>31.24</v>
      </c>
    </row>
    <row r="179" spans="1:34" x14ac:dyDescent="0.25">
      <c r="A179">
        <v>31</v>
      </c>
      <c r="B179" t="s">
        <v>232</v>
      </c>
      <c r="C179">
        <v>3</v>
      </c>
      <c r="D179" t="s">
        <v>25</v>
      </c>
      <c r="E179">
        <v>577652620</v>
      </c>
      <c r="F179" t="s">
        <v>233</v>
      </c>
      <c r="G179" t="s">
        <v>234</v>
      </c>
      <c r="H179" t="s">
        <v>235</v>
      </c>
      <c r="I179" t="s">
        <v>205</v>
      </c>
      <c r="J179" t="s">
        <v>171</v>
      </c>
      <c r="K179" t="s">
        <v>172</v>
      </c>
      <c r="L179">
        <v>22</v>
      </c>
      <c r="M179" t="s">
        <v>367</v>
      </c>
      <c r="O179" t="s">
        <v>30</v>
      </c>
      <c r="P179" t="s">
        <v>29</v>
      </c>
      <c r="Q179" t="s">
        <v>48</v>
      </c>
      <c r="R179" t="s">
        <v>48</v>
      </c>
      <c r="S179" t="s">
        <v>32</v>
      </c>
      <c r="T179" t="s">
        <v>33</v>
      </c>
      <c r="U179" t="s">
        <v>33</v>
      </c>
      <c r="V179" t="s">
        <v>44</v>
      </c>
      <c r="X179">
        <v>260.27</v>
      </c>
      <c r="Y179">
        <v>51.9</v>
      </c>
      <c r="AE179">
        <v>141.37</v>
      </c>
      <c r="AH179">
        <v>67</v>
      </c>
    </row>
    <row r="180" spans="1:34" x14ac:dyDescent="0.25">
      <c r="A180">
        <v>33</v>
      </c>
      <c r="B180" t="s">
        <v>236</v>
      </c>
      <c r="C180">
        <v>3</v>
      </c>
      <c r="D180" t="s">
        <v>25</v>
      </c>
      <c r="E180">
        <v>1631867545</v>
      </c>
      <c r="F180" t="s">
        <v>237</v>
      </c>
      <c r="G180" t="s">
        <v>236</v>
      </c>
      <c r="H180" t="s">
        <v>238</v>
      </c>
      <c r="I180" t="s">
        <v>195</v>
      </c>
      <c r="J180" t="s">
        <v>171</v>
      </c>
      <c r="K180" t="s">
        <v>364</v>
      </c>
      <c r="L180">
        <v>18</v>
      </c>
      <c r="M180" t="s">
        <v>367</v>
      </c>
      <c r="O180" t="s">
        <v>29</v>
      </c>
      <c r="P180" t="s">
        <v>29</v>
      </c>
      <c r="Q180" t="s">
        <v>29</v>
      </c>
      <c r="R180" t="s">
        <v>29</v>
      </c>
      <c r="S180" t="s">
        <v>44</v>
      </c>
      <c r="T180" t="s">
        <v>32</v>
      </c>
      <c r="U180" t="s">
        <v>33</v>
      </c>
      <c r="V180" t="s">
        <v>44</v>
      </c>
      <c r="X180">
        <v>116.64</v>
      </c>
      <c r="Y180">
        <v>33.71</v>
      </c>
      <c r="AE180">
        <v>32.58</v>
      </c>
      <c r="AH180">
        <v>50.35</v>
      </c>
    </row>
    <row r="181" spans="1:34" x14ac:dyDescent="0.25">
      <c r="A181">
        <v>37</v>
      </c>
      <c r="B181" t="s">
        <v>239</v>
      </c>
      <c r="C181">
        <v>3</v>
      </c>
      <c r="D181" t="s">
        <v>25</v>
      </c>
      <c r="E181">
        <v>1404976861</v>
      </c>
      <c r="F181" t="s">
        <v>240</v>
      </c>
      <c r="G181" t="s">
        <v>239</v>
      </c>
      <c r="H181" t="s">
        <v>241</v>
      </c>
      <c r="I181" t="s">
        <v>195</v>
      </c>
      <c r="J181" t="s">
        <v>171</v>
      </c>
      <c r="K181" t="s">
        <v>364</v>
      </c>
      <c r="L181">
        <v>16</v>
      </c>
      <c r="M181" t="s">
        <v>367</v>
      </c>
      <c r="N181" t="s">
        <v>173</v>
      </c>
      <c r="O181" t="s">
        <v>29</v>
      </c>
      <c r="P181" t="s">
        <v>30</v>
      </c>
      <c r="Q181" t="s">
        <v>30</v>
      </c>
      <c r="R181" t="s">
        <v>29</v>
      </c>
      <c r="S181" t="s">
        <v>31</v>
      </c>
      <c r="T181" t="s">
        <v>33</v>
      </c>
      <c r="U181" t="s">
        <v>31</v>
      </c>
      <c r="V181" t="s">
        <v>31</v>
      </c>
      <c r="W181" t="s">
        <v>369</v>
      </c>
      <c r="X181">
        <v>310.48</v>
      </c>
      <c r="Y181">
        <v>73.66</v>
      </c>
      <c r="AE181">
        <v>135.30000000000001</v>
      </c>
      <c r="AH181">
        <v>101.52</v>
      </c>
    </row>
    <row r="182" spans="1:34" x14ac:dyDescent="0.25">
      <c r="A182">
        <v>38</v>
      </c>
      <c r="B182" t="s">
        <v>242</v>
      </c>
      <c r="C182">
        <v>3</v>
      </c>
      <c r="D182" t="s">
        <v>25</v>
      </c>
      <c r="E182">
        <v>1588097815</v>
      </c>
      <c r="F182" t="s">
        <v>243</v>
      </c>
      <c r="G182" t="s">
        <v>242</v>
      </c>
      <c r="H182" t="s">
        <v>244</v>
      </c>
      <c r="I182" t="s">
        <v>195</v>
      </c>
      <c r="J182" t="s">
        <v>171</v>
      </c>
      <c r="K182" t="s">
        <v>364</v>
      </c>
      <c r="L182">
        <v>20</v>
      </c>
      <c r="M182" t="s">
        <v>367</v>
      </c>
      <c r="N182" t="s">
        <v>173</v>
      </c>
      <c r="O182" t="s">
        <v>29</v>
      </c>
      <c r="P182" t="s">
        <v>29</v>
      </c>
      <c r="Q182" t="s">
        <v>30</v>
      </c>
      <c r="R182" t="s">
        <v>29</v>
      </c>
      <c r="S182" t="s">
        <v>33</v>
      </c>
      <c r="T182" t="s">
        <v>31</v>
      </c>
      <c r="U182" t="s">
        <v>32</v>
      </c>
      <c r="V182" t="s">
        <v>31</v>
      </c>
      <c r="X182">
        <v>85.56</v>
      </c>
      <c r="Y182">
        <v>31.48</v>
      </c>
      <c r="AE182">
        <v>34.97</v>
      </c>
      <c r="AH182">
        <v>19.11</v>
      </c>
    </row>
    <row r="183" spans="1:34" x14ac:dyDescent="0.25">
      <c r="A183">
        <v>42</v>
      </c>
      <c r="B183" t="s">
        <v>245</v>
      </c>
      <c r="C183">
        <v>3</v>
      </c>
      <c r="D183" t="s">
        <v>25</v>
      </c>
      <c r="E183">
        <v>1943705046</v>
      </c>
      <c r="F183" t="s">
        <v>246</v>
      </c>
      <c r="G183" t="s">
        <v>245</v>
      </c>
      <c r="H183" t="s">
        <v>247</v>
      </c>
      <c r="I183" t="s">
        <v>248</v>
      </c>
      <c r="J183" t="s">
        <v>166</v>
      </c>
      <c r="K183" t="s">
        <v>364</v>
      </c>
      <c r="L183">
        <v>25</v>
      </c>
      <c r="M183" t="s">
        <v>174</v>
      </c>
      <c r="N183" t="s">
        <v>177</v>
      </c>
      <c r="O183" t="s">
        <v>29</v>
      </c>
      <c r="P183" t="s">
        <v>29</v>
      </c>
      <c r="Q183" t="s">
        <v>30</v>
      </c>
      <c r="R183" t="s">
        <v>30</v>
      </c>
      <c r="S183" t="s">
        <v>44</v>
      </c>
      <c r="U183" t="s">
        <v>44</v>
      </c>
      <c r="V183" t="s">
        <v>44</v>
      </c>
      <c r="X183">
        <v>631.6</v>
      </c>
      <c r="Y183">
        <v>295.18</v>
      </c>
      <c r="AE183">
        <v>214.73</v>
      </c>
      <c r="AH183">
        <v>121.69</v>
      </c>
    </row>
    <row r="184" spans="1:34" x14ac:dyDescent="0.25">
      <c r="A184">
        <v>43</v>
      </c>
      <c r="B184" t="s">
        <v>249</v>
      </c>
      <c r="C184">
        <v>3</v>
      </c>
      <c r="D184" t="s">
        <v>25</v>
      </c>
      <c r="E184">
        <v>1776399941</v>
      </c>
      <c r="F184" t="s">
        <v>250</v>
      </c>
      <c r="G184" t="s">
        <v>249</v>
      </c>
      <c r="H184" t="s">
        <v>247</v>
      </c>
      <c r="I184" t="s">
        <v>251</v>
      </c>
      <c r="J184" t="s">
        <v>166</v>
      </c>
      <c r="K184" t="s">
        <v>364</v>
      </c>
      <c r="L184">
        <v>26</v>
      </c>
      <c r="M184" t="s">
        <v>367</v>
      </c>
      <c r="N184" t="s">
        <v>173</v>
      </c>
      <c r="O184" t="s">
        <v>48</v>
      </c>
      <c r="P184" t="s">
        <v>75</v>
      </c>
      <c r="Q184" t="s">
        <v>75</v>
      </c>
      <c r="R184" t="s">
        <v>48</v>
      </c>
      <c r="S184" t="s">
        <v>32</v>
      </c>
      <c r="T184" t="s">
        <v>31</v>
      </c>
      <c r="U184" t="s">
        <v>33</v>
      </c>
      <c r="V184" t="s">
        <v>44</v>
      </c>
      <c r="X184">
        <v>185.96</v>
      </c>
      <c r="Y184">
        <v>19.02</v>
      </c>
      <c r="AE184">
        <v>39.880000000000003</v>
      </c>
      <c r="AH184">
        <v>127.06</v>
      </c>
    </row>
    <row r="185" spans="1:34" x14ac:dyDescent="0.25">
      <c r="A185">
        <v>44</v>
      </c>
      <c r="B185" t="s">
        <v>252</v>
      </c>
      <c r="C185">
        <v>3</v>
      </c>
      <c r="D185" t="s">
        <v>25</v>
      </c>
      <c r="E185">
        <v>769282249</v>
      </c>
      <c r="F185" t="s">
        <v>253</v>
      </c>
      <c r="G185" t="s">
        <v>252</v>
      </c>
      <c r="H185" t="s">
        <v>254</v>
      </c>
      <c r="I185" t="s">
        <v>191</v>
      </c>
      <c r="J185" t="s">
        <v>171</v>
      </c>
      <c r="K185" t="s">
        <v>364</v>
      </c>
      <c r="L185">
        <v>37</v>
      </c>
      <c r="M185" t="s">
        <v>367</v>
      </c>
      <c r="O185" t="s">
        <v>48</v>
      </c>
      <c r="P185" t="s">
        <v>48</v>
      </c>
      <c r="Q185" t="s">
        <v>48</v>
      </c>
      <c r="R185" t="s">
        <v>30</v>
      </c>
      <c r="S185" t="s">
        <v>44</v>
      </c>
      <c r="T185" t="s">
        <v>44</v>
      </c>
      <c r="U185" t="s">
        <v>33</v>
      </c>
      <c r="V185" t="s">
        <v>44</v>
      </c>
      <c r="X185">
        <v>93.33</v>
      </c>
      <c r="Y185">
        <v>37.85</v>
      </c>
      <c r="AE185">
        <v>29.42</v>
      </c>
      <c r="AH185">
        <v>26.06</v>
      </c>
    </row>
    <row r="186" spans="1:34" x14ac:dyDescent="0.25">
      <c r="A186">
        <v>45</v>
      </c>
      <c r="B186" t="s">
        <v>255</v>
      </c>
      <c r="C186">
        <v>3</v>
      </c>
      <c r="D186" t="s">
        <v>25</v>
      </c>
      <c r="E186">
        <v>1318437603</v>
      </c>
      <c r="F186" t="s">
        <v>256</v>
      </c>
      <c r="G186" t="s">
        <v>255</v>
      </c>
      <c r="H186" t="s">
        <v>257</v>
      </c>
      <c r="I186" t="s">
        <v>258</v>
      </c>
      <c r="J186" t="s">
        <v>171</v>
      </c>
      <c r="K186" t="s">
        <v>364</v>
      </c>
      <c r="L186">
        <v>26</v>
      </c>
      <c r="M186" t="s">
        <v>367</v>
      </c>
      <c r="O186" t="s">
        <v>30</v>
      </c>
      <c r="P186" t="s">
        <v>30</v>
      </c>
      <c r="Q186" t="s">
        <v>30</v>
      </c>
      <c r="R186" t="s">
        <v>30</v>
      </c>
      <c r="S186" t="s">
        <v>44</v>
      </c>
      <c r="T186" t="s">
        <v>44</v>
      </c>
      <c r="U186" t="s">
        <v>33</v>
      </c>
      <c r="V186" t="s">
        <v>44</v>
      </c>
      <c r="X186">
        <v>125.88</v>
      </c>
      <c r="Y186">
        <v>28.12</v>
      </c>
      <c r="AE186">
        <v>66.7</v>
      </c>
      <c r="AH186">
        <v>31.06</v>
      </c>
    </row>
    <row r="187" spans="1:34" x14ac:dyDescent="0.25">
      <c r="A187">
        <v>46</v>
      </c>
      <c r="B187" t="s">
        <v>259</v>
      </c>
      <c r="C187">
        <v>3</v>
      </c>
      <c r="D187" t="s">
        <v>25</v>
      </c>
      <c r="E187">
        <v>1797169900</v>
      </c>
      <c r="F187" t="s">
        <v>260</v>
      </c>
      <c r="G187" t="s">
        <v>259</v>
      </c>
      <c r="H187" t="s">
        <v>261</v>
      </c>
      <c r="I187" t="s">
        <v>191</v>
      </c>
      <c r="J187" t="s">
        <v>171</v>
      </c>
      <c r="K187" t="s">
        <v>364</v>
      </c>
      <c r="L187">
        <v>30</v>
      </c>
      <c r="M187" t="s">
        <v>367</v>
      </c>
      <c r="O187" t="s">
        <v>30</v>
      </c>
      <c r="P187" t="s">
        <v>29</v>
      </c>
      <c r="Q187" t="s">
        <v>30</v>
      </c>
      <c r="R187" t="s">
        <v>29</v>
      </c>
      <c r="S187" t="s">
        <v>32</v>
      </c>
      <c r="T187" t="s">
        <v>44</v>
      </c>
      <c r="U187" t="s">
        <v>31</v>
      </c>
      <c r="V187" t="s">
        <v>33</v>
      </c>
      <c r="X187">
        <v>408.42</v>
      </c>
      <c r="Y187">
        <v>112.02</v>
      </c>
      <c r="AE187">
        <v>202.22</v>
      </c>
      <c r="AH187">
        <v>94.18</v>
      </c>
    </row>
    <row r="188" spans="1:34" x14ac:dyDescent="0.25">
      <c r="A188">
        <v>47</v>
      </c>
      <c r="B188" t="s">
        <v>262</v>
      </c>
      <c r="C188">
        <v>3</v>
      </c>
      <c r="D188" t="s">
        <v>25</v>
      </c>
      <c r="E188">
        <v>811789448</v>
      </c>
      <c r="F188" t="s">
        <v>263</v>
      </c>
      <c r="G188" t="s">
        <v>262</v>
      </c>
      <c r="H188" t="s">
        <v>264</v>
      </c>
      <c r="I188" t="s">
        <v>205</v>
      </c>
      <c r="J188" t="s">
        <v>171</v>
      </c>
      <c r="K188" t="s">
        <v>172</v>
      </c>
      <c r="L188">
        <v>20</v>
      </c>
      <c r="M188" t="s">
        <v>367</v>
      </c>
      <c r="O188" t="s">
        <v>29</v>
      </c>
      <c r="P188" t="s">
        <v>29</v>
      </c>
      <c r="Q188" t="s">
        <v>29</v>
      </c>
      <c r="R188" t="s">
        <v>30</v>
      </c>
      <c r="S188" t="s">
        <v>32</v>
      </c>
      <c r="T188" t="s">
        <v>44</v>
      </c>
      <c r="U188" t="s">
        <v>33</v>
      </c>
      <c r="V188" t="s">
        <v>33</v>
      </c>
      <c r="X188">
        <v>243.53</v>
      </c>
      <c r="Y188">
        <v>72.489999999999995</v>
      </c>
      <c r="AE188">
        <v>98.46</v>
      </c>
      <c r="AH188">
        <v>72.58</v>
      </c>
    </row>
    <row r="189" spans="1:34" x14ac:dyDescent="0.25">
      <c r="A189">
        <v>49</v>
      </c>
      <c r="B189" t="s">
        <v>265</v>
      </c>
      <c r="C189">
        <v>3</v>
      </c>
      <c r="D189" t="s">
        <v>25</v>
      </c>
      <c r="E189">
        <v>741120189</v>
      </c>
      <c r="F189" t="s">
        <v>266</v>
      </c>
      <c r="G189" t="s">
        <v>265</v>
      </c>
      <c r="H189" t="s">
        <v>267</v>
      </c>
      <c r="I189" t="s">
        <v>205</v>
      </c>
      <c r="J189" t="s">
        <v>171</v>
      </c>
      <c r="K189" t="s">
        <v>364</v>
      </c>
      <c r="L189">
        <v>28</v>
      </c>
      <c r="M189" t="s">
        <v>367</v>
      </c>
      <c r="O189" t="s">
        <v>29</v>
      </c>
      <c r="P189" t="s">
        <v>29</v>
      </c>
      <c r="Q189" t="s">
        <v>29</v>
      </c>
      <c r="R189" t="s">
        <v>29</v>
      </c>
      <c r="S189" t="s">
        <v>44</v>
      </c>
      <c r="T189" t="s">
        <v>33</v>
      </c>
      <c r="U189" t="s">
        <v>44</v>
      </c>
      <c r="V189" t="s">
        <v>33</v>
      </c>
      <c r="X189">
        <v>267.60000000000002</v>
      </c>
      <c r="Y189">
        <v>19.309999999999999</v>
      </c>
      <c r="AE189">
        <v>216.19</v>
      </c>
      <c r="AH189">
        <v>32.1</v>
      </c>
    </row>
    <row r="190" spans="1:34" x14ac:dyDescent="0.25">
      <c r="A190">
        <v>50</v>
      </c>
      <c r="B190" t="s">
        <v>268</v>
      </c>
      <c r="C190">
        <v>3</v>
      </c>
      <c r="D190" t="s">
        <v>25</v>
      </c>
      <c r="E190">
        <v>1782961379</v>
      </c>
      <c r="F190" t="s">
        <v>269</v>
      </c>
      <c r="G190" t="s">
        <v>268</v>
      </c>
      <c r="H190" t="s">
        <v>270</v>
      </c>
      <c r="I190" t="s">
        <v>205</v>
      </c>
      <c r="J190" t="s">
        <v>171</v>
      </c>
      <c r="K190" t="s">
        <v>364</v>
      </c>
      <c r="L190">
        <v>20</v>
      </c>
      <c r="M190" t="s">
        <v>367</v>
      </c>
      <c r="N190" t="s">
        <v>173</v>
      </c>
      <c r="O190" t="s">
        <v>30</v>
      </c>
      <c r="P190" t="s">
        <v>30</v>
      </c>
      <c r="Q190" t="s">
        <v>30</v>
      </c>
      <c r="R190" t="s">
        <v>30</v>
      </c>
      <c r="S190" t="s">
        <v>32</v>
      </c>
      <c r="T190" t="s">
        <v>44</v>
      </c>
      <c r="U190" t="s">
        <v>44</v>
      </c>
      <c r="V190" t="s">
        <v>44</v>
      </c>
      <c r="X190">
        <v>89.8</v>
      </c>
      <c r="Y190">
        <v>36.880000000000003</v>
      </c>
      <c r="AE190">
        <v>39.24</v>
      </c>
      <c r="AH190">
        <v>13.68</v>
      </c>
    </row>
    <row r="191" spans="1:34" x14ac:dyDescent="0.25">
      <c r="A191">
        <v>54</v>
      </c>
      <c r="B191" t="s">
        <v>271</v>
      </c>
      <c r="C191">
        <v>3</v>
      </c>
      <c r="D191" t="s">
        <v>25</v>
      </c>
      <c r="E191">
        <v>589169181</v>
      </c>
      <c r="F191" t="s">
        <v>272</v>
      </c>
      <c r="G191" t="s">
        <v>271</v>
      </c>
      <c r="H191" t="s">
        <v>273</v>
      </c>
      <c r="I191" t="s">
        <v>274</v>
      </c>
      <c r="J191" t="s">
        <v>171</v>
      </c>
      <c r="K191" t="s">
        <v>364</v>
      </c>
      <c r="L191">
        <v>34</v>
      </c>
      <c r="M191" t="s">
        <v>367</v>
      </c>
      <c r="O191" t="s">
        <v>29</v>
      </c>
      <c r="P191" t="s">
        <v>30</v>
      </c>
      <c r="Q191" t="s">
        <v>30</v>
      </c>
      <c r="R191" t="s">
        <v>30</v>
      </c>
      <c r="S191" t="s">
        <v>44</v>
      </c>
      <c r="T191" t="s">
        <v>44</v>
      </c>
      <c r="U191" t="s">
        <v>44</v>
      </c>
      <c r="V191" t="s">
        <v>31</v>
      </c>
      <c r="X191">
        <v>136.41</v>
      </c>
      <c r="Y191">
        <v>41.37</v>
      </c>
      <c r="AE191">
        <v>43.62</v>
      </c>
      <c r="AH191">
        <v>51.42</v>
      </c>
    </row>
    <row r="192" spans="1:34" x14ac:dyDescent="0.25">
      <c r="A192">
        <v>59</v>
      </c>
      <c r="B192" t="s">
        <v>275</v>
      </c>
      <c r="C192">
        <v>3</v>
      </c>
      <c r="D192" t="s">
        <v>25</v>
      </c>
      <c r="E192">
        <v>215938753</v>
      </c>
      <c r="F192" t="s">
        <v>276</v>
      </c>
      <c r="G192" t="s">
        <v>275</v>
      </c>
      <c r="H192" t="s">
        <v>277</v>
      </c>
      <c r="I192" t="s">
        <v>278</v>
      </c>
      <c r="J192" t="s">
        <v>171</v>
      </c>
      <c r="K192" t="s">
        <v>364</v>
      </c>
      <c r="L192">
        <v>20</v>
      </c>
      <c r="M192" t="s">
        <v>367</v>
      </c>
      <c r="N192" t="s">
        <v>173</v>
      </c>
      <c r="O192" t="s">
        <v>30</v>
      </c>
      <c r="P192" t="s">
        <v>29</v>
      </c>
      <c r="Q192" t="s">
        <v>29</v>
      </c>
      <c r="R192" t="s">
        <v>30</v>
      </c>
      <c r="S192" t="s">
        <v>44</v>
      </c>
      <c r="T192" t="s">
        <v>44</v>
      </c>
      <c r="U192" t="s">
        <v>33</v>
      </c>
      <c r="V192" t="s">
        <v>33</v>
      </c>
      <c r="X192">
        <v>67</v>
      </c>
      <c r="Y192">
        <v>26.94</v>
      </c>
      <c r="AE192">
        <v>26.51</v>
      </c>
      <c r="AH192">
        <v>13.55</v>
      </c>
    </row>
    <row r="193" spans="1:34" x14ac:dyDescent="0.25">
      <c r="A193">
        <v>60</v>
      </c>
      <c r="B193" t="s">
        <v>279</v>
      </c>
      <c r="C193">
        <v>3</v>
      </c>
      <c r="D193" t="s">
        <v>25</v>
      </c>
      <c r="E193">
        <v>528830275</v>
      </c>
      <c r="F193" t="s">
        <v>280</v>
      </c>
      <c r="G193" t="s">
        <v>279</v>
      </c>
      <c r="H193" t="s">
        <v>281</v>
      </c>
      <c r="I193" t="s">
        <v>282</v>
      </c>
      <c r="J193" t="s">
        <v>171</v>
      </c>
      <c r="K193" t="s">
        <v>364</v>
      </c>
      <c r="L193">
        <v>28</v>
      </c>
      <c r="M193" t="s">
        <v>367</v>
      </c>
      <c r="N193" t="s">
        <v>173</v>
      </c>
      <c r="O193" t="s">
        <v>29</v>
      </c>
      <c r="P193" t="s">
        <v>29</v>
      </c>
      <c r="Q193" t="s">
        <v>29</v>
      </c>
      <c r="R193" t="s">
        <v>30</v>
      </c>
      <c r="S193" t="s">
        <v>44</v>
      </c>
      <c r="T193" t="s">
        <v>33</v>
      </c>
      <c r="U193" t="s">
        <v>44</v>
      </c>
      <c r="V193" t="s">
        <v>33</v>
      </c>
      <c r="X193">
        <v>125.75</v>
      </c>
      <c r="Y193">
        <v>41.81</v>
      </c>
      <c r="AE193">
        <v>48.5</v>
      </c>
      <c r="AH193">
        <v>35.44</v>
      </c>
    </row>
    <row r="194" spans="1:34" x14ac:dyDescent="0.25">
      <c r="A194">
        <v>61</v>
      </c>
      <c r="B194" t="s">
        <v>283</v>
      </c>
      <c r="C194">
        <v>3</v>
      </c>
      <c r="D194" t="s">
        <v>25</v>
      </c>
      <c r="E194">
        <v>1025030758</v>
      </c>
      <c r="F194" t="s">
        <v>284</v>
      </c>
      <c r="G194" t="s">
        <v>283</v>
      </c>
      <c r="H194" t="s">
        <v>285</v>
      </c>
      <c r="I194" t="s">
        <v>286</v>
      </c>
      <c r="J194" t="s">
        <v>171</v>
      </c>
      <c r="K194" t="s">
        <v>364</v>
      </c>
      <c r="L194">
        <v>21</v>
      </c>
      <c r="M194" t="s">
        <v>367</v>
      </c>
      <c r="O194" t="s">
        <v>29</v>
      </c>
      <c r="P194" t="s">
        <v>29</v>
      </c>
      <c r="Q194" t="s">
        <v>29</v>
      </c>
      <c r="R194" t="s">
        <v>48</v>
      </c>
      <c r="S194" t="s">
        <v>44</v>
      </c>
      <c r="T194" t="s">
        <v>33</v>
      </c>
      <c r="U194" t="s">
        <v>44</v>
      </c>
      <c r="V194" t="s">
        <v>33</v>
      </c>
      <c r="W194" t="s">
        <v>370</v>
      </c>
      <c r="X194">
        <v>237.18</v>
      </c>
      <c r="Y194">
        <v>38.43</v>
      </c>
      <c r="AE194">
        <v>32.99</v>
      </c>
      <c r="AH194">
        <v>165.76</v>
      </c>
    </row>
    <row r="195" spans="1:34" x14ac:dyDescent="0.25">
      <c r="A195">
        <v>65</v>
      </c>
      <c r="B195" t="s">
        <v>287</v>
      </c>
      <c r="C195">
        <v>3</v>
      </c>
      <c r="D195" t="s">
        <v>25</v>
      </c>
      <c r="E195">
        <v>1509008384</v>
      </c>
      <c r="F195" t="s">
        <v>288</v>
      </c>
      <c r="G195" t="s">
        <v>287</v>
      </c>
      <c r="H195" t="s">
        <v>289</v>
      </c>
      <c r="I195" t="s">
        <v>290</v>
      </c>
      <c r="J195" t="s">
        <v>374</v>
      </c>
      <c r="K195" t="s">
        <v>172</v>
      </c>
      <c r="L195">
        <v>32</v>
      </c>
      <c r="M195" t="s">
        <v>367</v>
      </c>
      <c r="O195" t="s">
        <v>29</v>
      </c>
      <c r="P195" t="s">
        <v>29</v>
      </c>
      <c r="Q195" t="s">
        <v>29</v>
      </c>
      <c r="R195" t="s">
        <v>30</v>
      </c>
      <c r="S195" t="s">
        <v>33</v>
      </c>
      <c r="T195" t="s">
        <v>31</v>
      </c>
      <c r="U195" t="s">
        <v>32</v>
      </c>
      <c r="V195" t="s">
        <v>33</v>
      </c>
      <c r="X195">
        <v>112.62</v>
      </c>
      <c r="Y195">
        <v>31.6</v>
      </c>
      <c r="AE195">
        <v>47.87</v>
      </c>
      <c r="AH195">
        <v>33.15</v>
      </c>
    </row>
    <row r="196" spans="1:34" x14ac:dyDescent="0.25">
      <c r="A196">
        <v>67</v>
      </c>
      <c r="B196" t="s">
        <v>291</v>
      </c>
      <c r="C196">
        <v>3</v>
      </c>
      <c r="D196" t="s">
        <v>25</v>
      </c>
      <c r="E196">
        <v>1325315396</v>
      </c>
      <c r="F196" t="s">
        <v>292</v>
      </c>
      <c r="G196" t="s">
        <v>291</v>
      </c>
      <c r="H196" t="s">
        <v>293</v>
      </c>
      <c r="I196" t="s">
        <v>294</v>
      </c>
      <c r="J196" t="s">
        <v>374</v>
      </c>
      <c r="K196" t="s">
        <v>172</v>
      </c>
      <c r="L196">
        <v>28</v>
      </c>
      <c r="M196" t="s">
        <v>367</v>
      </c>
      <c r="N196" t="s">
        <v>177</v>
      </c>
      <c r="O196" t="s">
        <v>29</v>
      </c>
      <c r="P196" t="s">
        <v>29</v>
      </c>
      <c r="Q196" t="s">
        <v>29</v>
      </c>
      <c r="R196" t="s">
        <v>29</v>
      </c>
      <c r="S196" t="s">
        <v>32</v>
      </c>
      <c r="T196" t="s">
        <v>33</v>
      </c>
      <c r="U196" t="s">
        <v>44</v>
      </c>
      <c r="V196" t="s">
        <v>33</v>
      </c>
      <c r="X196">
        <v>143.47999999999999</v>
      </c>
      <c r="Y196">
        <v>56.53</v>
      </c>
      <c r="AE196">
        <v>50.84</v>
      </c>
      <c r="AH196">
        <v>36.11</v>
      </c>
    </row>
    <row r="197" spans="1:34" x14ac:dyDescent="0.25">
      <c r="A197">
        <v>68</v>
      </c>
      <c r="B197" t="s">
        <v>295</v>
      </c>
      <c r="C197">
        <v>3</v>
      </c>
      <c r="D197" t="s">
        <v>25</v>
      </c>
      <c r="E197">
        <v>1592251932</v>
      </c>
      <c r="F197" t="s">
        <v>296</v>
      </c>
      <c r="G197" t="s">
        <v>295</v>
      </c>
      <c r="H197" t="s">
        <v>297</v>
      </c>
      <c r="I197" t="s">
        <v>298</v>
      </c>
      <c r="J197" t="s">
        <v>166</v>
      </c>
      <c r="K197" t="s">
        <v>172</v>
      </c>
      <c r="L197">
        <v>33</v>
      </c>
      <c r="M197" t="s">
        <v>174</v>
      </c>
      <c r="N197" t="s">
        <v>177</v>
      </c>
      <c r="O197" t="s">
        <v>48</v>
      </c>
      <c r="P197" t="s">
        <v>30</v>
      </c>
      <c r="Q197" t="s">
        <v>75</v>
      </c>
      <c r="R197" t="s">
        <v>48</v>
      </c>
      <c r="S197" t="s">
        <v>32</v>
      </c>
      <c r="T197" t="s">
        <v>33</v>
      </c>
      <c r="U197" t="s">
        <v>33</v>
      </c>
      <c r="V197" t="s">
        <v>32</v>
      </c>
      <c r="X197">
        <v>181.38</v>
      </c>
      <c r="Y197">
        <v>117.22</v>
      </c>
      <c r="AE197">
        <v>37.74</v>
      </c>
      <c r="AH197">
        <v>26.42</v>
      </c>
    </row>
    <row r="198" spans="1:34" x14ac:dyDescent="0.25">
      <c r="A198">
        <v>69</v>
      </c>
      <c r="B198" t="s">
        <v>299</v>
      </c>
      <c r="C198">
        <v>3</v>
      </c>
      <c r="D198" t="s">
        <v>25</v>
      </c>
      <c r="E198">
        <v>70110135</v>
      </c>
      <c r="F198" t="s">
        <v>300</v>
      </c>
      <c r="G198" t="s">
        <v>299</v>
      </c>
      <c r="H198" t="s">
        <v>301</v>
      </c>
      <c r="I198" t="s">
        <v>290</v>
      </c>
      <c r="J198" t="s">
        <v>374</v>
      </c>
      <c r="K198" t="s">
        <v>172</v>
      </c>
      <c r="L198">
        <v>36</v>
      </c>
      <c r="M198" t="s">
        <v>367</v>
      </c>
      <c r="N198" t="s">
        <v>177</v>
      </c>
      <c r="O198" t="s">
        <v>29</v>
      </c>
      <c r="P198" t="s">
        <v>29</v>
      </c>
      <c r="Q198" t="s">
        <v>29</v>
      </c>
      <c r="R198" t="s">
        <v>48</v>
      </c>
      <c r="S198" t="s">
        <v>32</v>
      </c>
      <c r="T198" t="s">
        <v>33</v>
      </c>
      <c r="U198" t="s">
        <v>33</v>
      </c>
      <c r="V198" t="s">
        <v>44</v>
      </c>
      <c r="X198">
        <v>182.11</v>
      </c>
      <c r="Y198">
        <v>49.4</v>
      </c>
      <c r="AE198">
        <v>83.37</v>
      </c>
      <c r="AH198">
        <v>49.34</v>
      </c>
    </row>
    <row r="199" spans="1:34" x14ac:dyDescent="0.25">
      <c r="A199">
        <v>70</v>
      </c>
      <c r="B199" t="s">
        <v>302</v>
      </c>
      <c r="C199">
        <v>3</v>
      </c>
      <c r="D199" t="s">
        <v>25</v>
      </c>
      <c r="E199">
        <v>398291158</v>
      </c>
      <c r="F199" t="s">
        <v>303</v>
      </c>
      <c r="G199" t="s">
        <v>302</v>
      </c>
      <c r="H199" t="s">
        <v>304</v>
      </c>
      <c r="I199" t="s">
        <v>305</v>
      </c>
      <c r="J199" t="s">
        <v>374</v>
      </c>
      <c r="K199" t="s">
        <v>172</v>
      </c>
      <c r="L199">
        <v>31</v>
      </c>
      <c r="M199" t="s">
        <v>367</v>
      </c>
      <c r="O199" t="s">
        <v>29</v>
      </c>
      <c r="P199" t="s">
        <v>29</v>
      </c>
      <c r="R199" t="s">
        <v>30</v>
      </c>
      <c r="S199" t="s">
        <v>33</v>
      </c>
      <c r="T199" t="s">
        <v>33</v>
      </c>
      <c r="U199" t="s">
        <v>44</v>
      </c>
      <c r="V199" t="s">
        <v>33</v>
      </c>
      <c r="X199">
        <v>199.27</v>
      </c>
      <c r="Y199">
        <v>134.16999999999999</v>
      </c>
      <c r="AE199">
        <v>34.89</v>
      </c>
      <c r="AH199">
        <v>30.21</v>
      </c>
    </row>
    <row r="200" spans="1:34" x14ac:dyDescent="0.25">
      <c r="A200">
        <v>71</v>
      </c>
      <c r="B200" t="s">
        <v>306</v>
      </c>
      <c r="C200">
        <v>3</v>
      </c>
      <c r="D200" t="s">
        <v>25</v>
      </c>
      <c r="E200">
        <v>1983586998</v>
      </c>
      <c r="F200" t="s">
        <v>307</v>
      </c>
      <c r="G200" t="s">
        <v>306</v>
      </c>
      <c r="H200" t="s">
        <v>308</v>
      </c>
      <c r="I200" t="s">
        <v>309</v>
      </c>
      <c r="J200" t="s">
        <v>374</v>
      </c>
      <c r="K200" t="s">
        <v>172</v>
      </c>
      <c r="L200">
        <v>32</v>
      </c>
      <c r="M200" t="s">
        <v>367</v>
      </c>
      <c r="N200" t="s">
        <v>177</v>
      </c>
      <c r="O200" t="s">
        <v>30</v>
      </c>
      <c r="P200" t="s">
        <v>30</v>
      </c>
      <c r="Q200" t="s">
        <v>30</v>
      </c>
      <c r="R200" t="s">
        <v>30</v>
      </c>
      <c r="S200" t="s">
        <v>32</v>
      </c>
      <c r="T200" t="s">
        <v>33</v>
      </c>
      <c r="U200" t="s">
        <v>44</v>
      </c>
      <c r="V200" t="s">
        <v>44</v>
      </c>
      <c r="X200">
        <v>120.3</v>
      </c>
      <c r="Y200">
        <v>34.630000000000003</v>
      </c>
      <c r="AE200">
        <v>54.41</v>
      </c>
      <c r="AH200">
        <v>31.26</v>
      </c>
    </row>
    <row r="201" spans="1:34" x14ac:dyDescent="0.25">
      <c r="A201">
        <v>73</v>
      </c>
      <c r="B201" t="s">
        <v>310</v>
      </c>
      <c r="C201">
        <v>3</v>
      </c>
      <c r="D201" t="s">
        <v>25</v>
      </c>
      <c r="E201">
        <v>1636271761</v>
      </c>
      <c r="F201" t="s">
        <v>311</v>
      </c>
      <c r="G201" t="s">
        <v>310</v>
      </c>
      <c r="H201" t="s">
        <v>312</v>
      </c>
      <c r="I201" t="s">
        <v>373</v>
      </c>
      <c r="J201" t="s">
        <v>171</v>
      </c>
      <c r="K201" t="s">
        <v>364</v>
      </c>
      <c r="L201">
        <v>20</v>
      </c>
      <c r="M201" t="s">
        <v>367</v>
      </c>
      <c r="O201" t="s">
        <v>29</v>
      </c>
      <c r="P201" t="s">
        <v>30</v>
      </c>
      <c r="Q201" t="s">
        <v>30</v>
      </c>
      <c r="R201" t="s">
        <v>30</v>
      </c>
      <c r="S201" t="s">
        <v>44</v>
      </c>
      <c r="T201" t="s">
        <v>44</v>
      </c>
      <c r="U201" t="s">
        <v>33</v>
      </c>
      <c r="V201" t="s">
        <v>33</v>
      </c>
      <c r="X201">
        <v>136.08000000000001</v>
      </c>
      <c r="Y201">
        <v>19.38</v>
      </c>
      <c r="AE201">
        <v>63.06</v>
      </c>
      <c r="AH201">
        <v>53.64</v>
      </c>
    </row>
    <row r="202" spans="1:34" x14ac:dyDescent="0.25">
      <c r="A202">
        <v>74</v>
      </c>
      <c r="B202" t="s">
        <v>313</v>
      </c>
      <c r="C202">
        <v>3</v>
      </c>
      <c r="D202" t="s">
        <v>25</v>
      </c>
      <c r="E202">
        <v>1099502762</v>
      </c>
      <c r="F202" t="s">
        <v>314</v>
      </c>
      <c r="G202" t="s">
        <v>313</v>
      </c>
      <c r="H202" t="s">
        <v>315</v>
      </c>
      <c r="I202" t="s">
        <v>316</v>
      </c>
      <c r="J202" t="s">
        <v>374</v>
      </c>
      <c r="K202" t="s">
        <v>172</v>
      </c>
      <c r="L202">
        <v>32</v>
      </c>
      <c r="M202" t="s">
        <v>367</v>
      </c>
      <c r="N202" t="s">
        <v>173</v>
      </c>
      <c r="O202" t="s">
        <v>29</v>
      </c>
      <c r="P202" t="s">
        <v>29</v>
      </c>
      <c r="Q202" t="s">
        <v>30</v>
      </c>
      <c r="R202" t="s">
        <v>29</v>
      </c>
      <c r="S202" t="s">
        <v>33</v>
      </c>
      <c r="T202" t="s">
        <v>31</v>
      </c>
      <c r="U202" t="s">
        <v>44</v>
      </c>
      <c r="V202" t="s">
        <v>33</v>
      </c>
      <c r="X202">
        <v>175.37</v>
      </c>
      <c r="Y202">
        <v>60.88</v>
      </c>
      <c r="AE202">
        <v>51.32</v>
      </c>
      <c r="AH202">
        <v>63.17</v>
      </c>
    </row>
    <row r="203" spans="1:34" x14ac:dyDescent="0.25">
      <c r="A203">
        <v>75</v>
      </c>
      <c r="B203" t="s">
        <v>317</v>
      </c>
      <c r="C203">
        <v>3</v>
      </c>
      <c r="D203" t="s">
        <v>25</v>
      </c>
      <c r="E203">
        <v>1101452868</v>
      </c>
      <c r="F203" t="s">
        <v>318</v>
      </c>
      <c r="G203" t="s">
        <v>317</v>
      </c>
      <c r="H203" t="s">
        <v>319</v>
      </c>
      <c r="I203" t="s">
        <v>320</v>
      </c>
      <c r="J203" t="s">
        <v>171</v>
      </c>
      <c r="K203" t="s">
        <v>364</v>
      </c>
      <c r="L203">
        <v>19</v>
      </c>
      <c r="M203" t="s">
        <v>367</v>
      </c>
      <c r="O203" t="s">
        <v>30</v>
      </c>
      <c r="P203" t="s">
        <v>29</v>
      </c>
      <c r="Q203" t="s">
        <v>48</v>
      </c>
      <c r="R203" t="s">
        <v>75</v>
      </c>
      <c r="S203" t="s">
        <v>32</v>
      </c>
      <c r="T203" t="s">
        <v>31</v>
      </c>
      <c r="U203" t="s">
        <v>33</v>
      </c>
      <c r="V203" t="s">
        <v>44</v>
      </c>
      <c r="X203">
        <v>112.35</v>
      </c>
      <c r="Y203">
        <v>51.22</v>
      </c>
      <c r="AE203">
        <v>37.79</v>
      </c>
      <c r="AH203">
        <v>23.34</v>
      </c>
    </row>
    <row r="204" spans="1:34" x14ac:dyDescent="0.25">
      <c r="A204">
        <v>76</v>
      </c>
      <c r="B204" t="s">
        <v>321</v>
      </c>
      <c r="C204">
        <v>3</v>
      </c>
      <c r="D204" t="s">
        <v>25</v>
      </c>
      <c r="E204">
        <v>1124388689</v>
      </c>
      <c r="F204" t="s">
        <v>322</v>
      </c>
      <c r="G204" t="s">
        <v>321</v>
      </c>
      <c r="H204" t="s">
        <v>323</v>
      </c>
      <c r="I204" t="s">
        <v>324</v>
      </c>
      <c r="J204" t="s">
        <v>171</v>
      </c>
      <c r="K204" t="s">
        <v>172</v>
      </c>
      <c r="L204">
        <v>26</v>
      </c>
      <c r="M204" t="s">
        <v>367</v>
      </c>
      <c r="O204" t="s">
        <v>29</v>
      </c>
      <c r="P204" t="s">
        <v>29</v>
      </c>
      <c r="Q204" t="s">
        <v>29</v>
      </c>
      <c r="R204" t="s">
        <v>29</v>
      </c>
      <c r="S204" t="s">
        <v>44</v>
      </c>
      <c r="T204" t="s">
        <v>44</v>
      </c>
      <c r="U204" t="s">
        <v>32</v>
      </c>
      <c r="V204" t="s">
        <v>31</v>
      </c>
      <c r="X204">
        <v>180.87</v>
      </c>
      <c r="Y204">
        <v>61.31</v>
      </c>
      <c r="AE204">
        <v>74.930000000000007</v>
      </c>
      <c r="AH204">
        <v>44.63</v>
      </c>
    </row>
    <row r="205" spans="1:34" x14ac:dyDescent="0.25">
      <c r="A205">
        <v>91</v>
      </c>
      <c r="B205" t="s">
        <v>356</v>
      </c>
      <c r="C205">
        <v>3</v>
      </c>
      <c r="D205" t="s">
        <v>25</v>
      </c>
      <c r="E205">
        <v>173732914</v>
      </c>
      <c r="F205" t="s">
        <v>357</v>
      </c>
      <c r="G205" t="s">
        <v>356</v>
      </c>
      <c r="H205" t="s">
        <v>358</v>
      </c>
      <c r="I205" t="s">
        <v>290</v>
      </c>
      <c r="J205" t="s">
        <v>374</v>
      </c>
      <c r="K205" t="s">
        <v>172</v>
      </c>
      <c r="L205">
        <v>31</v>
      </c>
      <c r="M205" t="s">
        <v>367</v>
      </c>
      <c r="O205" t="s">
        <v>30</v>
      </c>
      <c r="P205" t="s">
        <v>29</v>
      </c>
      <c r="Q205" t="s">
        <v>29</v>
      </c>
      <c r="R205" t="s">
        <v>30</v>
      </c>
      <c r="S205" t="s">
        <v>44</v>
      </c>
      <c r="T205" t="s">
        <v>31</v>
      </c>
      <c r="U205" t="s">
        <v>44</v>
      </c>
      <c r="V205" t="s">
        <v>44</v>
      </c>
      <c r="X205">
        <v>88.37</v>
      </c>
      <c r="Y205">
        <v>32.01</v>
      </c>
      <c r="AE205">
        <v>33.06</v>
      </c>
      <c r="AH205">
        <v>23.3</v>
      </c>
    </row>
    <row r="206" spans="1:34" x14ac:dyDescent="0.25">
      <c r="A206">
        <v>94</v>
      </c>
      <c r="B206" t="s">
        <v>359</v>
      </c>
      <c r="C206">
        <v>3</v>
      </c>
      <c r="D206" t="s">
        <v>25</v>
      </c>
      <c r="E206">
        <v>1799489240</v>
      </c>
      <c r="F206" t="s">
        <v>360</v>
      </c>
      <c r="G206" t="s">
        <v>359</v>
      </c>
      <c r="H206" t="s">
        <v>361</v>
      </c>
      <c r="I206" t="s">
        <v>362</v>
      </c>
      <c r="J206" t="s">
        <v>374</v>
      </c>
      <c r="K206" t="s">
        <v>172</v>
      </c>
      <c r="L206">
        <v>52</v>
      </c>
      <c r="M206" t="s">
        <v>367</v>
      </c>
      <c r="N206" t="s">
        <v>173</v>
      </c>
      <c r="O206" t="s">
        <v>29</v>
      </c>
      <c r="P206" t="s">
        <v>29</v>
      </c>
      <c r="Q206" t="s">
        <v>29</v>
      </c>
      <c r="R206" t="s">
        <v>29</v>
      </c>
      <c r="S206" t="s">
        <v>44</v>
      </c>
      <c r="T206" t="s">
        <v>33</v>
      </c>
      <c r="U206" t="s">
        <v>44</v>
      </c>
      <c r="V206" t="s">
        <v>31</v>
      </c>
      <c r="W206" t="s">
        <v>371</v>
      </c>
      <c r="X206">
        <v>394.73</v>
      </c>
      <c r="Y206">
        <v>28.82</v>
      </c>
      <c r="AE206">
        <v>31.36</v>
      </c>
      <c r="AH206">
        <v>334.55</v>
      </c>
    </row>
    <row r="207" spans="1:34" x14ac:dyDescent="0.25">
      <c r="A207">
        <v>95</v>
      </c>
      <c r="B207" t="s">
        <v>384</v>
      </c>
      <c r="C207">
        <v>3</v>
      </c>
      <c r="D207" t="s">
        <v>25</v>
      </c>
      <c r="E207">
        <v>1248410956</v>
      </c>
      <c r="F207" t="s">
        <v>385</v>
      </c>
      <c r="G207" t="s">
        <v>384</v>
      </c>
      <c r="H207" t="s">
        <v>386</v>
      </c>
      <c r="I207" t="s">
        <v>387</v>
      </c>
      <c r="J207" t="s">
        <v>171</v>
      </c>
      <c r="K207" t="s">
        <v>172</v>
      </c>
      <c r="L207">
        <v>25</v>
      </c>
      <c r="M207" t="s">
        <v>367</v>
      </c>
      <c r="O207" t="s">
        <v>30</v>
      </c>
      <c r="P207" t="s">
        <v>29</v>
      </c>
      <c r="Q207" t="s">
        <v>29</v>
      </c>
      <c r="R207" t="s">
        <v>30</v>
      </c>
      <c r="S207" t="s">
        <v>33</v>
      </c>
      <c r="T207" t="s">
        <v>31</v>
      </c>
      <c r="U207" t="s">
        <v>33</v>
      </c>
      <c r="V207" t="s">
        <v>44</v>
      </c>
      <c r="X207">
        <v>110.51</v>
      </c>
      <c r="Y207">
        <v>40.590000000000003</v>
      </c>
      <c r="AE207">
        <v>30.76</v>
      </c>
      <c r="AH207">
        <v>39.159999999999997</v>
      </c>
    </row>
    <row r="208" spans="1:34" x14ac:dyDescent="0.25">
      <c r="A208">
        <v>99</v>
      </c>
      <c r="B208" t="s">
        <v>388</v>
      </c>
      <c r="C208">
        <v>3</v>
      </c>
      <c r="D208" t="s">
        <v>25</v>
      </c>
      <c r="E208">
        <v>1822772173</v>
      </c>
      <c r="F208" t="s">
        <v>389</v>
      </c>
      <c r="G208" t="s">
        <v>388</v>
      </c>
      <c r="H208" t="s">
        <v>390</v>
      </c>
      <c r="I208" t="s">
        <v>391</v>
      </c>
      <c r="J208" t="s">
        <v>374</v>
      </c>
      <c r="K208" t="s">
        <v>172</v>
      </c>
      <c r="L208">
        <v>24</v>
      </c>
      <c r="M208" t="s">
        <v>367</v>
      </c>
      <c r="N208" t="s">
        <v>181</v>
      </c>
      <c r="O208" t="s">
        <v>29</v>
      </c>
      <c r="P208" t="s">
        <v>29</v>
      </c>
      <c r="Q208" t="s">
        <v>29</v>
      </c>
      <c r="R208" t="s">
        <v>29</v>
      </c>
      <c r="S208" t="s">
        <v>44</v>
      </c>
      <c r="T208" t="s">
        <v>31</v>
      </c>
      <c r="U208" t="s">
        <v>32</v>
      </c>
      <c r="V208" t="s">
        <v>33</v>
      </c>
      <c r="W208" t="s">
        <v>392</v>
      </c>
      <c r="X208">
        <v>186.21</v>
      </c>
      <c r="Y208">
        <v>42.17</v>
      </c>
      <c r="AE208">
        <v>66.69</v>
      </c>
      <c r="AH208">
        <v>77.349999999999994</v>
      </c>
    </row>
    <row r="209" spans="1:34" x14ac:dyDescent="0.25">
      <c r="A209">
        <v>100</v>
      </c>
      <c r="B209" t="s">
        <v>393</v>
      </c>
      <c r="C209">
        <v>3</v>
      </c>
      <c r="D209" t="s">
        <v>25</v>
      </c>
      <c r="E209">
        <v>1408766910</v>
      </c>
      <c r="F209" t="s">
        <v>394</v>
      </c>
      <c r="G209" t="s">
        <v>393</v>
      </c>
      <c r="H209" t="s">
        <v>395</v>
      </c>
      <c r="I209" t="s">
        <v>391</v>
      </c>
      <c r="J209" t="s">
        <v>374</v>
      </c>
      <c r="K209" t="s">
        <v>172</v>
      </c>
      <c r="L209">
        <v>23</v>
      </c>
      <c r="M209" t="s">
        <v>367</v>
      </c>
      <c r="N209" t="s">
        <v>181</v>
      </c>
      <c r="O209" t="s">
        <v>30</v>
      </c>
      <c r="P209" t="s">
        <v>29</v>
      </c>
      <c r="Q209" t="s">
        <v>29</v>
      </c>
      <c r="R209" t="s">
        <v>29</v>
      </c>
      <c r="S209" t="s">
        <v>33</v>
      </c>
      <c r="T209" t="s">
        <v>31</v>
      </c>
      <c r="U209" t="s">
        <v>44</v>
      </c>
      <c r="V209" t="s">
        <v>33</v>
      </c>
      <c r="W209" t="s">
        <v>396</v>
      </c>
      <c r="X209">
        <v>98.59</v>
      </c>
      <c r="Y209">
        <v>25.5</v>
      </c>
      <c r="AE209">
        <v>22.24</v>
      </c>
      <c r="AH209">
        <v>50.85</v>
      </c>
    </row>
    <row r="210" spans="1:34" x14ac:dyDescent="0.25">
      <c r="A210">
        <v>102</v>
      </c>
      <c r="B210" t="s">
        <v>397</v>
      </c>
      <c r="C210">
        <v>3</v>
      </c>
      <c r="D210" t="s">
        <v>25</v>
      </c>
      <c r="E210">
        <v>2001122187</v>
      </c>
      <c r="F210" t="s">
        <v>398</v>
      </c>
      <c r="G210" t="s">
        <v>397</v>
      </c>
      <c r="H210" t="s">
        <v>399</v>
      </c>
      <c r="I210" t="s">
        <v>205</v>
      </c>
      <c r="J210" t="s">
        <v>171</v>
      </c>
      <c r="K210" t="s">
        <v>172</v>
      </c>
      <c r="L210" s="8" t="s">
        <v>400</v>
      </c>
      <c r="M210" t="s">
        <v>174</v>
      </c>
      <c r="N210" t="s">
        <v>173</v>
      </c>
      <c r="O210" t="s">
        <v>30</v>
      </c>
      <c r="P210" t="s">
        <v>30</v>
      </c>
      <c r="Q210" t="s">
        <v>48</v>
      </c>
      <c r="R210" t="s">
        <v>75</v>
      </c>
      <c r="S210" t="s">
        <v>44</v>
      </c>
      <c r="T210" t="s">
        <v>31</v>
      </c>
      <c r="U210" t="s">
        <v>33</v>
      </c>
      <c r="V210" t="s">
        <v>33</v>
      </c>
      <c r="X210">
        <v>168.24</v>
      </c>
      <c r="Y210">
        <v>34.979999999999997</v>
      </c>
      <c r="AE210">
        <v>53.45</v>
      </c>
      <c r="AH210">
        <v>79.81</v>
      </c>
    </row>
    <row r="211" spans="1:34" x14ac:dyDescent="0.25">
      <c r="A211">
        <v>103</v>
      </c>
      <c r="B211" t="s">
        <v>401</v>
      </c>
      <c r="C211">
        <v>3</v>
      </c>
      <c r="D211" t="s">
        <v>25</v>
      </c>
      <c r="E211">
        <v>660598696</v>
      </c>
      <c r="F211" t="s">
        <v>402</v>
      </c>
      <c r="G211" t="s">
        <v>401</v>
      </c>
      <c r="H211" t="s">
        <v>403</v>
      </c>
      <c r="I211" t="s">
        <v>404</v>
      </c>
      <c r="J211" t="s">
        <v>171</v>
      </c>
      <c r="K211" t="s">
        <v>172</v>
      </c>
      <c r="L211">
        <v>32</v>
      </c>
      <c r="M211" t="s">
        <v>174</v>
      </c>
      <c r="N211" t="s">
        <v>177</v>
      </c>
      <c r="O211" t="s">
        <v>48</v>
      </c>
      <c r="P211" t="s">
        <v>30</v>
      </c>
      <c r="Q211" t="s">
        <v>48</v>
      </c>
      <c r="R211" t="s">
        <v>75</v>
      </c>
      <c r="S211" t="s">
        <v>44</v>
      </c>
      <c r="T211" t="s">
        <v>44</v>
      </c>
      <c r="U211" t="s">
        <v>33</v>
      </c>
      <c r="V211" t="s">
        <v>33</v>
      </c>
      <c r="X211">
        <v>108.15</v>
      </c>
      <c r="Y211">
        <v>38.479999999999997</v>
      </c>
      <c r="AE211">
        <v>44.17</v>
      </c>
      <c r="AH211">
        <v>25.5</v>
      </c>
    </row>
    <row r="212" spans="1:34" x14ac:dyDescent="0.25">
      <c r="A212">
        <v>104</v>
      </c>
      <c r="B212" t="s">
        <v>405</v>
      </c>
      <c r="C212">
        <v>3</v>
      </c>
      <c r="D212" t="s">
        <v>25</v>
      </c>
      <c r="E212">
        <v>1130735948</v>
      </c>
      <c r="F212" t="s">
        <v>406</v>
      </c>
      <c r="G212" t="s">
        <v>405</v>
      </c>
      <c r="H212" t="s">
        <v>407</v>
      </c>
      <c r="I212" t="s">
        <v>408</v>
      </c>
      <c r="J212" t="s">
        <v>171</v>
      </c>
      <c r="K212" t="s">
        <v>172</v>
      </c>
      <c r="L212">
        <v>27</v>
      </c>
      <c r="M212" t="s">
        <v>174</v>
      </c>
      <c r="N212" t="s">
        <v>173</v>
      </c>
      <c r="O212" t="s">
        <v>30</v>
      </c>
      <c r="P212" t="s">
        <v>29</v>
      </c>
      <c r="Q212" t="s">
        <v>29</v>
      </c>
      <c r="R212" t="s">
        <v>30</v>
      </c>
      <c r="S212" t="s">
        <v>44</v>
      </c>
      <c r="T212" t="s">
        <v>44</v>
      </c>
      <c r="U212" t="s">
        <v>33</v>
      </c>
      <c r="V212" t="s">
        <v>44</v>
      </c>
      <c r="X212">
        <v>114.65</v>
      </c>
      <c r="Y212">
        <v>33.979999999999997</v>
      </c>
      <c r="AE212">
        <v>49.65</v>
      </c>
      <c r="AH212">
        <v>31.02</v>
      </c>
    </row>
    <row r="213" spans="1:34" x14ac:dyDescent="0.25">
      <c r="A213">
        <v>107</v>
      </c>
      <c r="B213" t="s">
        <v>414</v>
      </c>
      <c r="C213">
        <v>3</v>
      </c>
      <c r="D213" t="s">
        <v>25</v>
      </c>
      <c r="E213">
        <v>761198044</v>
      </c>
      <c r="F213" t="s">
        <v>415</v>
      </c>
      <c r="G213" t="s">
        <v>414</v>
      </c>
      <c r="H213" t="s">
        <v>416</v>
      </c>
      <c r="I213" t="s">
        <v>373</v>
      </c>
      <c r="J213" t="s">
        <v>171</v>
      </c>
      <c r="K213" t="s">
        <v>172</v>
      </c>
      <c r="L213">
        <v>25</v>
      </c>
      <c r="M213" t="s">
        <v>174</v>
      </c>
      <c r="O213" t="s">
        <v>29</v>
      </c>
      <c r="P213" t="s">
        <v>30</v>
      </c>
      <c r="Q213" t="s">
        <v>48</v>
      </c>
      <c r="R213" t="s">
        <v>30</v>
      </c>
      <c r="S213" t="s">
        <v>44</v>
      </c>
      <c r="U213" t="s">
        <v>33</v>
      </c>
      <c r="V213" t="s">
        <v>33</v>
      </c>
      <c r="X213">
        <v>110.8</v>
      </c>
      <c r="Y213">
        <v>29.55</v>
      </c>
      <c r="AE213">
        <v>40.71</v>
      </c>
      <c r="AH213">
        <v>40.54</v>
      </c>
    </row>
    <row r="214" spans="1:34" x14ac:dyDescent="0.25">
      <c r="A214">
        <v>108</v>
      </c>
      <c r="B214" t="s">
        <v>417</v>
      </c>
      <c r="C214">
        <v>3</v>
      </c>
      <c r="D214" t="s">
        <v>25</v>
      </c>
      <c r="E214">
        <v>2071099721</v>
      </c>
      <c r="F214" t="s">
        <v>418</v>
      </c>
      <c r="G214" t="s">
        <v>417</v>
      </c>
      <c r="H214" t="s">
        <v>419</v>
      </c>
      <c r="I214" t="s">
        <v>429</v>
      </c>
      <c r="J214" t="s">
        <v>166</v>
      </c>
      <c r="K214" t="s">
        <v>172</v>
      </c>
      <c r="L214">
        <v>25</v>
      </c>
      <c r="M214" t="s">
        <v>174</v>
      </c>
      <c r="N214" t="s">
        <v>173</v>
      </c>
      <c r="O214" t="s">
        <v>48</v>
      </c>
      <c r="P214" t="s">
        <v>48</v>
      </c>
      <c r="Q214" t="s">
        <v>48</v>
      </c>
      <c r="R214" t="s">
        <v>48</v>
      </c>
      <c r="S214" t="s">
        <v>32</v>
      </c>
      <c r="T214" t="s">
        <v>44</v>
      </c>
      <c r="U214" t="s">
        <v>33</v>
      </c>
      <c r="V214" t="s">
        <v>31</v>
      </c>
      <c r="X214">
        <v>92.49</v>
      </c>
      <c r="Y214">
        <v>30.12</v>
      </c>
      <c r="AE214">
        <v>32.53</v>
      </c>
      <c r="AH214">
        <v>29.84</v>
      </c>
    </row>
    <row r="215" spans="1:34" x14ac:dyDescent="0.25">
      <c r="A215">
        <v>113</v>
      </c>
      <c r="B215" t="s">
        <v>421</v>
      </c>
      <c r="C215">
        <v>3</v>
      </c>
      <c r="D215" t="s">
        <v>25</v>
      </c>
      <c r="E215">
        <v>645385112</v>
      </c>
      <c r="F215" t="s">
        <v>422</v>
      </c>
      <c r="G215" t="s">
        <v>421</v>
      </c>
      <c r="H215" t="s">
        <v>423</v>
      </c>
      <c r="I215" t="s">
        <v>373</v>
      </c>
      <c r="J215" t="s">
        <v>171</v>
      </c>
      <c r="K215" t="s">
        <v>172</v>
      </c>
      <c r="L215">
        <v>25</v>
      </c>
      <c r="O215" t="s">
        <v>48</v>
      </c>
      <c r="P215" t="s">
        <v>48</v>
      </c>
      <c r="Q215" t="s">
        <v>75</v>
      </c>
      <c r="R215" t="s">
        <v>48</v>
      </c>
      <c r="S215" t="s">
        <v>32</v>
      </c>
      <c r="T215" t="s">
        <v>44</v>
      </c>
      <c r="U215" t="s">
        <v>33</v>
      </c>
      <c r="V215" t="s">
        <v>32</v>
      </c>
      <c r="X215">
        <v>126.96</v>
      </c>
      <c r="Y215">
        <v>15.86</v>
      </c>
      <c r="AE215">
        <v>42.07</v>
      </c>
      <c r="AH215">
        <v>69.03</v>
      </c>
    </row>
    <row r="216" spans="1:34" x14ac:dyDescent="0.25">
      <c r="A216">
        <v>114</v>
      </c>
      <c r="B216" t="s">
        <v>421</v>
      </c>
      <c r="C216">
        <v>3</v>
      </c>
      <c r="D216" t="s">
        <v>25</v>
      </c>
      <c r="E216">
        <v>1111582417</v>
      </c>
      <c r="F216" t="s">
        <v>424</v>
      </c>
      <c r="G216" t="s">
        <v>421</v>
      </c>
      <c r="H216" t="s">
        <v>420</v>
      </c>
      <c r="I216" t="s">
        <v>425</v>
      </c>
      <c r="J216" t="s">
        <v>166</v>
      </c>
      <c r="K216" t="s">
        <v>172</v>
      </c>
      <c r="L216">
        <v>27</v>
      </c>
      <c r="O216" t="s">
        <v>75</v>
      </c>
      <c r="P216" t="s">
        <v>48</v>
      </c>
      <c r="Q216" t="s">
        <v>48</v>
      </c>
      <c r="R216" t="s">
        <v>48</v>
      </c>
      <c r="S216" t="s">
        <v>32</v>
      </c>
      <c r="T216" t="s">
        <v>32</v>
      </c>
      <c r="U216" t="s">
        <v>33</v>
      </c>
      <c r="V216" t="s">
        <v>44</v>
      </c>
      <c r="X216">
        <v>86.83</v>
      </c>
      <c r="Y216">
        <v>13.27</v>
      </c>
      <c r="AE216">
        <v>27.62</v>
      </c>
      <c r="AH216">
        <v>45.94</v>
      </c>
    </row>
    <row r="217" spans="1:34" x14ac:dyDescent="0.25">
      <c r="A217">
        <v>116</v>
      </c>
      <c r="B217" t="s">
        <v>426</v>
      </c>
      <c r="C217">
        <v>3</v>
      </c>
      <c r="D217" t="s">
        <v>25</v>
      </c>
      <c r="E217">
        <v>1547663071</v>
      </c>
      <c r="F217" t="s">
        <v>427</v>
      </c>
      <c r="G217" t="s">
        <v>426</v>
      </c>
      <c r="H217" t="s">
        <v>428</v>
      </c>
      <c r="I217" t="s">
        <v>429</v>
      </c>
      <c r="J217" t="s">
        <v>166</v>
      </c>
      <c r="K217" t="s">
        <v>172</v>
      </c>
      <c r="L217">
        <v>53</v>
      </c>
      <c r="M217" t="s">
        <v>174</v>
      </c>
      <c r="O217" t="s">
        <v>75</v>
      </c>
      <c r="P217" t="s">
        <v>48</v>
      </c>
      <c r="Q217" t="s">
        <v>48</v>
      </c>
      <c r="R217" t="s">
        <v>48</v>
      </c>
      <c r="S217" t="s">
        <v>44</v>
      </c>
      <c r="T217" t="s">
        <v>44</v>
      </c>
      <c r="U217" t="s">
        <v>33</v>
      </c>
      <c r="V217" t="s">
        <v>32</v>
      </c>
      <c r="X217">
        <v>108.23</v>
      </c>
      <c r="Y217">
        <v>35.96</v>
      </c>
      <c r="AE217">
        <v>41.93</v>
      </c>
      <c r="AH217">
        <v>30.34</v>
      </c>
    </row>
    <row r="218" spans="1:34" x14ac:dyDescent="0.25">
      <c r="A218">
        <v>118</v>
      </c>
      <c r="B218" t="s">
        <v>432</v>
      </c>
      <c r="C218">
        <v>3</v>
      </c>
      <c r="D218" t="s">
        <v>25</v>
      </c>
      <c r="E218">
        <v>130789727</v>
      </c>
      <c r="F218" t="s">
        <v>433</v>
      </c>
      <c r="G218" t="s">
        <v>432</v>
      </c>
      <c r="H218" t="s">
        <v>434</v>
      </c>
      <c r="I218" t="s">
        <v>435</v>
      </c>
      <c r="J218" t="s">
        <v>166</v>
      </c>
      <c r="K218" t="s">
        <v>364</v>
      </c>
      <c r="L218">
        <v>32</v>
      </c>
      <c r="M218" t="s">
        <v>174</v>
      </c>
      <c r="N218" t="s">
        <v>181</v>
      </c>
      <c r="O218" t="s">
        <v>30</v>
      </c>
      <c r="P218" t="s">
        <v>30</v>
      </c>
      <c r="Q218" t="s">
        <v>30</v>
      </c>
      <c r="R218" t="s">
        <v>48</v>
      </c>
      <c r="S218" t="s">
        <v>44</v>
      </c>
      <c r="T218" t="s">
        <v>33</v>
      </c>
      <c r="U218" t="s">
        <v>33</v>
      </c>
      <c r="V218" t="s">
        <v>33</v>
      </c>
      <c r="X218">
        <v>179.12</v>
      </c>
      <c r="Y218">
        <v>121.56</v>
      </c>
      <c r="AE218">
        <v>38.85</v>
      </c>
      <c r="AH218">
        <v>18.71</v>
      </c>
    </row>
    <row r="219" spans="1:34" x14ac:dyDescent="0.25">
      <c r="A219">
        <v>119</v>
      </c>
      <c r="B219" t="s">
        <v>436</v>
      </c>
      <c r="C219">
        <v>3</v>
      </c>
      <c r="D219" t="s">
        <v>25</v>
      </c>
      <c r="E219">
        <v>611406010</v>
      </c>
      <c r="F219" t="s">
        <v>437</v>
      </c>
      <c r="G219" t="s">
        <v>436</v>
      </c>
      <c r="H219" t="s">
        <v>438</v>
      </c>
      <c r="I219" t="s">
        <v>439</v>
      </c>
      <c r="J219" t="s">
        <v>166</v>
      </c>
      <c r="K219" t="s">
        <v>364</v>
      </c>
      <c r="L219">
        <v>23</v>
      </c>
      <c r="M219" t="s">
        <v>174</v>
      </c>
      <c r="N219" t="s">
        <v>173</v>
      </c>
      <c r="O219" t="s">
        <v>30</v>
      </c>
      <c r="P219" t="s">
        <v>30</v>
      </c>
      <c r="Q219" t="s">
        <v>30</v>
      </c>
      <c r="R219" t="s">
        <v>48</v>
      </c>
      <c r="S219" t="s">
        <v>32</v>
      </c>
      <c r="T219" t="s">
        <v>33</v>
      </c>
      <c r="U219" t="s">
        <v>31</v>
      </c>
      <c r="V219" t="s">
        <v>32</v>
      </c>
      <c r="X219">
        <v>108.62</v>
      </c>
      <c r="Y219">
        <v>26.73</v>
      </c>
      <c r="AE219">
        <v>35.18</v>
      </c>
      <c r="AH219">
        <v>46.71</v>
      </c>
    </row>
    <row r="220" spans="1:34" x14ac:dyDescent="0.25">
      <c r="A220">
        <v>120</v>
      </c>
      <c r="B220" t="s">
        <v>440</v>
      </c>
      <c r="C220">
        <v>3</v>
      </c>
      <c r="D220" t="s">
        <v>25</v>
      </c>
      <c r="E220">
        <v>71550579</v>
      </c>
      <c r="F220" t="s">
        <v>441</v>
      </c>
      <c r="G220" t="s">
        <v>440</v>
      </c>
      <c r="H220" t="s">
        <v>442</v>
      </c>
      <c r="I220" t="s">
        <v>443</v>
      </c>
      <c r="J220" t="s">
        <v>166</v>
      </c>
      <c r="K220" t="s">
        <v>364</v>
      </c>
      <c r="L220">
        <v>25</v>
      </c>
      <c r="M220" t="s">
        <v>174</v>
      </c>
      <c r="N220" t="s">
        <v>181</v>
      </c>
      <c r="O220" t="s">
        <v>29</v>
      </c>
      <c r="P220" t="s">
        <v>30</v>
      </c>
      <c r="Q220" t="s">
        <v>30</v>
      </c>
      <c r="R220" t="s">
        <v>30</v>
      </c>
      <c r="S220" t="s">
        <v>32</v>
      </c>
      <c r="T220" t="s">
        <v>33</v>
      </c>
      <c r="U220" t="s">
        <v>31</v>
      </c>
      <c r="V220" t="s">
        <v>33</v>
      </c>
      <c r="X220">
        <v>132.33000000000001</v>
      </c>
      <c r="Y220">
        <v>41.95</v>
      </c>
      <c r="AE220">
        <v>62.86</v>
      </c>
      <c r="AH220">
        <v>27.52</v>
      </c>
    </row>
    <row r="221" spans="1:34" x14ac:dyDescent="0.25">
      <c r="A221">
        <v>121</v>
      </c>
      <c r="B221" t="s">
        <v>446</v>
      </c>
      <c r="C221">
        <v>3</v>
      </c>
      <c r="D221" t="s">
        <v>25</v>
      </c>
      <c r="E221">
        <v>225863912</v>
      </c>
      <c r="F221" t="s">
        <v>447</v>
      </c>
      <c r="G221" t="s">
        <v>446</v>
      </c>
      <c r="H221" t="s">
        <v>448</v>
      </c>
      <c r="I221" t="s">
        <v>449</v>
      </c>
      <c r="J221" t="s">
        <v>166</v>
      </c>
      <c r="K221" t="s">
        <v>364</v>
      </c>
      <c r="L221">
        <v>24</v>
      </c>
      <c r="M221" t="s">
        <v>174</v>
      </c>
      <c r="N221" t="s">
        <v>181</v>
      </c>
      <c r="O221" t="s">
        <v>30</v>
      </c>
      <c r="P221" t="s">
        <v>29</v>
      </c>
      <c r="Q221" t="s">
        <v>30</v>
      </c>
      <c r="R221" t="s">
        <v>48</v>
      </c>
      <c r="S221" t="s">
        <v>32</v>
      </c>
      <c r="T221" t="s">
        <v>33</v>
      </c>
      <c r="U221" t="s">
        <v>31</v>
      </c>
      <c r="V221" t="s">
        <v>32</v>
      </c>
      <c r="X221">
        <v>127.07</v>
      </c>
      <c r="Y221">
        <v>44.12</v>
      </c>
      <c r="AE221">
        <v>45.25</v>
      </c>
      <c r="AH221">
        <v>37.700000000000003</v>
      </c>
    </row>
    <row r="222" spans="1:34" x14ac:dyDescent="0.25">
      <c r="A222">
        <v>122</v>
      </c>
      <c r="B222" t="s">
        <v>450</v>
      </c>
      <c r="C222">
        <v>3</v>
      </c>
      <c r="D222" t="s">
        <v>25</v>
      </c>
      <c r="E222">
        <v>333412215</v>
      </c>
      <c r="F222" t="s">
        <v>451</v>
      </c>
      <c r="G222" t="s">
        <v>450</v>
      </c>
      <c r="H222" t="s">
        <v>452</v>
      </c>
      <c r="I222" t="s">
        <v>449</v>
      </c>
      <c r="J222" t="s">
        <v>166</v>
      </c>
      <c r="K222" t="s">
        <v>364</v>
      </c>
      <c r="L222">
        <v>29</v>
      </c>
      <c r="M222" t="s">
        <v>174</v>
      </c>
      <c r="N222" t="s">
        <v>181</v>
      </c>
      <c r="O222" t="s">
        <v>29</v>
      </c>
      <c r="P222" t="s">
        <v>29</v>
      </c>
      <c r="Q222" t="s">
        <v>30</v>
      </c>
      <c r="R222" t="s">
        <v>30</v>
      </c>
      <c r="S222" t="s">
        <v>32</v>
      </c>
      <c r="T222" t="s">
        <v>44</v>
      </c>
      <c r="U222" t="s">
        <v>33</v>
      </c>
      <c r="X222">
        <v>379.57</v>
      </c>
      <c r="Y222">
        <v>46.9</v>
      </c>
      <c r="AE222">
        <v>70.17</v>
      </c>
      <c r="AH222">
        <v>262.5</v>
      </c>
    </row>
    <row r="223" spans="1:34" x14ac:dyDescent="0.25">
      <c r="A223">
        <v>123</v>
      </c>
      <c r="B223" t="s">
        <v>453</v>
      </c>
      <c r="C223">
        <v>3</v>
      </c>
      <c r="D223" t="s">
        <v>25</v>
      </c>
      <c r="E223">
        <v>52964438</v>
      </c>
      <c r="F223" t="s">
        <v>454</v>
      </c>
      <c r="G223" t="s">
        <v>453</v>
      </c>
      <c r="H223" t="s">
        <v>455</v>
      </c>
      <c r="I223" t="s">
        <v>456</v>
      </c>
      <c r="J223" t="s">
        <v>166</v>
      </c>
      <c r="K223" t="s">
        <v>364</v>
      </c>
      <c r="L223">
        <v>24</v>
      </c>
      <c r="M223" t="s">
        <v>174</v>
      </c>
      <c r="N223" t="s">
        <v>181</v>
      </c>
      <c r="O223" t="s">
        <v>29</v>
      </c>
      <c r="P223" t="s">
        <v>29</v>
      </c>
      <c r="Q223" t="s">
        <v>29</v>
      </c>
      <c r="R223" t="s">
        <v>48</v>
      </c>
      <c r="S223" t="s">
        <v>44</v>
      </c>
      <c r="T223" t="s">
        <v>44</v>
      </c>
      <c r="U223" t="s">
        <v>33</v>
      </c>
      <c r="V223" t="s">
        <v>44</v>
      </c>
      <c r="W223" t="s">
        <v>457</v>
      </c>
      <c r="X223">
        <v>135.62</v>
      </c>
      <c r="Y223">
        <v>45.12</v>
      </c>
      <c r="AE223">
        <v>44.81</v>
      </c>
      <c r="AH223">
        <v>45.69</v>
      </c>
    </row>
    <row r="224" spans="1:34" x14ac:dyDescent="0.25">
      <c r="A224">
        <v>124</v>
      </c>
      <c r="B224" t="s">
        <v>458</v>
      </c>
      <c r="C224">
        <v>3</v>
      </c>
      <c r="D224" t="s">
        <v>25</v>
      </c>
      <c r="E224">
        <v>1260960926</v>
      </c>
      <c r="F224" t="s">
        <v>459</v>
      </c>
      <c r="G224" t="s">
        <v>458</v>
      </c>
      <c r="H224" t="s">
        <v>460</v>
      </c>
      <c r="I224" t="s">
        <v>449</v>
      </c>
      <c r="J224" t="s">
        <v>166</v>
      </c>
      <c r="K224" t="s">
        <v>364</v>
      </c>
      <c r="L224">
        <v>28</v>
      </c>
      <c r="M224" t="s">
        <v>174</v>
      </c>
      <c r="N224" t="s">
        <v>181</v>
      </c>
      <c r="O224" t="s">
        <v>75</v>
      </c>
      <c r="P224" t="s">
        <v>29</v>
      </c>
      <c r="Q224" t="s">
        <v>29</v>
      </c>
      <c r="R224" t="s">
        <v>30</v>
      </c>
      <c r="S224" t="s">
        <v>32</v>
      </c>
      <c r="T224" t="s">
        <v>32</v>
      </c>
      <c r="U224" t="s">
        <v>31</v>
      </c>
      <c r="V224" t="s">
        <v>32</v>
      </c>
      <c r="W224" t="s">
        <v>461</v>
      </c>
      <c r="X224">
        <v>127.59</v>
      </c>
      <c r="Y224">
        <v>26.31</v>
      </c>
      <c r="AE224">
        <v>59.02</v>
      </c>
      <c r="AH224">
        <v>42.26</v>
      </c>
    </row>
    <row r="225" spans="1:34" x14ac:dyDescent="0.25">
      <c r="A225">
        <v>125</v>
      </c>
      <c r="B225" t="s">
        <v>462</v>
      </c>
      <c r="C225">
        <v>3</v>
      </c>
      <c r="D225" t="s">
        <v>25</v>
      </c>
      <c r="E225">
        <v>579866800</v>
      </c>
      <c r="F225" t="s">
        <v>463</v>
      </c>
      <c r="G225" t="s">
        <v>462</v>
      </c>
      <c r="H225" t="s">
        <v>464</v>
      </c>
      <c r="I225" t="s">
        <v>465</v>
      </c>
      <c r="J225" t="s">
        <v>171</v>
      </c>
      <c r="K225" t="s">
        <v>364</v>
      </c>
      <c r="L225">
        <v>27</v>
      </c>
      <c r="M225" t="s">
        <v>174</v>
      </c>
      <c r="N225" t="s">
        <v>177</v>
      </c>
      <c r="O225" t="s">
        <v>29</v>
      </c>
      <c r="P225" t="s">
        <v>29</v>
      </c>
      <c r="Q225" t="s">
        <v>29</v>
      </c>
      <c r="R225" t="s">
        <v>48</v>
      </c>
      <c r="S225" t="s">
        <v>32</v>
      </c>
      <c r="T225" t="s">
        <v>44</v>
      </c>
      <c r="U225" t="s">
        <v>33</v>
      </c>
      <c r="V225" t="s">
        <v>44</v>
      </c>
      <c r="X225">
        <v>103.57</v>
      </c>
      <c r="Y225">
        <v>37.43</v>
      </c>
      <c r="AE225">
        <v>38.47</v>
      </c>
      <c r="AH225">
        <v>27.67</v>
      </c>
    </row>
    <row r="226" spans="1:34" x14ac:dyDescent="0.25">
      <c r="A226">
        <v>126</v>
      </c>
      <c r="B226" t="s">
        <v>466</v>
      </c>
      <c r="C226">
        <v>3</v>
      </c>
      <c r="D226" t="s">
        <v>25</v>
      </c>
      <c r="E226">
        <v>122143980</v>
      </c>
      <c r="F226" t="s">
        <v>467</v>
      </c>
      <c r="G226" t="s">
        <v>466</v>
      </c>
      <c r="H226" t="s">
        <v>468</v>
      </c>
      <c r="I226" t="s">
        <v>469</v>
      </c>
      <c r="J226" t="s">
        <v>171</v>
      </c>
      <c r="K226" t="s">
        <v>364</v>
      </c>
      <c r="L226">
        <v>32</v>
      </c>
      <c r="M226" t="s">
        <v>367</v>
      </c>
      <c r="N226" t="s">
        <v>181</v>
      </c>
      <c r="O226" t="s">
        <v>29</v>
      </c>
      <c r="P226" t="s">
        <v>29</v>
      </c>
      <c r="Q226" t="s">
        <v>30</v>
      </c>
      <c r="R226" t="s">
        <v>30</v>
      </c>
      <c r="S226" t="s">
        <v>44</v>
      </c>
      <c r="T226" t="s">
        <v>33</v>
      </c>
      <c r="U226" t="s">
        <v>44</v>
      </c>
      <c r="V226" t="s">
        <v>31</v>
      </c>
      <c r="X226">
        <v>69.69</v>
      </c>
      <c r="Y226">
        <v>17.989999999999998</v>
      </c>
      <c r="AE226">
        <v>26.09</v>
      </c>
      <c r="AH226">
        <v>25.61</v>
      </c>
    </row>
    <row r="227" spans="1:34" x14ac:dyDescent="0.25">
      <c r="A227">
        <v>127</v>
      </c>
      <c r="B227" t="s">
        <v>470</v>
      </c>
      <c r="C227">
        <v>3</v>
      </c>
      <c r="D227" t="s">
        <v>25</v>
      </c>
      <c r="E227">
        <v>551022180</v>
      </c>
      <c r="F227" t="s">
        <v>471</v>
      </c>
      <c r="G227" t="s">
        <v>470</v>
      </c>
      <c r="H227" t="s">
        <v>472</v>
      </c>
      <c r="I227" t="s">
        <v>473</v>
      </c>
      <c r="J227" t="s">
        <v>167</v>
      </c>
      <c r="K227" t="s">
        <v>172</v>
      </c>
      <c r="L227">
        <v>38</v>
      </c>
      <c r="M227" t="s">
        <v>367</v>
      </c>
      <c r="N227" t="s">
        <v>173</v>
      </c>
      <c r="O227" t="s">
        <v>30</v>
      </c>
      <c r="P227" t="s">
        <v>30</v>
      </c>
      <c r="Q227" t="s">
        <v>30</v>
      </c>
      <c r="R227" t="s">
        <v>30</v>
      </c>
      <c r="S227" t="s">
        <v>44</v>
      </c>
      <c r="T227" t="s">
        <v>44</v>
      </c>
      <c r="U227" t="s">
        <v>44</v>
      </c>
      <c r="V227" t="s">
        <v>44</v>
      </c>
      <c r="X227">
        <v>135.18</v>
      </c>
      <c r="Y227">
        <v>32.869999999999997</v>
      </c>
      <c r="AE227">
        <v>49</v>
      </c>
      <c r="AH227">
        <v>53.31</v>
      </c>
    </row>
    <row r="228" spans="1:34" x14ac:dyDescent="0.25">
      <c r="A228">
        <v>129</v>
      </c>
      <c r="B228" t="s">
        <v>474</v>
      </c>
      <c r="C228">
        <v>3</v>
      </c>
      <c r="D228" t="s">
        <v>25</v>
      </c>
      <c r="E228">
        <v>1406897174</v>
      </c>
      <c r="F228" t="s">
        <v>475</v>
      </c>
      <c r="G228" t="s">
        <v>474</v>
      </c>
      <c r="H228" t="s">
        <v>476</v>
      </c>
      <c r="I228" t="s">
        <v>473</v>
      </c>
      <c r="J228" t="s">
        <v>167</v>
      </c>
      <c r="K228" t="s">
        <v>172</v>
      </c>
      <c r="L228">
        <v>19</v>
      </c>
      <c r="M228" t="s">
        <v>367</v>
      </c>
      <c r="N228" t="s">
        <v>173</v>
      </c>
      <c r="O228" t="s">
        <v>48</v>
      </c>
      <c r="P228" t="s">
        <v>48</v>
      </c>
      <c r="Q228" t="s">
        <v>75</v>
      </c>
      <c r="R228" t="s">
        <v>48</v>
      </c>
      <c r="S228" t="s">
        <v>32</v>
      </c>
      <c r="T228" t="s">
        <v>44</v>
      </c>
      <c r="U228" t="s">
        <v>33</v>
      </c>
      <c r="V228" t="s">
        <v>33</v>
      </c>
      <c r="X228">
        <v>101.62</v>
      </c>
      <c r="Y228">
        <v>31.17</v>
      </c>
      <c r="AE228">
        <v>40.130000000000003</v>
      </c>
      <c r="AH228">
        <v>30.32</v>
      </c>
    </row>
    <row r="229" spans="1:34" x14ac:dyDescent="0.25">
      <c r="A229">
        <v>131</v>
      </c>
      <c r="B229" t="s">
        <v>477</v>
      </c>
      <c r="C229">
        <v>3</v>
      </c>
      <c r="D229" t="s">
        <v>25</v>
      </c>
      <c r="E229">
        <v>1893159569</v>
      </c>
      <c r="F229" t="s">
        <v>478</v>
      </c>
      <c r="G229" t="s">
        <v>477</v>
      </c>
      <c r="H229" t="s">
        <v>479</v>
      </c>
      <c r="I229" t="s">
        <v>480</v>
      </c>
      <c r="J229" t="s">
        <v>167</v>
      </c>
      <c r="K229" t="s">
        <v>172</v>
      </c>
      <c r="L229">
        <v>25</v>
      </c>
      <c r="M229" t="s">
        <v>367</v>
      </c>
      <c r="N229" t="s">
        <v>173</v>
      </c>
      <c r="O229" t="s">
        <v>30</v>
      </c>
      <c r="P229" t="s">
        <v>29</v>
      </c>
      <c r="Q229" t="s">
        <v>30</v>
      </c>
      <c r="R229" t="s">
        <v>48</v>
      </c>
      <c r="S229" t="s">
        <v>32</v>
      </c>
      <c r="T229" t="s">
        <v>31</v>
      </c>
      <c r="U229" t="s">
        <v>33</v>
      </c>
      <c r="V229" t="s">
        <v>33</v>
      </c>
      <c r="X229">
        <v>175.39</v>
      </c>
      <c r="Y229">
        <v>53.79</v>
      </c>
      <c r="AE229">
        <v>72.89</v>
      </c>
      <c r="AH229">
        <v>48.71</v>
      </c>
    </row>
    <row r="230" spans="1:34" x14ac:dyDescent="0.25">
      <c r="A230">
        <v>134</v>
      </c>
      <c r="B230" t="s">
        <v>482</v>
      </c>
      <c r="C230">
        <v>3</v>
      </c>
      <c r="D230" t="s">
        <v>25</v>
      </c>
      <c r="E230">
        <v>173607926</v>
      </c>
      <c r="F230" t="s">
        <v>483</v>
      </c>
      <c r="G230" t="s">
        <v>482</v>
      </c>
      <c r="H230" t="s">
        <v>481</v>
      </c>
      <c r="I230" t="s">
        <v>484</v>
      </c>
      <c r="J230" t="s">
        <v>167</v>
      </c>
      <c r="K230" t="s">
        <v>172</v>
      </c>
      <c r="L230">
        <v>34</v>
      </c>
      <c r="M230" t="s">
        <v>367</v>
      </c>
      <c r="O230" t="s">
        <v>48</v>
      </c>
      <c r="P230" t="s">
        <v>48</v>
      </c>
      <c r="Q230" t="s">
        <v>48</v>
      </c>
      <c r="R230" t="s">
        <v>75</v>
      </c>
      <c r="S230" t="s">
        <v>32</v>
      </c>
      <c r="T230" t="s">
        <v>33</v>
      </c>
      <c r="U230" t="s">
        <v>33</v>
      </c>
      <c r="V230" t="s">
        <v>33</v>
      </c>
      <c r="X230">
        <v>160.68</v>
      </c>
      <c r="Y230">
        <v>29.89</v>
      </c>
      <c r="AE230">
        <v>80.28</v>
      </c>
      <c r="AH230">
        <v>50.51</v>
      </c>
    </row>
    <row r="231" spans="1:34" x14ac:dyDescent="0.25">
      <c r="A231">
        <v>136</v>
      </c>
      <c r="B231" t="s">
        <v>485</v>
      </c>
      <c r="C231">
        <v>3</v>
      </c>
      <c r="D231" t="s">
        <v>25</v>
      </c>
      <c r="E231">
        <v>664790980</v>
      </c>
      <c r="F231" t="s">
        <v>486</v>
      </c>
      <c r="G231" t="s">
        <v>485</v>
      </c>
      <c r="H231" t="s">
        <v>487</v>
      </c>
      <c r="I231" t="s">
        <v>488</v>
      </c>
      <c r="J231" t="s">
        <v>167</v>
      </c>
      <c r="K231" t="s">
        <v>172</v>
      </c>
      <c r="L231">
        <v>32</v>
      </c>
      <c r="M231" t="s">
        <v>367</v>
      </c>
      <c r="O231" t="s">
        <v>48</v>
      </c>
      <c r="P231" t="s">
        <v>48</v>
      </c>
      <c r="Q231" t="s">
        <v>30</v>
      </c>
      <c r="R231" t="s">
        <v>48</v>
      </c>
      <c r="S231" t="s">
        <v>32</v>
      </c>
      <c r="T231" t="s">
        <v>32</v>
      </c>
      <c r="U231" t="s">
        <v>31</v>
      </c>
      <c r="V231" t="s">
        <v>33</v>
      </c>
      <c r="X231">
        <v>128.41999999999999</v>
      </c>
      <c r="Y231">
        <v>36.159999999999997</v>
      </c>
      <c r="AE231">
        <v>60.02</v>
      </c>
      <c r="AH231">
        <v>32.24</v>
      </c>
    </row>
    <row r="232" spans="1:34" x14ac:dyDescent="0.25">
      <c r="A232">
        <v>138</v>
      </c>
      <c r="B232" t="s">
        <v>489</v>
      </c>
      <c r="C232">
        <v>3</v>
      </c>
      <c r="D232" t="s">
        <v>25</v>
      </c>
      <c r="E232">
        <v>1781933337</v>
      </c>
      <c r="F232" t="s">
        <v>490</v>
      </c>
      <c r="G232" t="s">
        <v>489</v>
      </c>
      <c r="H232" t="s">
        <v>491</v>
      </c>
      <c r="I232" t="s">
        <v>492</v>
      </c>
      <c r="J232" t="s">
        <v>167</v>
      </c>
      <c r="K232" t="s">
        <v>172</v>
      </c>
      <c r="L232">
        <v>20</v>
      </c>
      <c r="M232" t="s">
        <v>367</v>
      </c>
      <c r="N232" t="s">
        <v>173</v>
      </c>
      <c r="O232" t="s">
        <v>48</v>
      </c>
      <c r="P232" t="s">
        <v>30</v>
      </c>
      <c r="Q232" t="s">
        <v>48</v>
      </c>
      <c r="R232" t="s">
        <v>75</v>
      </c>
      <c r="S232" t="s">
        <v>32</v>
      </c>
      <c r="T232" t="s">
        <v>33</v>
      </c>
      <c r="U232" t="s">
        <v>44</v>
      </c>
      <c r="V232" t="s">
        <v>31</v>
      </c>
      <c r="X232">
        <v>186.96</v>
      </c>
      <c r="Y232">
        <v>103.9</v>
      </c>
      <c r="AE232">
        <v>69.33</v>
      </c>
      <c r="AH232">
        <v>13.73</v>
      </c>
    </row>
    <row r="233" spans="1:34" x14ac:dyDescent="0.25">
      <c r="A233">
        <v>141</v>
      </c>
      <c r="B233" t="s">
        <v>493</v>
      </c>
      <c r="C233">
        <v>3</v>
      </c>
      <c r="D233" t="s">
        <v>25</v>
      </c>
      <c r="E233">
        <v>445979910</v>
      </c>
      <c r="F233" t="s">
        <v>494</v>
      </c>
      <c r="G233" t="s">
        <v>493</v>
      </c>
      <c r="H233" t="s">
        <v>495</v>
      </c>
      <c r="I233" t="s">
        <v>488</v>
      </c>
      <c r="J233" t="s">
        <v>167</v>
      </c>
      <c r="K233" t="s">
        <v>172</v>
      </c>
      <c r="L233">
        <v>19</v>
      </c>
      <c r="M233" t="s">
        <v>174</v>
      </c>
      <c r="N233" t="s">
        <v>177</v>
      </c>
      <c r="O233" t="s">
        <v>30</v>
      </c>
      <c r="P233" t="s">
        <v>75</v>
      </c>
      <c r="Q233" t="s">
        <v>48</v>
      </c>
      <c r="R233" t="s">
        <v>48</v>
      </c>
      <c r="S233" t="s">
        <v>31</v>
      </c>
      <c r="T233" t="s">
        <v>33</v>
      </c>
      <c r="X233">
        <v>141.57</v>
      </c>
      <c r="Y233">
        <v>71.900000000000006</v>
      </c>
      <c r="AE233">
        <v>45.89</v>
      </c>
      <c r="AH233">
        <v>23.78</v>
      </c>
    </row>
    <row r="234" spans="1:34" x14ac:dyDescent="0.25">
      <c r="A234">
        <v>143</v>
      </c>
      <c r="B234" t="s">
        <v>496</v>
      </c>
      <c r="C234">
        <v>3</v>
      </c>
      <c r="D234" t="s">
        <v>25</v>
      </c>
      <c r="E234">
        <v>226003803</v>
      </c>
      <c r="F234" t="s">
        <v>497</v>
      </c>
      <c r="G234" t="s">
        <v>496</v>
      </c>
      <c r="H234" t="s">
        <v>498</v>
      </c>
      <c r="I234" t="s">
        <v>473</v>
      </c>
      <c r="J234" t="s">
        <v>167</v>
      </c>
      <c r="K234" t="s">
        <v>172</v>
      </c>
      <c r="L234">
        <v>22</v>
      </c>
      <c r="M234" t="s">
        <v>367</v>
      </c>
      <c r="N234" t="s">
        <v>177</v>
      </c>
      <c r="O234" t="s">
        <v>30</v>
      </c>
      <c r="P234" t="s">
        <v>29</v>
      </c>
      <c r="Q234" t="s">
        <v>30</v>
      </c>
      <c r="R234" t="s">
        <v>30</v>
      </c>
      <c r="S234" t="s">
        <v>33</v>
      </c>
      <c r="T234" t="s">
        <v>31</v>
      </c>
      <c r="U234" t="s">
        <v>44</v>
      </c>
      <c r="V234" t="s">
        <v>33</v>
      </c>
      <c r="X234">
        <v>124.96</v>
      </c>
      <c r="Y234">
        <v>42.76</v>
      </c>
      <c r="AE234">
        <v>43.57</v>
      </c>
      <c r="AH234">
        <v>38.630000000000003</v>
      </c>
    </row>
    <row r="235" spans="1:34" ht="13" x14ac:dyDescent="0.3">
      <c r="A235" s="14">
        <v>144</v>
      </c>
      <c r="B235" t="s">
        <v>499</v>
      </c>
      <c r="C235">
        <v>3</v>
      </c>
      <c r="D235" t="s">
        <v>25</v>
      </c>
      <c r="E235">
        <v>1008632951</v>
      </c>
      <c r="F235" t="s">
        <v>500</v>
      </c>
      <c r="G235" t="s">
        <v>499</v>
      </c>
      <c r="H235" t="s">
        <v>501</v>
      </c>
      <c r="I235" t="s">
        <v>502</v>
      </c>
      <c r="J235" t="s">
        <v>166</v>
      </c>
      <c r="K235" t="s">
        <v>364</v>
      </c>
      <c r="L235">
        <v>23</v>
      </c>
      <c r="M235" t="s">
        <v>174</v>
      </c>
      <c r="N235" t="s">
        <v>173</v>
      </c>
      <c r="O235" t="s">
        <v>29</v>
      </c>
      <c r="P235" t="s">
        <v>29</v>
      </c>
      <c r="Q235" t="s">
        <v>29</v>
      </c>
      <c r="R235" t="s">
        <v>30</v>
      </c>
      <c r="S235" t="s">
        <v>44</v>
      </c>
      <c r="T235" t="s">
        <v>44</v>
      </c>
      <c r="U235" t="s">
        <v>33</v>
      </c>
      <c r="V235" t="s">
        <v>33</v>
      </c>
      <c r="X235">
        <v>146.11000000000001</v>
      </c>
      <c r="Y235">
        <v>54.23</v>
      </c>
      <c r="AE235">
        <v>54.42</v>
      </c>
      <c r="AH235">
        <v>37.46</v>
      </c>
    </row>
    <row r="236" spans="1:34" x14ac:dyDescent="0.25">
      <c r="A236">
        <v>145</v>
      </c>
      <c r="B236" t="s">
        <v>503</v>
      </c>
      <c r="C236">
        <v>3</v>
      </c>
      <c r="D236" t="s">
        <v>25</v>
      </c>
      <c r="E236">
        <v>1558160048</v>
      </c>
      <c r="F236" t="s">
        <v>504</v>
      </c>
      <c r="G236" t="s">
        <v>503</v>
      </c>
      <c r="H236" t="s">
        <v>505</v>
      </c>
      <c r="I236" t="s">
        <v>506</v>
      </c>
      <c r="J236" t="s">
        <v>166</v>
      </c>
      <c r="K236" t="s">
        <v>364</v>
      </c>
      <c r="L236">
        <v>25</v>
      </c>
      <c r="M236" t="s">
        <v>174</v>
      </c>
      <c r="N236" t="s">
        <v>177</v>
      </c>
      <c r="O236" t="s">
        <v>48</v>
      </c>
      <c r="P236" t="s">
        <v>48</v>
      </c>
      <c r="Q236" t="s">
        <v>48</v>
      </c>
      <c r="R236" t="s">
        <v>75</v>
      </c>
      <c r="S236" t="s">
        <v>44</v>
      </c>
      <c r="T236" t="s">
        <v>33</v>
      </c>
      <c r="U236" t="s">
        <v>31</v>
      </c>
      <c r="V236" t="s">
        <v>44</v>
      </c>
      <c r="W236" t="s">
        <v>507</v>
      </c>
      <c r="X236">
        <v>242.56</v>
      </c>
      <c r="Y236">
        <v>77.69</v>
      </c>
      <c r="AE236">
        <v>62.65</v>
      </c>
      <c r="AH236">
        <v>102.22</v>
      </c>
    </row>
    <row r="237" spans="1:34" x14ac:dyDescent="0.25">
      <c r="A237">
        <v>146</v>
      </c>
      <c r="B237" t="s">
        <v>508</v>
      </c>
      <c r="C237">
        <v>3</v>
      </c>
      <c r="D237" t="s">
        <v>25</v>
      </c>
      <c r="E237">
        <v>1563722863</v>
      </c>
      <c r="F237" t="s">
        <v>509</v>
      </c>
      <c r="G237" t="s">
        <v>508</v>
      </c>
      <c r="H237" t="s">
        <v>510</v>
      </c>
      <c r="I237" t="s">
        <v>449</v>
      </c>
      <c r="J237" t="s">
        <v>166</v>
      </c>
      <c r="K237" t="s">
        <v>364</v>
      </c>
      <c r="L237">
        <v>26</v>
      </c>
      <c r="M237" t="s">
        <v>174</v>
      </c>
      <c r="N237" t="s">
        <v>181</v>
      </c>
      <c r="O237" t="s">
        <v>30</v>
      </c>
      <c r="P237" t="s">
        <v>30</v>
      </c>
      <c r="Q237" t="s">
        <v>30</v>
      </c>
      <c r="R237" t="s">
        <v>30</v>
      </c>
      <c r="S237" t="s">
        <v>44</v>
      </c>
      <c r="T237" t="s">
        <v>31</v>
      </c>
      <c r="U237" t="s">
        <v>33</v>
      </c>
      <c r="V237" t="s">
        <v>33</v>
      </c>
      <c r="X237">
        <v>133.43</v>
      </c>
      <c r="Y237">
        <v>37.840000000000003</v>
      </c>
      <c r="AE237">
        <v>67.41</v>
      </c>
      <c r="AH237">
        <v>28.18</v>
      </c>
    </row>
    <row r="238" spans="1:34" x14ac:dyDescent="0.25">
      <c r="A238">
        <v>147</v>
      </c>
      <c r="B238" t="s">
        <v>511</v>
      </c>
      <c r="C238">
        <v>3</v>
      </c>
      <c r="D238" t="s">
        <v>25</v>
      </c>
      <c r="E238">
        <v>451926882</v>
      </c>
      <c r="F238" t="s">
        <v>512</v>
      </c>
      <c r="G238" t="s">
        <v>511</v>
      </c>
      <c r="H238" t="s">
        <v>513</v>
      </c>
      <c r="I238" t="s">
        <v>465</v>
      </c>
      <c r="J238" t="s">
        <v>171</v>
      </c>
      <c r="K238" t="s">
        <v>364</v>
      </c>
      <c r="L238">
        <v>30</v>
      </c>
      <c r="M238" t="s">
        <v>174</v>
      </c>
      <c r="N238" t="s">
        <v>177</v>
      </c>
      <c r="O238" t="s">
        <v>30</v>
      </c>
      <c r="P238" t="s">
        <v>30</v>
      </c>
      <c r="Q238" t="s">
        <v>30</v>
      </c>
      <c r="R238" t="s">
        <v>30</v>
      </c>
      <c r="S238" t="s">
        <v>32</v>
      </c>
      <c r="T238" t="s">
        <v>33</v>
      </c>
      <c r="U238" t="s">
        <v>31</v>
      </c>
      <c r="X238">
        <v>75.91</v>
      </c>
      <c r="Y238">
        <v>19.420000000000002</v>
      </c>
      <c r="AE238">
        <v>34.56</v>
      </c>
      <c r="AH238">
        <v>21.93</v>
      </c>
    </row>
    <row r="239" spans="1:34" x14ac:dyDescent="0.25">
      <c r="A239">
        <v>148</v>
      </c>
      <c r="B239" t="s">
        <v>514</v>
      </c>
      <c r="C239">
        <v>3</v>
      </c>
      <c r="D239" t="s">
        <v>25</v>
      </c>
      <c r="E239">
        <v>1423333964</v>
      </c>
      <c r="F239" t="s">
        <v>515</v>
      </c>
      <c r="G239" t="s">
        <v>514</v>
      </c>
      <c r="H239" t="s">
        <v>516</v>
      </c>
      <c r="I239" t="s">
        <v>517</v>
      </c>
      <c r="J239" t="s">
        <v>171</v>
      </c>
      <c r="K239" t="s">
        <v>364</v>
      </c>
      <c r="L239">
        <v>23</v>
      </c>
      <c r="M239" t="s">
        <v>367</v>
      </c>
      <c r="O239" t="s">
        <v>29</v>
      </c>
      <c r="P239" t="s">
        <v>29</v>
      </c>
      <c r="Q239" t="s">
        <v>29</v>
      </c>
      <c r="R239" t="s">
        <v>30</v>
      </c>
      <c r="S239" t="s">
        <v>44</v>
      </c>
      <c r="T239" t="s">
        <v>44</v>
      </c>
      <c r="U239" t="s">
        <v>44</v>
      </c>
      <c r="V239" t="s">
        <v>31</v>
      </c>
      <c r="X239">
        <v>121.25</v>
      </c>
      <c r="Y239">
        <v>31.27</v>
      </c>
      <c r="AE239">
        <v>36.22</v>
      </c>
      <c r="AH239">
        <v>53.76</v>
      </c>
    </row>
    <row r="240" spans="1:34" x14ac:dyDescent="0.25">
      <c r="A240">
        <v>149</v>
      </c>
      <c r="B240" t="s">
        <v>518</v>
      </c>
      <c r="C240">
        <v>3</v>
      </c>
      <c r="D240" t="s">
        <v>25</v>
      </c>
      <c r="E240">
        <v>1643678854</v>
      </c>
      <c r="F240" t="s">
        <v>519</v>
      </c>
      <c r="G240" t="s">
        <v>518</v>
      </c>
      <c r="H240" t="s">
        <v>520</v>
      </c>
      <c r="I240" t="s">
        <v>521</v>
      </c>
      <c r="J240" t="s">
        <v>171</v>
      </c>
      <c r="K240" t="s">
        <v>172</v>
      </c>
      <c r="L240">
        <v>33</v>
      </c>
      <c r="M240" t="s">
        <v>174</v>
      </c>
      <c r="N240" t="s">
        <v>177</v>
      </c>
      <c r="O240" t="s">
        <v>30</v>
      </c>
      <c r="P240" t="s">
        <v>29</v>
      </c>
      <c r="Q240" t="s">
        <v>29</v>
      </c>
      <c r="R240" t="s">
        <v>30</v>
      </c>
      <c r="S240" t="s">
        <v>32</v>
      </c>
      <c r="T240" t="s">
        <v>33</v>
      </c>
      <c r="V240" t="s">
        <v>33</v>
      </c>
      <c r="W240" t="s">
        <v>522</v>
      </c>
      <c r="X240">
        <v>421.05</v>
      </c>
      <c r="Y240">
        <v>186.59</v>
      </c>
      <c r="AE240">
        <v>116.72</v>
      </c>
      <c r="AH240">
        <v>117.74</v>
      </c>
    </row>
    <row r="241" spans="1:34" x14ac:dyDescent="0.25">
      <c r="A241">
        <v>150</v>
      </c>
      <c r="B241" t="s">
        <v>523</v>
      </c>
      <c r="C241">
        <v>3</v>
      </c>
      <c r="D241" t="s">
        <v>25</v>
      </c>
      <c r="E241">
        <v>924665658</v>
      </c>
      <c r="F241" t="s">
        <v>524</v>
      </c>
      <c r="G241" t="s">
        <v>523</v>
      </c>
      <c r="H241" t="s">
        <v>525</v>
      </c>
      <c r="I241" t="s">
        <v>526</v>
      </c>
      <c r="J241" t="s">
        <v>171</v>
      </c>
      <c r="K241" t="s">
        <v>172</v>
      </c>
      <c r="L241">
        <v>25</v>
      </c>
      <c r="M241" t="s">
        <v>174</v>
      </c>
      <c r="N241" t="s">
        <v>173</v>
      </c>
      <c r="O241" t="s">
        <v>29</v>
      </c>
      <c r="P241" t="s">
        <v>29</v>
      </c>
      <c r="Q241" t="s">
        <v>30</v>
      </c>
      <c r="R241" t="s">
        <v>30</v>
      </c>
      <c r="S241" t="s">
        <v>44</v>
      </c>
      <c r="T241" t="s">
        <v>33</v>
      </c>
      <c r="U241" t="s">
        <v>44</v>
      </c>
      <c r="V241" t="s">
        <v>33</v>
      </c>
      <c r="X241">
        <v>105.79</v>
      </c>
      <c r="Y241">
        <v>49.55</v>
      </c>
      <c r="AE241">
        <v>33.89</v>
      </c>
      <c r="AH241">
        <v>22.35</v>
      </c>
    </row>
    <row r="242" spans="1:34" x14ac:dyDescent="0.25">
      <c r="A242">
        <v>152</v>
      </c>
      <c r="B242" t="s">
        <v>527</v>
      </c>
      <c r="C242">
        <v>3</v>
      </c>
      <c r="D242" t="s">
        <v>25</v>
      </c>
      <c r="E242">
        <v>697654936</v>
      </c>
      <c r="F242" t="s">
        <v>528</v>
      </c>
      <c r="G242" t="s">
        <v>527</v>
      </c>
      <c r="H242" t="s">
        <v>529</v>
      </c>
      <c r="I242" t="s">
        <v>530</v>
      </c>
      <c r="J242" t="s">
        <v>166</v>
      </c>
      <c r="K242" t="s">
        <v>172</v>
      </c>
      <c r="L242">
        <v>29</v>
      </c>
      <c r="M242" t="s">
        <v>174</v>
      </c>
      <c r="N242" t="s">
        <v>177</v>
      </c>
      <c r="O242" t="s">
        <v>30</v>
      </c>
      <c r="P242" t="s">
        <v>48</v>
      </c>
      <c r="Q242" t="s">
        <v>48</v>
      </c>
      <c r="R242" t="s">
        <v>48</v>
      </c>
      <c r="S242" t="s">
        <v>32</v>
      </c>
      <c r="T242" t="s">
        <v>33</v>
      </c>
      <c r="U242" t="s">
        <v>33</v>
      </c>
      <c r="V242" t="s">
        <v>33</v>
      </c>
      <c r="X242">
        <v>136.93</v>
      </c>
      <c r="Y242">
        <v>60.52</v>
      </c>
      <c r="AE242">
        <v>42.72</v>
      </c>
      <c r="AH242">
        <v>33.69</v>
      </c>
    </row>
    <row r="243" spans="1:34" x14ac:dyDescent="0.25">
      <c r="A243">
        <v>153</v>
      </c>
      <c r="B243" t="s">
        <v>531</v>
      </c>
      <c r="C243">
        <v>3</v>
      </c>
      <c r="D243" t="s">
        <v>25</v>
      </c>
      <c r="E243">
        <v>815299313</v>
      </c>
      <c r="F243" t="s">
        <v>532</v>
      </c>
      <c r="G243" t="s">
        <v>531</v>
      </c>
      <c r="H243" t="s">
        <v>533</v>
      </c>
      <c r="I243" t="s">
        <v>534</v>
      </c>
      <c r="J243" t="s">
        <v>171</v>
      </c>
      <c r="K243" t="s">
        <v>172</v>
      </c>
      <c r="L243">
        <v>26</v>
      </c>
      <c r="M243" t="s">
        <v>367</v>
      </c>
      <c r="N243" t="s">
        <v>173</v>
      </c>
      <c r="O243" t="s">
        <v>29</v>
      </c>
      <c r="P243" t="s">
        <v>29</v>
      </c>
      <c r="Q243" t="s">
        <v>29</v>
      </c>
      <c r="R243" t="s">
        <v>29</v>
      </c>
      <c r="S243" t="s">
        <v>31</v>
      </c>
      <c r="T243" t="s">
        <v>31</v>
      </c>
      <c r="U243" t="s">
        <v>32</v>
      </c>
      <c r="V243" t="s">
        <v>44</v>
      </c>
      <c r="X243">
        <v>86.7</v>
      </c>
      <c r="Y243">
        <v>26.21</v>
      </c>
      <c r="AE243">
        <v>29.18</v>
      </c>
      <c r="AH243">
        <v>31.31</v>
      </c>
    </row>
    <row r="244" spans="1:34" x14ac:dyDescent="0.25">
      <c r="A244">
        <v>154</v>
      </c>
      <c r="C244">
        <v>2</v>
      </c>
      <c r="D244" t="s">
        <v>25</v>
      </c>
      <c r="E244">
        <v>440405013</v>
      </c>
      <c r="F244" t="s">
        <v>535</v>
      </c>
      <c r="G244" t="s">
        <v>536</v>
      </c>
      <c r="H244" t="s">
        <v>537</v>
      </c>
      <c r="I244" t="s">
        <v>534</v>
      </c>
      <c r="J244" t="s">
        <v>171</v>
      </c>
      <c r="K244" t="s">
        <v>172</v>
      </c>
      <c r="L244">
        <v>26</v>
      </c>
      <c r="M244" t="s">
        <v>367</v>
      </c>
      <c r="O244" t="s">
        <v>29</v>
      </c>
      <c r="P244" t="s">
        <v>30</v>
      </c>
      <c r="Q244" t="s">
        <v>30</v>
      </c>
      <c r="R244" t="s">
        <v>30</v>
      </c>
      <c r="S244" t="s">
        <v>33</v>
      </c>
      <c r="T244" t="s">
        <v>33</v>
      </c>
      <c r="U244" t="s">
        <v>31</v>
      </c>
      <c r="V244" t="s">
        <v>33</v>
      </c>
      <c r="X244">
        <v>53.54</v>
      </c>
      <c r="Y244">
        <v>27.48</v>
      </c>
      <c r="AE244">
        <v>26.06</v>
      </c>
    </row>
    <row r="245" spans="1:34" x14ac:dyDescent="0.25">
      <c r="A245">
        <v>155</v>
      </c>
      <c r="B245" t="s">
        <v>538</v>
      </c>
      <c r="C245">
        <v>3</v>
      </c>
      <c r="D245" t="s">
        <v>25</v>
      </c>
      <c r="E245">
        <v>1787963349</v>
      </c>
      <c r="F245" t="s">
        <v>539</v>
      </c>
      <c r="G245" t="s">
        <v>538</v>
      </c>
      <c r="H245" t="s">
        <v>540</v>
      </c>
      <c r="I245" t="s">
        <v>534</v>
      </c>
      <c r="J245" t="s">
        <v>166</v>
      </c>
      <c r="K245" t="s">
        <v>172</v>
      </c>
      <c r="L245">
        <v>25</v>
      </c>
      <c r="M245" t="s">
        <v>367</v>
      </c>
      <c r="N245" t="s">
        <v>173</v>
      </c>
      <c r="O245" t="s">
        <v>30</v>
      </c>
      <c r="P245" t="s">
        <v>30</v>
      </c>
      <c r="Q245" t="s">
        <v>48</v>
      </c>
      <c r="R245" t="s">
        <v>30</v>
      </c>
      <c r="S245" t="s">
        <v>32</v>
      </c>
      <c r="T245" t="s">
        <v>44</v>
      </c>
      <c r="U245" t="s">
        <v>33</v>
      </c>
      <c r="V245" t="s">
        <v>44</v>
      </c>
      <c r="X245">
        <v>162.41999999999999</v>
      </c>
      <c r="Y245">
        <v>50.62</v>
      </c>
      <c r="AE245">
        <v>52.2</v>
      </c>
      <c r="AH245">
        <v>59.6</v>
      </c>
    </row>
    <row r="246" spans="1:34" x14ac:dyDescent="0.25">
      <c r="A246">
        <v>156</v>
      </c>
      <c r="B246" t="s">
        <v>541</v>
      </c>
      <c r="C246">
        <v>3</v>
      </c>
      <c r="D246" t="s">
        <v>25</v>
      </c>
      <c r="E246">
        <v>1097146450</v>
      </c>
      <c r="F246" t="s">
        <v>542</v>
      </c>
      <c r="G246" t="s">
        <v>541</v>
      </c>
      <c r="H246" t="s">
        <v>543</v>
      </c>
      <c r="I246" t="s">
        <v>430</v>
      </c>
      <c r="J246" t="s">
        <v>166</v>
      </c>
      <c r="K246" t="s">
        <v>172</v>
      </c>
      <c r="L246">
        <v>28</v>
      </c>
      <c r="M246" t="s">
        <v>367</v>
      </c>
      <c r="O246" t="s">
        <v>48</v>
      </c>
      <c r="P246" t="s">
        <v>48</v>
      </c>
      <c r="Q246" t="s">
        <v>30</v>
      </c>
      <c r="R246" t="s">
        <v>30</v>
      </c>
      <c r="S246" t="s">
        <v>44</v>
      </c>
      <c r="T246" t="s">
        <v>33</v>
      </c>
      <c r="U246" t="s">
        <v>33</v>
      </c>
      <c r="V246" t="s">
        <v>32</v>
      </c>
      <c r="W246" t="s">
        <v>544</v>
      </c>
      <c r="X246">
        <v>270.99</v>
      </c>
      <c r="Y246">
        <v>43.72</v>
      </c>
      <c r="AE246">
        <v>89.02</v>
      </c>
      <c r="AH246">
        <v>138.25</v>
      </c>
    </row>
    <row r="247" spans="1:34" x14ac:dyDescent="0.25">
      <c r="A247">
        <v>157</v>
      </c>
      <c r="B247" t="s">
        <v>545</v>
      </c>
      <c r="C247">
        <v>3</v>
      </c>
      <c r="D247" t="s">
        <v>25</v>
      </c>
      <c r="E247">
        <v>146019495</v>
      </c>
      <c r="F247" t="s">
        <v>546</v>
      </c>
      <c r="G247" t="s">
        <v>545</v>
      </c>
      <c r="H247" t="s">
        <v>547</v>
      </c>
      <c r="I247" t="s">
        <v>430</v>
      </c>
      <c r="J247" t="s">
        <v>166</v>
      </c>
      <c r="K247" t="s">
        <v>172</v>
      </c>
      <c r="L247">
        <v>31</v>
      </c>
      <c r="M247" t="s">
        <v>367</v>
      </c>
      <c r="N247" t="s">
        <v>181</v>
      </c>
      <c r="O247" t="s">
        <v>75</v>
      </c>
      <c r="P247" t="s">
        <v>30</v>
      </c>
      <c r="Q247" t="s">
        <v>30</v>
      </c>
      <c r="R247" t="s">
        <v>30</v>
      </c>
      <c r="S247" t="s">
        <v>44</v>
      </c>
      <c r="T247" t="s">
        <v>33</v>
      </c>
      <c r="U247" t="s">
        <v>31</v>
      </c>
      <c r="V247" t="s">
        <v>32</v>
      </c>
      <c r="X247">
        <v>100.99</v>
      </c>
      <c r="Y247">
        <v>34.04</v>
      </c>
      <c r="AE247">
        <v>38.86</v>
      </c>
      <c r="AH247">
        <v>28.09</v>
      </c>
    </row>
    <row r="248" spans="1:34" x14ac:dyDescent="0.25">
      <c r="A248">
        <v>158</v>
      </c>
      <c r="B248" t="s">
        <v>548</v>
      </c>
      <c r="C248">
        <v>3</v>
      </c>
      <c r="D248" t="s">
        <v>25</v>
      </c>
      <c r="E248">
        <v>965755688</v>
      </c>
      <c r="F248" t="s">
        <v>549</v>
      </c>
      <c r="G248" t="s">
        <v>548</v>
      </c>
      <c r="H248" t="s">
        <v>550</v>
      </c>
      <c r="I248" t="s">
        <v>430</v>
      </c>
      <c r="J248" t="s">
        <v>166</v>
      </c>
      <c r="K248" t="s">
        <v>172</v>
      </c>
      <c r="L248">
        <v>36</v>
      </c>
      <c r="M248" t="s">
        <v>367</v>
      </c>
      <c r="O248" t="s">
        <v>75</v>
      </c>
      <c r="P248" t="s">
        <v>48</v>
      </c>
      <c r="Q248" t="s">
        <v>30</v>
      </c>
      <c r="R248" t="s">
        <v>30</v>
      </c>
      <c r="S248" t="s">
        <v>32</v>
      </c>
      <c r="T248" t="s">
        <v>44</v>
      </c>
      <c r="U248" t="s">
        <v>33</v>
      </c>
      <c r="V248" t="s">
        <v>32</v>
      </c>
      <c r="W248" t="s">
        <v>551</v>
      </c>
      <c r="X248">
        <v>306.97000000000003</v>
      </c>
      <c r="Y248">
        <v>38.340000000000003</v>
      </c>
      <c r="AE248">
        <v>58.78</v>
      </c>
      <c r="AH248">
        <v>209.85</v>
      </c>
    </row>
    <row r="249" spans="1:34" x14ac:dyDescent="0.25">
      <c r="A249">
        <v>160</v>
      </c>
      <c r="B249" t="s">
        <v>552</v>
      </c>
      <c r="C249">
        <v>3</v>
      </c>
      <c r="D249" t="s">
        <v>25</v>
      </c>
      <c r="E249">
        <v>576395640</v>
      </c>
      <c r="F249" t="s">
        <v>553</v>
      </c>
      <c r="G249" t="s">
        <v>552</v>
      </c>
      <c r="H249" t="s">
        <v>554</v>
      </c>
      <c r="I249" t="s">
        <v>430</v>
      </c>
      <c r="J249" t="s">
        <v>166</v>
      </c>
      <c r="K249" t="s">
        <v>172</v>
      </c>
      <c r="L249">
        <v>38</v>
      </c>
      <c r="M249" t="s">
        <v>367</v>
      </c>
      <c r="O249" t="s">
        <v>75</v>
      </c>
      <c r="P249" t="s">
        <v>48</v>
      </c>
      <c r="Q249" t="s">
        <v>30</v>
      </c>
      <c r="R249" t="s">
        <v>48</v>
      </c>
      <c r="S249" t="s">
        <v>32</v>
      </c>
      <c r="T249" t="s">
        <v>32</v>
      </c>
      <c r="U249" t="s">
        <v>31</v>
      </c>
      <c r="V249" t="s">
        <v>32</v>
      </c>
      <c r="W249" t="s">
        <v>555</v>
      </c>
      <c r="X249">
        <v>286.74</v>
      </c>
      <c r="Y249">
        <v>41.33</v>
      </c>
      <c r="AE249">
        <v>62.21</v>
      </c>
      <c r="AH249">
        <v>183.2</v>
      </c>
    </row>
    <row r="250" spans="1:34" x14ac:dyDescent="0.25">
      <c r="A250">
        <v>165</v>
      </c>
      <c r="B250" t="s">
        <v>556</v>
      </c>
      <c r="C250">
        <v>3</v>
      </c>
      <c r="D250" t="s">
        <v>25</v>
      </c>
      <c r="E250">
        <v>1772145390</v>
      </c>
      <c r="F250" t="s">
        <v>557</v>
      </c>
      <c r="G250" t="s">
        <v>556</v>
      </c>
      <c r="H250" t="s">
        <v>558</v>
      </c>
      <c r="I250" t="s">
        <v>430</v>
      </c>
      <c r="J250" t="s">
        <v>166</v>
      </c>
      <c r="K250" t="s">
        <v>172</v>
      </c>
      <c r="L250">
        <v>25</v>
      </c>
      <c r="M250" t="s">
        <v>367</v>
      </c>
      <c r="N250" t="s">
        <v>173</v>
      </c>
      <c r="O250" t="s">
        <v>29</v>
      </c>
      <c r="P250" t="s">
        <v>29</v>
      </c>
      <c r="Q250" t="s">
        <v>30</v>
      </c>
      <c r="R250" t="s">
        <v>29</v>
      </c>
      <c r="S250" t="s">
        <v>44</v>
      </c>
      <c r="T250" t="s">
        <v>31</v>
      </c>
      <c r="U250" t="s">
        <v>33</v>
      </c>
      <c r="V250" t="s">
        <v>33</v>
      </c>
      <c r="X250">
        <v>104.99</v>
      </c>
      <c r="Y250">
        <v>29.07</v>
      </c>
      <c r="AE250">
        <v>41.4</v>
      </c>
      <c r="AH250">
        <v>34.520000000000003</v>
      </c>
    </row>
    <row r="251" spans="1:34" x14ac:dyDescent="0.25">
      <c r="A251">
        <v>169</v>
      </c>
      <c r="B251" t="s">
        <v>559</v>
      </c>
      <c r="C251">
        <v>3</v>
      </c>
      <c r="D251" t="s">
        <v>25</v>
      </c>
      <c r="E251">
        <v>990687658</v>
      </c>
      <c r="F251" t="s">
        <v>560</v>
      </c>
      <c r="G251" t="s">
        <v>559</v>
      </c>
      <c r="H251" t="s">
        <v>561</v>
      </c>
      <c r="I251" t="s">
        <v>534</v>
      </c>
      <c r="J251" t="s">
        <v>171</v>
      </c>
      <c r="K251" t="s">
        <v>172</v>
      </c>
      <c r="O251" t="s">
        <v>30</v>
      </c>
      <c r="P251" t="s">
        <v>29</v>
      </c>
      <c r="Q251" t="s">
        <v>30</v>
      </c>
      <c r="R251" t="s">
        <v>48</v>
      </c>
      <c r="S251" t="s">
        <v>32</v>
      </c>
      <c r="T251" t="s">
        <v>44</v>
      </c>
      <c r="U251" t="s">
        <v>33</v>
      </c>
      <c r="V251" t="s">
        <v>33</v>
      </c>
      <c r="X251">
        <v>157.13999999999999</v>
      </c>
      <c r="Y251">
        <v>47.55</v>
      </c>
      <c r="AE251">
        <v>79.63</v>
      </c>
      <c r="AH251">
        <v>29.96</v>
      </c>
    </row>
    <row r="252" spans="1:34" x14ac:dyDescent="0.25">
      <c r="A252">
        <v>171</v>
      </c>
      <c r="B252" t="s">
        <v>562</v>
      </c>
      <c r="C252">
        <v>3</v>
      </c>
      <c r="D252" t="s">
        <v>25</v>
      </c>
      <c r="E252">
        <v>341924261</v>
      </c>
      <c r="F252" t="s">
        <v>563</v>
      </c>
      <c r="G252" t="s">
        <v>562</v>
      </c>
      <c r="H252" t="s">
        <v>564</v>
      </c>
      <c r="I252" t="s">
        <v>565</v>
      </c>
      <c r="J252" t="s">
        <v>171</v>
      </c>
      <c r="K252" t="s">
        <v>172</v>
      </c>
      <c r="L252">
        <v>19</v>
      </c>
      <c r="M252" t="s">
        <v>367</v>
      </c>
      <c r="N252" t="s">
        <v>173</v>
      </c>
      <c r="O252" t="s">
        <v>30</v>
      </c>
      <c r="P252" t="s">
        <v>29</v>
      </c>
      <c r="Q252" t="s">
        <v>29</v>
      </c>
      <c r="R252" t="s">
        <v>30</v>
      </c>
      <c r="S252" t="s">
        <v>44</v>
      </c>
      <c r="T252" t="s">
        <v>33</v>
      </c>
      <c r="U252" t="s">
        <v>33</v>
      </c>
      <c r="V252" t="s">
        <v>33</v>
      </c>
      <c r="X252">
        <v>175.77</v>
      </c>
      <c r="Y252">
        <v>84.82</v>
      </c>
      <c r="AE252">
        <v>46.27</v>
      </c>
      <c r="AH252">
        <v>44.68</v>
      </c>
    </row>
    <row r="253" spans="1:34" x14ac:dyDescent="0.25">
      <c r="A253">
        <v>172</v>
      </c>
      <c r="B253" t="s">
        <v>566</v>
      </c>
      <c r="C253">
        <v>3</v>
      </c>
      <c r="D253" t="s">
        <v>25</v>
      </c>
      <c r="E253">
        <v>789801994</v>
      </c>
      <c r="F253" t="s">
        <v>567</v>
      </c>
      <c r="G253" t="s">
        <v>566</v>
      </c>
      <c r="H253" t="s">
        <v>568</v>
      </c>
      <c r="I253" t="s">
        <v>569</v>
      </c>
      <c r="J253" t="s">
        <v>166</v>
      </c>
      <c r="K253" t="s">
        <v>364</v>
      </c>
      <c r="L253">
        <v>16</v>
      </c>
      <c r="M253" t="s">
        <v>174</v>
      </c>
      <c r="N253" t="s">
        <v>177</v>
      </c>
      <c r="O253" t="s">
        <v>30</v>
      </c>
      <c r="P253" t="s">
        <v>48</v>
      </c>
      <c r="Q253" t="s">
        <v>75</v>
      </c>
      <c r="R253" t="s">
        <v>48</v>
      </c>
      <c r="S253" t="s">
        <v>44</v>
      </c>
      <c r="U253" t="s">
        <v>33</v>
      </c>
      <c r="X253">
        <v>479.69</v>
      </c>
      <c r="Y253">
        <v>245.07</v>
      </c>
      <c r="AE253">
        <v>216.94</v>
      </c>
      <c r="AH253">
        <v>17.68</v>
      </c>
    </row>
    <row r="254" spans="1:34" x14ac:dyDescent="0.25">
      <c r="A254">
        <v>174</v>
      </c>
      <c r="B254" t="s">
        <v>570</v>
      </c>
      <c r="C254">
        <v>3</v>
      </c>
      <c r="D254" t="s">
        <v>25</v>
      </c>
      <c r="E254">
        <v>390083512</v>
      </c>
      <c r="F254" t="s">
        <v>571</v>
      </c>
      <c r="G254" t="s">
        <v>570</v>
      </c>
      <c r="H254" t="s">
        <v>572</v>
      </c>
      <c r="I254" t="s">
        <v>575</v>
      </c>
      <c r="J254" t="s">
        <v>166</v>
      </c>
      <c r="K254" t="s">
        <v>172</v>
      </c>
      <c r="L254">
        <v>18</v>
      </c>
      <c r="M254" t="s">
        <v>367</v>
      </c>
      <c r="N254" t="s">
        <v>173</v>
      </c>
      <c r="O254" t="s">
        <v>29</v>
      </c>
      <c r="P254" t="s">
        <v>29</v>
      </c>
      <c r="Q254" t="s">
        <v>29</v>
      </c>
      <c r="R254" t="s">
        <v>30</v>
      </c>
      <c r="S254" t="s">
        <v>44</v>
      </c>
      <c r="T254" t="s">
        <v>33</v>
      </c>
      <c r="U254" t="s">
        <v>33</v>
      </c>
      <c r="V254" t="s">
        <v>33</v>
      </c>
      <c r="X254">
        <v>73.16</v>
      </c>
      <c r="Y254">
        <v>24.18</v>
      </c>
      <c r="AE254">
        <v>27.5</v>
      </c>
      <c r="AH254">
        <v>21.48</v>
      </c>
    </row>
    <row r="255" spans="1:34" ht="13.75" customHeight="1" x14ac:dyDescent="0.25">
      <c r="A255">
        <v>176</v>
      </c>
      <c r="B255" t="s">
        <v>573</v>
      </c>
      <c r="C255">
        <v>3</v>
      </c>
      <c r="D255" t="s">
        <v>25</v>
      </c>
      <c r="E255">
        <v>1062150332</v>
      </c>
      <c r="F255" t="s">
        <v>574</v>
      </c>
      <c r="G255" t="s">
        <v>573</v>
      </c>
      <c r="H255" t="s">
        <v>510</v>
      </c>
      <c r="I255" t="s">
        <v>565</v>
      </c>
      <c r="J255" t="s">
        <v>171</v>
      </c>
      <c r="K255" t="s">
        <v>172</v>
      </c>
      <c r="L255">
        <v>29</v>
      </c>
      <c r="M255" t="s">
        <v>174</v>
      </c>
      <c r="N255" t="s">
        <v>177</v>
      </c>
      <c r="O255" t="s">
        <v>30</v>
      </c>
      <c r="P255" t="s">
        <v>30</v>
      </c>
      <c r="Q255" t="s">
        <v>30</v>
      </c>
      <c r="R255" t="s">
        <v>30</v>
      </c>
      <c r="S255" t="s">
        <v>44</v>
      </c>
      <c r="T255" t="s">
        <v>33</v>
      </c>
      <c r="U255" t="s">
        <v>44</v>
      </c>
      <c r="X255">
        <v>80.900000000000006</v>
      </c>
      <c r="Y255">
        <v>32.4</v>
      </c>
      <c r="AE255">
        <v>31.34</v>
      </c>
      <c r="AH255">
        <v>17.16</v>
      </c>
    </row>
    <row r="256" spans="1:34" x14ac:dyDescent="0.25">
      <c r="A256">
        <v>182</v>
      </c>
      <c r="B256" t="s">
        <v>577</v>
      </c>
      <c r="C256">
        <v>3</v>
      </c>
      <c r="D256" t="s">
        <v>25</v>
      </c>
      <c r="E256">
        <v>404991303</v>
      </c>
      <c r="F256" t="s">
        <v>578</v>
      </c>
      <c r="G256" t="s">
        <v>577</v>
      </c>
      <c r="H256" t="s">
        <v>579</v>
      </c>
      <c r="I256" t="s">
        <v>580</v>
      </c>
      <c r="J256" t="s">
        <v>166</v>
      </c>
      <c r="K256" t="s">
        <v>364</v>
      </c>
      <c r="L256">
        <v>15</v>
      </c>
      <c r="M256" t="s">
        <v>367</v>
      </c>
      <c r="N256" t="s">
        <v>181</v>
      </c>
      <c r="O256" t="s">
        <v>29</v>
      </c>
      <c r="P256" t="s">
        <v>29</v>
      </c>
      <c r="Q256" t="s">
        <v>29</v>
      </c>
      <c r="R256" t="s">
        <v>29</v>
      </c>
      <c r="T256" t="s">
        <v>44</v>
      </c>
      <c r="U256" t="s">
        <v>32</v>
      </c>
      <c r="V256" t="s">
        <v>33</v>
      </c>
      <c r="X256">
        <v>130.58000000000001</v>
      </c>
      <c r="Y256">
        <v>53.07</v>
      </c>
      <c r="AE256">
        <v>49.57</v>
      </c>
      <c r="AH256">
        <v>27.94</v>
      </c>
    </row>
    <row r="257" spans="1:34" x14ac:dyDescent="0.25">
      <c r="A257">
        <v>184</v>
      </c>
      <c r="B257" t="s">
        <v>581</v>
      </c>
      <c r="C257">
        <v>3</v>
      </c>
      <c r="D257" t="s">
        <v>25</v>
      </c>
      <c r="E257">
        <v>1319292727</v>
      </c>
      <c r="F257" t="s">
        <v>582</v>
      </c>
      <c r="G257" t="s">
        <v>581</v>
      </c>
      <c r="H257" t="s">
        <v>583</v>
      </c>
      <c r="I257" t="s">
        <v>584</v>
      </c>
      <c r="J257" t="s">
        <v>166</v>
      </c>
      <c r="K257" t="s">
        <v>364</v>
      </c>
      <c r="L257">
        <v>15</v>
      </c>
      <c r="M257" t="s">
        <v>367</v>
      </c>
      <c r="N257" t="s">
        <v>181</v>
      </c>
      <c r="O257" t="s">
        <v>30</v>
      </c>
      <c r="P257" t="s">
        <v>29</v>
      </c>
      <c r="Q257" t="s">
        <v>29</v>
      </c>
      <c r="R257" t="s">
        <v>29</v>
      </c>
      <c r="S257" t="s">
        <v>32</v>
      </c>
      <c r="T257" t="s">
        <v>33</v>
      </c>
      <c r="U257" t="s">
        <v>33</v>
      </c>
      <c r="V257" t="s">
        <v>33</v>
      </c>
      <c r="X257">
        <v>427.75</v>
      </c>
      <c r="Y257">
        <v>111.41</v>
      </c>
      <c r="AE257">
        <v>225.22</v>
      </c>
      <c r="AH257">
        <v>91.12</v>
      </c>
    </row>
    <row r="258" spans="1:34" x14ac:dyDescent="0.25">
      <c r="A258">
        <v>186</v>
      </c>
      <c r="B258" t="s">
        <v>585</v>
      </c>
      <c r="C258">
        <v>3</v>
      </c>
      <c r="D258" t="s">
        <v>25</v>
      </c>
      <c r="E258">
        <v>1070559174</v>
      </c>
      <c r="F258" t="s">
        <v>586</v>
      </c>
      <c r="G258" t="s">
        <v>585</v>
      </c>
      <c r="H258" t="s">
        <v>576</v>
      </c>
      <c r="I258" t="s">
        <v>587</v>
      </c>
      <c r="J258" t="s">
        <v>166</v>
      </c>
      <c r="K258" t="s">
        <v>364</v>
      </c>
      <c r="L258">
        <v>28</v>
      </c>
      <c r="M258" t="s">
        <v>367</v>
      </c>
      <c r="N258" t="s">
        <v>173</v>
      </c>
      <c r="O258" t="s">
        <v>29</v>
      </c>
      <c r="P258" t="s">
        <v>30</v>
      </c>
      <c r="Q258" t="s">
        <v>30</v>
      </c>
      <c r="R258" t="s">
        <v>30</v>
      </c>
      <c r="S258" t="s">
        <v>44</v>
      </c>
      <c r="T258" t="s">
        <v>44</v>
      </c>
      <c r="U258" t="s">
        <v>33</v>
      </c>
      <c r="V258" t="s">
        <v>44</v>
      </c>
      <c r="X258">
        <v>185.81</v>
      </c>
      <c r="Y258">
        <v>28.32</v>
      </c>
      <c r="AE258">
        <v>99.65</v>
      </c>
      <c r="AH258">
        <v>57.84</v>
      </c>
    </row>
    <row r="259" spans="1:34" x14ac:dyDescent="0.25">
      <c r="A259">
        <v>187</v>
      </c>
      <c r="B259" t="s">
        <v>588</v>
      </c>
      <c r="C259">
        <v>3</v>
      </c>
      <c r="D259" t="s">
        <v>25</v>
      </c>
      <c r="E259">
        <v>2072511710</v>
      </c>
      <c r="F259" t="s">
        <v>589</v>
      </c>
      <c r="G259" t="s">
        <v>588</v>
      </c>
      <c r="H259" t="s">
        <v>590</v>
      </c>
      <c r="I259" t="s">
        <v>591</v>
      </c>
      <c r="J259" t="s">
        <v>166</v>
      </c>
      <c r="K259" t="s">
        <v>172</v>
      </c>
      <c r="L259">
        <v>31</v>
      </c>
      <c r="M259" t="s">
        <v>367</v>
      </c>
      <c r="N259" t="s">
        <v>173</v>
      </c>
      <c r="O259" t="s">
        <v>30</v>
      </c>
      <c r="P259" t="s">
        <v>29</v>
      </c>
      <c r="Q259" t="s">
        <v>48</v>
      </c>
      <c r="R259" t="s">
        <v>29</v>
      </c>
      <c r="S259" t="s">
        <v>32</v>
      </c>
      <c r="T259" t="s">
        <v>33</v>
      </c>
      <c r="U259" t="s">
        <v>33</v>
      </c>
      <c r="V259" t="s">
        <v>32</v>
      </c>
      <c r="X259">
        <v>171.18</v>
      </c>
      <c r="Y259">
        <v>26.35</v>
      </c>
      <c r="AE259">
        <v>90.13</v>
      </c>
      <c r="AH259">
        <v>54.7</v>
      </c>
    </row>
    <row r="260" spans="1:34" x14ac:dyDescent="0.25">
      <c r="A260">
        <v>189</v>
      </c>
      <c r="B260" t="s">
        <v>592</v>
      </c>
      <c r="C260">
        <v>3</v>
      </c>
      <c r="D260" t="s">
        <v>25</v>
      </c>
      <c r="E260">
        <v>789112633</v>
      </c>
      <c r="F260" t="s">
        <v>593</v>
      </c>
      <c r="G260" t="s">
        <v>592</v>
      </c>
      <c r="H260" t="s">
        <v>594</v>
      </c>
      <c r="I260" t="s">
        <v>595</v>
      </c>
      <c r="J260" t="s">
        <v>166</v>
      </c>
      <c r="K260" t="s">
        <v>364</v>
      </c>
      <c r="L260">
        <v>15</v>
      </c>
      <c r="M260" t="s">
        <v>367</v>
      </c>
      <c r="N260" t="s">
        <v>181</v>
      </c>
      <c r="O260" t="s">
        <v>30</v>
      </c>
      <c r="P260" t="s">
        <v>29</v>
      </c>
      <c r="Q260" t="s">
        <v>29</v>
      </c>
      <c r="R260" t="s">
        <v>29</v>
      </c>
      <c r="S260" t="s">
        <v>44</v>
      </c>
      <c r="T260" t="s">
        <v>44</v>
      </c>
      <c r="U260" t="s">
        <v>44</v>
      </c>
      <c r="V260" t="s">
        <v>33</v>
      </c>
      <c r="X260">
        <v>228.01</v>
      </c>
      <c r="Y260">
        <v>47.76</v>
      </c>
      <c r="AE260">
        <v>91.49</v>
      </c>
      <c r="AH260">
        <v>88.76</v>
      </c>
    </row>
    <row r="261" spans="1:34" x14ac:dyDescent="0.25">
      <c r="A261">
        <v>190</v>
      </c>
      <c r="B261" t="s">
        <v>596</v>
      </c>
      <c r="C261">
        <v>3</v>
      </c>
      <c r="D261" t="s">
        <v>25</v>
      </c>
      <c r="E261">
        <v>237382872</v>
      </c>
      <c r="F261" t="s">
        <v>597</v>
      </c>
      <c r="G261" t="s">
        <v>596</v>
      </c>
      <c r="H261" t="s">
        <v>598</v>
      </c>
      <c r="I261" t="s">
        <v>599</v>
      </c>
      <c r="J261" t="s">
        <v>166</v>
      </c>
      <c r="K261" t="s">
        <v>364</v>
      </c>
      <c r="L261">
        <v>15</v>
      </c>
      <c r="M261" t="s">
        <v>367</v>
      </c>
      <c r="N261" t="s">
        <v>181</v>
      </c>
      <c r="O261" t="s">
        <v>29</v>
      </c>
      <c r="P261" t="s">
        <v>29</v>
      </c>
      <c r="Q261" t="s">
        <v>29</v>
      </c>
      <c r="R261" t="s">
        <v>29</v>
      </c>
      <c r="S261" t="s">
        <v>33</v>
      </c>
      <c r="T261" t="s">
        <v>33</v>
      </c>
      <c r="U261" t="s">
        <v>44</v>
      </c>
      <c r="V261" t="s">
        <v>44</v>
      </c>
      <c r="W261" t="s">
        <v>600</v>
      </c>
      <c r="X261">
        <v>212.53</v>
      </c>
      <c r="Y261">
        <v>67.03</v>
      </c>
      <c r="AE261">
        <v>50.99</v>
      </c>
      <c r="AH261">
        <v>94.51</v>
      </c>
    </row>
    <row r="262" spans="1:34" x14ac:dyDescent="0.25">
      <c r="A262">
        <v>191</v>
      </c>
      <c r="B262" t="s">
        <v>601</v>
      </c>
      <c r="C262">
        <v>3</v>
      </c>
      <c r="D262" t="s">
        <v>25</v>
      </c>
      <c r="E262">
        <v>640254020</v>
      </c>
      <c r="F262" t="s">
        <v>602</v>
      </c>
      <c r="G262" t="s">
        <v>601</v>
      </c>
      <c r="H262" t="s">
        <v>603</v>
      </c>
      <c r="I262" t="s">
        <v>604</v>
      </c>
      <c r="J262" t="s">
        <v>166</v>
      </c>
      <c r="K262" t="s">
        <v>364</v>
      </c>
      <c r="L262">
        <v>30</v>
      </c>
      <c r="M262" t="s">
        <v>367</v>
      </c>
      <c r="N262" t="s">
        <v>177</v>
      </c>
      <c r="O262" t="s">
        <v>48</v>
      </c>
      <c r="P262" t="s">
        <v>30</v>
      </c>
      <c r="Q262" t="s">
        <v>29</v>
      </c>
      <c r="R262" t="s">
        <v>29</v>
      </c>
      <c r="S262" t="s">
        <v>44</v>
      </c>
      <c r="T262" t="s">
        <v>33</v>
      </c>
      <c r="U262" t="s">
        <v>44</v>
      </c>
      <c r="V262" t="s">
        <v>44</v>
      </c>
      <c r="X262">
        <v>215.29</v>
      </c>
      <c r="Y262">
        <v>115.63</v>
      </c>
      <c r="AE262">
        <v>55.57</v>
      </c>
      <c r="AH262">
        <v>44.09</v>
      </c>
    </row>
    <row r="263" spans="1:34" x14ac:dyDescent="0.25">
      <c r="A263">
        <v>193</v>
      </c>
      <c r="B263" t="s">
        <v>605</v>
      </c>
      <c r="C263">
        <v>3</v>
      </c>
      <c r="D263" t="s">
        <v>25</v>
      </c>
      <c r="E263">
        <v>818313130</v>
      </c>
      <c r="F263" t="s">
        <v>606</v>
      </c>
      <c r="G263" t="s">
        <v>605</v>
      </c>
      <c r="H263" t="s">
        <v>607</v>
      </c>
      <c r="I263" t="s">
        <v>608</v>
      </c>
      <c r="J263" t="s">
        <v>166</v>
      </c>
      <c r="K263" t="s">
        <v>172</v>
      </c>
      <c r="L263">
        <v>55</v>
      </c>
      <c r="M263" t="s">
        <v>367</v>
      </c>
      <c r="O263" t="s">
        <v>29</v>
      </c>
      <c r="P263" t="s">
        <v>29</v>
      </c>
      <c r="Q263" t="s">
        <v>29</v>
      </c>
      <c r="R263" t="s">
        <v>29</v>
      </c>
      <c r="S263" t="s">
        <v>44</v>
      </c>
      <c r="T263" t="s">
        <v>44</v>
      </c>
      <c r="U263" t="s">
        <v>44</v>
      </c>
      <c r="V263" t="s">
        <v>32</v>
      </c>
      <c r="X263">
        <v>175.41</v>
      </c>
      <c r="Y263">
        <v>81.91</v>
      </c>
      <c r="AE263">
        <v>52.89</v>
      </c>
      <c r="AH263">
        <v>40.61</v>
      </c>
    </row>
    <row r="264" spans="1:34" x14ac:dyDescent="0.25">
      <c r="A264">
        <v>194</v>
      </c>
      <c r="B264" t="s">
        <v>641</v>
      </c>
      <c r="C264">
        <v>3</v>
      </c>
      <c r="D264" t="s">
        <v>25</v>
      </c>
      <c r="E264">
        <v>1239389819</v>
      </c>
      <c r="F264" t="s">
        <v>642</v>
      </c>
      <c r="G264" t="s">
        <v>641</v>
      </c>
      <c r="H264" t="s">
        <v>643</v>
      </c>
      <c r="I264" t="s">
        <v>644</v>
      </c>
      <c r="J264" t="s">
        <v>374</v>
      </c>
      <c r="K264" t="s">
        <v>172</v>
      </c>
      <c r="L264">
        <v>39</v>
      </c>
      <c r="M264" t="s">
        <v>367</v>
      </c>
      <c r="O264" t="s">
        <v>29</v>
      </c>
      <c r="P264" t="s">
        <v>29</v>
      </c>
      <c r="Q264" t="s">
        <v>29</v>
      </c>
      <c r="R264" t="s">
        <v>29</v>
      </c>
      <c r="S264" t="s">
        <v>44</v>
      </c>
      <c r="T264" t="s">
        <v>33</v>
      </c>
      <c r="U264" t="s">
        <v>33</v>
      </c>
      <c r="V264" t="s">
        <v>33</v>
      </c>
      <c r="X264">
        <v>97.21</v>
      </c>
      <c r="Y264">
        <v>38.96</v>
      </c>
      <c r="AE264">
        <v>37.53</v>
      </c>
      <c r="AH264">
        <v>20.72</v>
      </c>
    </row>
    <row r="265" spans="1:34" x14ac:dyDescent="0.25">
      <c r="A265">
        <v>195</v>
      </c>
      <c r="B265" t="s">
        <v>645</v>
      </c>
      <c r="C265">
        <v>3</v>
      </c>
      <c r="D265" t="s">
        <v>25</v>
      </c>
      <c r="E265">
        <v>413221377</v>
      </c>
      <c r="F265" t="s">
        <v>646</v>
      </c>
      <c r="G265" t="s">
        <v>645</v>
      </c>
      <c r="H265" t="s">
        <v>647</v>
      </c>
      <c r="I265" t="s">
        <v>648</v>
      </c>
      <c r="J265" t="s">
        <v>374</v>
      </c>
      <c r="K265" t="s">
        <v>172</v>
      </c>
      <c r="L265">
        <v>52</v>
      </c>
      <c r="M265" t="s">
        <v>367</v>
      </c>
      <c r="O265" t="s">
        <v>29</v>
      </c>
      <c r="P265" t="s">
        <v>29</v>
      </c>
      <c r="Q265" t="s">
        <v>29</v>
      </c>
      <c r="R265" t="s">
        <v>29</v>
      </c>
      <c r="S265" t="s">
        <v>33</v>
      </c>
      <c r="T265" t="s">
        <v>33</v>
      </c>
      <c r="U265" t="s">
        <v>44</v>
      </c>
      <c r="V265" t="s">
        <v>33</v>
      </c>
      <c r="X265">
        <v>143.41</v>
      </c>
      <c r="Y265">
        <v>48.7</v>
      </c>
      <c r="AE265">
        <v>39.729999999999997</v>
      </c>
      <c r="AH265">
        <v>54.98</v>
      </c>
    </row>
    <row r="266" spans="1:34" x14ac:dyDescent="0.25">
      <c r="A266">
        <v>197</v>
      </c>
      <c r="B266" t="s">
        <v>649</v>
      </c>
      <c r="C266">
        <v>3</v>
      </c>
      <c r="D266" t="s">
        <v>25</v>
      </c>
      <c r="E266">
        <v>485495490</v>
      </c>
      <c r="F266" t="s">
        <v>650</v>
      </c>
      <c r="G266" t="s">
        <v>649</v>
      </c>
      <c r="H266" t="s">
        <v>651</v>
      </c>
      <c r="I266" t="s">
        <v>652</v>
      </c>
      <c r="J266" t="s">
        <v>374</v>
      </c>
      <c r="K266" t="s">
        <v>172</v>
      </c>
      <c r="L266">
        <v>28</v>
      </c>
      <c r="M266" t="s">
        <v>367</v>
      </c>
      <c r="N266" t="s">
        <v>181</v>
      </c>
      <c r="O266" t="s">
        <v>29</v>
      </c>
      <c r="P266" t="s">
        <v>30</v>
      </c>
      <c r="Q266" t="s">
        <v>30</v>
      </c>
      <c r="R266" t="s">
        <v>29</v>
      </c>
      <c r="S266" t="s">
        <v>33</v>
      </c>
      <c r="T266" t="s">
        <v>33</v>
      </c>
      <c r="U266" t="s">
        <v>44</v>
      </c>
      <c r="V266" t="s">
        <v>33</v>
      </c>
      <c r="X266">
        <v>151.06</v>
      </c>
      <c r="Y266">
        <v>48.73</v>
      </c>
      <c r="AE266">
        <v>48.57</v>
      </c>
      <c r="AH266">
        <v>53.76</v>
      </c>
    </row>
    <row r="267" spans="1:34" x14ac:dyDescent="0.25">
      <c r="A267">
        <v>198</v>
      </c>
      <c r="B267" t="s">
        <v>653</v>
      </c>
      <c r="C267">
        <v>3</v>
      </c>
      <c r="D267" t="s">
        <v>25</v>
      </c>
      <c r="E267">
        <v>1264119653</v>
      </c>
      <c r="F267" t="s">
        <v>654</v>
      </c>
      <c r="G267" t="s">
        <v>653</v>
      </c>
      <c r="H267" t="s">
        <v>655</v>
      </c>
      <c r="I267" t="s">
        <v>652</v>
      </c>
      <c r="J267" t="s">
        <v>374</v>
      </c>
      <c r="K267" t="s">
        <v>172</v>
      </c>
      <c r="L267">
        <v>43</v>
      </c>
      <c r="M267" t="s">
        <v>367</v>
      </c>
      <c r="O267" t="s">
        <v>29</v>
      </c>
      <c r="P267" t="s">
        <v>29</v>
      </c>
      <c r="Q267" t="s">
        <v>29</v>
      </c>
      <c r="R267" t="s">
        <v>29</v>
      </c>
      <c r="S267" t="s">
        <v>44</v>
      </c>
      <c r="T267" t="s">
        <v>44</v>
      </c>
      <c r="U267" t="s">
        <v>33</v>
      </c>
      <c r="V267" t="s">
        <v>33</v>
      </c>
      <c r="X267">
        <v>199.28</v>
      </c>
      <c r="Y267">
        <v>82.74</v>
      </c>
      <c r="AE267">
        <v>75.45</v>
      </c>
      <c r="AH267">
        <v>41.09</v>
      </c>
    </row>
    <row r="268" spans="1:34" x14ac:dyDescent="0.25">
      <c r="A268">
        <v>199</v>
      </c>
      <c r="B268" t="s">
        <v>656</v>
      </c>
      <c r="C268">
        <v>3</v>
      </c>
      <c r="D268" t="s">
        <v>25</v>
      </c>
      <c r="E268">
        <v>1041542818</v>
      </c>
      <c r="F268" t="s">
        <v>657</v>
      </c>
      <c r="G268" t="s">
        <v>656</v>
      </c>
      <c r="H268" t="s">
        <v>658</v>
      </c>
      <c r="I268" t="s">
        <v>659</v>
      </c>
      <c r="J268" t="s">
        <v>374</v>
      </c>
      <c r="K268" t="s">
        <v>172</v>
      </c>
      <c r="L268">
        <v>55</v>
      </c>
      <c r="M268" t="s">
        <v>367</v>
      </c>
      <c r="O268" t="s">
        <v>29</v>
      </c>
      <c r="P268" t="s">
        <v>29</v>
      </c>
      <c r="Q268" t="s">
        <v>29</v>
      </c>
      <c r="R268" t="s">
        <v>29</v>
      </c>
      <c r="S268" t="s">
        <v>32</v>
      </c>
      <c r="T268" t="s">
        <v>44</v>
      </c>
      <c r="U268" t="s">
        <v>44</v>
      </c>
      <c r="V268" t="s">
        <v>31</v>
      </c>
      <c r="X268">
        <v>273.66000000000003</v>
      </c>
      <c r="Y268">
        <v>80.27</v>
      </c>
      <c r="AE268">
        <v>65.040000000000006</v>
      </c>
      <c r="AH268">
        <v>128.35</v>
      </c>
    </row>
    <row r="269" spans="1:34" x14ac:dyDescent="0.25">
      <c r="A269">
        <v>203</v>
      </c>
      <c r="B269" t="s">
        <v>660</v>
      </c>
      <c r="C269">
        <v>3</v>
      </c>
      <c r="D269" t="s">
        <v>25</v>
      </c>
      <c r="E269">
        <v>663951902</v>
      </c>
      <c r="F269" t="s">
        <v>661</v>
      </c>
      <c r="G269" t="s">
        <v>660</v>
      </c>
      <c r="H269" t="s">
        <v>662</v>
      </c>
      <c r="I269" t="s">
        <v>663</v>
      </c>
      <c r="J269" t="s">
        <v>374</v>
      </c>
      <c r="K269" t="s">
        <v>172</v>
      </c>
      <c r="L269">
        <v>29</v>
      </c>
      <c r="M269" t="s">
        <v>367</v>
      </c>
      <c r="N269" t="s">
        <v>173</v>
      </c>
      <c r="O269" t="s">
        <v>30</v>
      </c>
      <c r="P269" t="s">
        <v>29</v>
      </c>
      <c r="Q269" t="s">
        <v>29</v>
      </c>
      <c r="R269" t="s">
        <v>30</v>
      </c>
      <c r="S269" t="s">
        <v>33</v>
      </c>
      <c r="T269" t="s">
        <v>33</v>
      </c>
      <c r="U269" t="s">
        <v>32</v>
      </c>
      <c r="V269" t="s">
        <v>32</v>
      </c>
      <c r="X269">
        <v>102.68</v>
      </c>
      <c r="Y269">
        <v>36.729999999999997</v>
      </c>
      <c r="AE269">
        <v>39.39</v>
      </c>
      <c r="AH269">
        <v>26.56</v>
      </c>
    </row>
    <row r="270" spans="1:34" x14ac:dyDescent="0.25">
      <c r="A270">
        <v>206</v>
      </c>
      <c r="B270" t="s">
        <v>664</v>
      </c>
      <c r="C270">
        <v>3</v>
      </c>
      <c r="D270" t="s">
        <v>25</v>
      </c>
      <c r="E270">
        <v>785989469</v>
      </c>
      <c r="F270" t="s">
        <v>665</v>
      </c>
      <c r="G270" t="s">
        <v>664</v>
      </c>
      <c r="H270" t="s">
        <v>666</v>
      </c>
      <c r="I270" t="s">
        <v>667</v>
      </c>
      <c r="J270" t="s">
        <v>374</v>
      </c>
      <c r="K270" t="s">
        <v>172</v>
      </c>
      <c r="L270">
        <v>29</v>
      </c>
      <c r="M270" t="s">
        <v>367</v>
      </c>
      <c r="O270" t="s">
        <v>29</v>
      </c>
      <c r="P270" t="s">
        <v>29</v>
      </c>
      <c r="Q270" t="s">
        <v>29</v>
      </c>
      <c r="R270" t="s">
        <v>29</v>
      </c>
      <c r="S270" t="s">
        <v>33</v>
      </c>
      <c r="T270" t="s">
        <v>31</v>
      </c>
      <c r="U270" t="s">
        <v>44</v>
      </c>
      <c r="V270" t="s">
        <v>33</v>
      </c>
      <c r="X270">
        <v>144.75</v>
      </c>
      <c r="Y270">
        <v>78.150000000000006</v>
      </c>
      <c r="AE270">
        <v>33.14</v>
      </c>
      <c r="AH270">
        <v>33.46</v>
      </c>
    </row>
    <row r="271" spans="1:34" x14ac:dyDescent="0.25">
      <c r="A271">
        <v>207</v>
      </c>
      <c r="B271" t="s">
        <v>668</v>
      </c>
      <c r="C271">
        <v>3</v>
      </c>
      <c r="D271" t="s">
        <v>25</v>
      </c>
      <c r="E271">
        <v>642828637</v>
      </c>
      <c r="F271" t="s">
        <v>669</v>
      </c>
      <c r="G271" t="s">
        <v>668</v>
      </c>
      <c r="H271" t="s">
        <v>670</v>
      </c>
      <c r="I271" s="19" t="s">
        <v>671</v>
      </c>
      <c r="J271" s="19" t="s">
        <v>171</v>
      </c>
      <c r="K271" t="s">
        <v>172</v>
      </c>
      <c r="M271" t="s">
        <v>174</v>
      </c>
      <c r="N271" t="s">
        <v>177</v>
      </c>
      <c r="O271" t="s">
        <v>30</v>
      </c>
      <c r="P271" t="s">
        <v>29</v>
      </c>
      <c r="Q271" t="s">
        <v>30</v>
      </c>
      <c r="R271" t="s">
        <v>30</v>
      </c>
      <c r="S271" t="s">
        <v>44</v>
      </c>
      <c r="T271" t="s">
        <v>44</v>
      </c>
      <c r="U271" t="s">
        <v>31</v>
      </c>
      <c r="V271" t="s">
        <v>44</v>
      </c>
      <c r="X271">
        <v>151.46</v>
      </c>
      <c r="Y271">
        <v>56</v>
      </c>
      <c r="AE271">
        <v>52.4</v>
      </c>
      <c r="AH271">
        <v>43.06</v>
      </c>
    </row>
    <row r="272" spans="1:34" x14ac:dyDescent="0.25">
      <c r="A272">
        <v>208</v>
      </c>
      <c r="B272" t="s">
        <v>672</v>
      </c>
      <c r="C272">
        <v>3</v>
      </c>
      <c r="D272" t="s">
        <v>25</v>
      </c>
      <c r="E272">
        <v>2146844653</v>
      </c>
      <c r="F272" t="s">
        <v>673</v>
      </c>
      <c r="G272" t="s">
        <v>672</v>
      </c>
      <c r="H272" t="s">
        <v>674</v>
      </c>
      <c r="I272" t="s">
        <v>469</v>
      </c>
      <c r="J272" t="s">
        <v>171</v>
      </c>
      <c r="K272" t="s">
        <v>172</v>
      </c>
      <c r="L272">
        <v>37</v>
      </c>
      <c r="O272" t="s">
        <v>29</v>
      </c>
      <c r="P272" t="s">
        <v>30</v>
      </c>
      <c r="Q272" t="s">
        <v>30</v>
      </c>
      <c r="R272" t="s">
        <v>48</v>
      </c>
      <c r="S272" t="s">
        <v>44</v>
      </c>
      <c r="T272" t="s">
        <v>33</v>
      </c>
      <c r="U272" t="s">
        <v>44</v>
      </c>
      <c r="V272" t="s">
        <v>44</v>
      </c>
      <c r="X272">
        <v>81.63</v>
      </c>
      <c r="Y272">
        <v>28.22</v>
      </c>
      <c r="AE272">
        <v>33.14</v>
      </c>
      <c r="AH272">
        <v>20.27</v>
      </c>
    </row>
    <row r="273" spans="1:34" x14ac:dyDescent="0.25">
      <c r="A273">
        <v>209</v>
      </c>
      <c r="B273" t="s">
        <v>675</v>
      </c>
      <c r="C273">
        <v>3</v>
      </c>
      <c r="D273" t="s">
        <v>25</v>
      </c>
      <c r="E273">
        <v>1383275286</v>
      </c>
      <c r="F273" t="s">
        <v>676</v>
      </c>
      <c r="G273" t="s">
        <v>675</v>
      </c>
      <c r="H273" t="s">
        <v>677</v>
      </c>
      <c r="I273" t="s">
        <v>678</v>
      </c>
      <c r="J273" t="s">
        <v>171</v>
      </c>
      <c r="K273" t="s">
        <v>172</v>
      </c>
      <c r="L273">
        <v>23</v>
      </c>
      <c r="M273" t="s">
        <v>174</v>
      </c>
      <c r="N273" t="s">
        <v>177</v>
      </c>
      <c r="O273" t="s">
        <v>29</v>
      </c>
      <c r="P273" t="s">
        <v>29</v>
      </c>
      <c r="Q273" t="s">
        <v>30</v>
      </c>
      <c r="R273" t="s">
        <v>30</v>
      </c>
      <c r="S273" t="s">
        <v>32</v>
      </c>
      <c r="T273" t="s">
        <v>33</v>
      </c>
      <c r="V273" t="s">
        <v>33</v>
      </c>
      <c r="X273">
        <v>104.84</v>
      </c>
      <c r="Y273">
        <v>43.39</v>
      </c>
      <c r="AE273">
        <v>35.14</v>
      </c>
      <c r="AH273">
        <v>26.31</v>
      </c>
    </row>
    <row r="274" spans="1:34" x14ac:dyDescent="0.25">
      <c r="A274">
        <v>210</v>
      </c>
      <c r="B274" t="s">
        <v>679</v>
      </c>
      <c r="C274">
        <v>3</v>
      </c>
      <c r="D274" t="s">
        <v>25</v>
      </c>
      <c r="E274">
        <v>727880250</v>
      </c>
      <c r="F274" t="s">
        <v>680</v>
      </c>
      <c r="G274" t="s">
        <v>679</v>
      </c>
      <c r="H274" t="s">
        <v>681</v>
      </c>
      <c r="I274" t="s">
        <v>682</v>
      </c>
      <c r="J274" t="s">
        <v>171</v>
      </c>
      <c r="K274" t="s">
        <v>172</v>
      </c>
      <c r="L274">
        <v>33</v>
      </c>
      <c r="M274" t="s">
        <v>174</v>
      </c>
      <c r="N274" t="s">
        <v>177</v>
      </c>
      <c r="O274" t="s">
        <v>29</v>
      </c>
      <c r="P274" t="s">
        <v>29</v>
      </c>
      <c r="Q274" t="s">
        <v>30</v>
      </c>
      <c r="R274" t="s">
        <v>30</v>
      </c>
      <c r="S274" t="s">
        <v>32</v>
      </c>
      <c r="T274" t="s">
        <v>33</v>
      </c>
      <c r="U274" t="s">
        <v>44</v>
      </c>
      <c r="V274" t="s">
        <v>44</v>
      </c>
      <c r="X274">
        <v>136.19999999999999</v>
      </c>
      <c r="Y274">
        <v>50.67</v>
      </c>
      <c r="AE274">
        <v>43.58</v>
      </c>
      <c r="AH274">
        <v>41.95</v>
      </c>
    </row>
    <row r="275" spans="1:34" x14ac:dyDescent="0.25">
      <c r="A275">
        <v>212</v>
      </c>
      <c r="B275" t="s">
        <v>683</v>
      </c>
      <c r="C275">
        <v>3</v>
      </c>
      <c r="D275" t="s">
        <v>25</v>
      </c>
      <c r="E275">
        <v>1022593997</v>
      </c>
      <c r="F275" t="s">
        <v>684</v>
      </c>
      <c r="G275" t="s">
        <v>683</v>
      </c>
      <c r="H275" t="s">
        <v>685</v>
      </c>
      <c r="I275" t="s">
        <v>469</v>
      </c>
      <c r="J275" t="s">
        <v>171</v>
      </c>
      <c r="K275" t="s">
        <v>172</v>
      </c>
      <c r="L275">
        <v>24</v>
      </c>
      <c r="M275" t="s">
        <v>367</v>
      </c>
      <c r="O275" t="s">
        <v>30</v>
      </c>
      <c r="P275" t="s">
        <v>29</v>
      </c>
      <c r="Q275" t="s">
        <v>30</v>
      </c>
      <c r="R275" t="s">
        <v>48</v>
      </c>
      <c r="S275" t="s">
        <v>32</v>
      </c>
      <c r="T275" t="s">
        <v>44</v>
      </c>
      <c r="U275" t="s">
        <v>33</v>
      </c>
      <c r="V275" t="s">
        <v>44</v>
      </c>
      <c r="X275">
        <v>190.98</v>
      </c>
      <c r="Y275">
        <v>42.49</v>
      </c>
      <c r="AE275">
        <v>116.82</v>
      </c>
      <c r="AH275">
        <v>31.67</v>
      </c>
    </row>
    <row r="276" spans="1:34" x14ac:dyDescent="0.25">
      <c r="A276">
        <v>214</v>
      </c>
      <c r="B276" t="s">
        <v>687</v>
      </c>
      <c r="C276">
        <v>3</v>
      </c>
      <c r="D276" t="s">
        <v>25</v>
      </c>
      <c r="E276">
        <v>344485928</v>
      </c>
      <c r="F276" t="s">
        <v>688</v>
      </c>
      <c r="G276" t="s">
        <v>687</v>
      </c>
      <c r="H276" t="s">
        <v>689</v>
      </c>
      <c r="I276" t="s">
        <v>690</v>
      </c>
      <c r="J276" t="s">
        <v>166</v>
      </c>
      <c r="K276" t="s">
        <v>172</v>
      </c>
      <c r="L276">
        <v>34</v>
      </c>
      <c r="M276" t="s">
        <v>367</v>
      </c>
      <c r="O276" t="s">
        <v>75</v>
      </c>
      <c r="P276" t="s">
        <v>48</v>
      </c>
      <c r="Q276" t="s">
        <v>30</v>
      </c>
      <c r="R276" t="s">
        <v>30</v>
      </c>
      <c r="S276" t="s">
        <v>44</v>
      </c>
      <c r="T276" t="s">
        <v>33</v>
      </c>
      <c r="U276" t="s">
        <v>33</v>
      </c>
      <c r="V276" t="s">
        <v>31</v>
      </c>
      <c r="W276" t="s">
        <v>691</v>
      </c>
      <c r="X276">
        <v>254.32</v>
      </c>
      <c r="Y276">
        <v>44.48</v>
      </c>
      <c r="AE276">
        <v>108.41</v>
      </c>
      <c r="AH276">
        <v>101.43</v>
      </c>
    </row>
    <row r="277" spans="1:34" x14ac:dyDescent="0.25">
      <c r="A277">
        <v>218</v>
      </c>
      <c r="C277">
        <v>2</v>
      </c>
      <c r="D277" t="s">
        <v>25</v>
      </c>
      <c r="E277">
        <v>1525048448</v>
      </c>
      <c r="F277" t="s">
        <v>692</v>
      </c>
      <c r="G277" t="s">
        <v>693</v>
      </c>
      <c r="H277" t="s">
        <v>694</v>
      </c>
      <c r="I277" t="s">
        <v>686</v>
      </c>
      <c r="J277" t="s">
        <v>166</v>
      </c>
      <c r="K277" t="s">
        <v>172</v>
      </c>
      <c r="L277">
        <v>27</v>
      </c>
      <c r="M277" t="s">
        <v>367</v>
      </c>
      <c r="O277" t="s">
        <v>30</v>
      </c>
      <c r="P277" t="s">
        <v>29</v>
      </c>
      <c r="Q277" t="s">
        <v>29</v>
      </c>
      <c r="R277" t="s">
        <v>29</v>
      </c>
      <c r="S277" t="s">
        <v>31</v>
      </c>
      <c r="T277" t="s">
        <v>33</v>
      </c>
      <c r="U277" t="s">
        <v>44</v>
      </c>
      <c r="V277" t="s">
        <v>32</v>
      </c>
      <c r="X277">
        <v>167.58</v>
      </c>
      <c r="Y277">
        <v>33.35</v>
      </c>
      <c r="AE277">
        <v>134.22999999999999</v>
      </c>
    </row>
    <row r="278" spans="1:34" x14ac:dyDescent="0.25">
      <c r="A278">
        <v>219</v>
      </c>
      <c r="B278" t="s">
        <v>695</v>
      </c>
      <c r="C278">
        <v>3</v>
      </c>
      <c r="D278" t="s">
        <v>25</v>
      </c>
      <c r="E278">
        <v>1677061107</v>
      </c>
      <c r="F278" t="s">
        <v>696</v>
      </c>
      <c r="G278" t="s">
        <v>695</v>
      </c>
      <c r="H278" t="s">
        <v>697</v>
      </c>
      <c r="I278" t="s">
        <v>698</v>
      </c>
      <c r="J278" t="s">
        <v>166</v>
      </c>
      <c r="K278" t="s">
        <v>172</v>
      </c>
      <c r="L278">
        <v>23</v>
      </c>
      <c r="M278" t="s">
        <v>367</v>
      </c>
      <c r="O278" t="s">
        <v>48</v>
      </c>
      <c r="P278" t="s">
        <v>29</v>
      </c>
      <c r="Q278" t="s">
        <v>29</v>
      </c>
      <c r="R278" t="s">
        <v>30</v>
      </c>
      <c r="S278" t="s">
        <v>32</v>
      </c>
      <c r="T278" t="s">
        <v>33</v>
      </c>
      <c r="U278" t="s">
        <v>33</v>
      </c>
      <c r="V278" t="s">
        <v>32</v>
      </c>
      <c r="X278">
        <v>111.1</v>
      </c>
      <c r="Y278">
        <v>36.200000000000003</v>
      </c>
      <c r="AE278">
        <v>50.11</v>
      </c>
      <c r="AH278">
        <v>24.79</v>
      </c>
    </row>
    <row r="279" spans="1:34" x14ac:dyDescent="0.25">
      <c r="A279">
        <v>220</v>
      </c>
      <c r="B279" t="s">
        <v>699</v>
      </c>
      <c r="C279">
        <v>3</v>
      </c>
      <c r="D279" t="s">
        <v>25</v>
      </c>
      <c r="E279">
        <v>1242144244</v>
      </c>
      <c r="F279" t="s">
        <v>700</v>
      </c>
      <c r="G279" t="s">
        <v>699</v>
      </c>
      <c r="H279" t="s">
        <v>701</v>
      </c>
      <c r="I279" t="s">
        <v>702</v>
      </c>
      <c r="J279" t="s">
        <v>166</v>
      </c>
      <c r="K279" t="s">
        <v>172</v>
      </c>
      <c r="L279">
        <v>23</v>
      </c>
      <c r="M279" t="s">
        <v>367</v>
      </c>
      <c r="O279" t="s">
        <v>75</v>
      </c>
      <c r="P279" t="s">
        <v>48</v>
      </c>
      <c r="Q279" t="s">
        <v>48</v>
      </c>
      <c r="R279" t="s">
        <v>75</v>
      </c>
      <c r="S279" t="s">
        <v>44</v>
      </c>
      <c r="T279" t="s">
        <v>33</v>
      </c>
      <c r="U279" t="s">
        <v>31</v>
      </c>
      <c r="V279" t="s">
        <v>32</v>
      </c>
      <c r="X279">
        <v>119.32</v>
      </c>
      <c r="Y279">
        <v>55.2</v>
      </c>
      <c r="AE279">
        <v>33.18</v>
      </c>
      <c r="AH279">
        <v>30.94</v>
      </c>
    </row>
    <row r="280" spans="1:34" x14ac:dyDescent="0.25">
      <c r="A280">
        <v>221</v>
      </c>
      <c r="B280" t="s">
        <v>703</v>
      </c>
      <c r="C280">
        <v>3</v>
      </c>
      <c r="D280" t="s">
        <v>25</v>
      </c>
      <c r="E280">
        <v>1253431451</v>
      </c>
      <c r="F280" t="s">
        <v>704</v>
      </c>
      <c r="G280" t="s">
        <v>703</v>
      </c>
      <c r="H280" t="s">
        <v>705</v>
      </c>
      <c r="I280" t="s">
        <v>706</v>
      </c>
      <c r="J280" t="s">
        <v>166</v>
      </c>
      <c r="K280" t="s">
        <v>172</v>
      </c>
      <c r="L280">
        <v>27</v>
      </c>
      <c r="M280" t="s">
        <v>367</v>
      </c>
      <c r="N280" t="s">
        <v>181</v>
      </c>
      <c r="O280" t="s">
        <v>48</v>
      </c>
      <c r="P280" t="s">
        <v>30</v>
      </c>
      <c r="Q280" t="s">
        <v>30</v>
      </c>
      <c r="R280" t="s">
        <v>30</v>
      </c>
      <c r="S280" t="s">
        <v>44</v>
      </c>
      <c r="T280" t="s">
        <v>44</v>
      </c>
      <c r="U280" t="s">
        <v>31</v>
      </c>
      <c r="V280" t="s">
        <v>32</v>
      </c>
      <c r="X280">
        <v>148.25</v>
      </c>
      <c r="Y280">
        <v>36.65</v>
      </c>
      <c r="AE280">
        <v>77.91</v>
      </c>
      <c r="AH280">
        <v>33.69</v>
      </c>
    </row>
    <row r="281" spans="1:34" x14ac:dyDescent="0.25">
      <c r="A281">
        <v>222</v>
      </c>
      <c r="B281" t="s">
        <v>707</v>
      </c>
      <c r="C281">
        <v>3</v>
      </c>
      <c r="D281" t="s">
        <v>25</v>
      </c>
      <c r="E281">
        <v>241547694</v>
      </c>
      <c r="F281" t="s">
        <v>708</v>
      </c>
      <c r="G281" t="s">
        <v>707</v>
      </c>
      <c r="H281" t="s">
        <v>709</v>
      </c>
      <c r="I281" t="s">
        <v>690</v>
      </c>
      <c r="J281" t="s">
        <v>166</v>
      </c>
      <c r="K281" t="s">
        <v>172</v>
      </c>
      <c r="L281">
        <v>35</v>
      </c>
      <c r="M281" t="s">
        <v>367</v>
      </c>
      <c r="O281" t="s">
        <v>48</v>
      </c>
      <c r="P281" t="s">
        <v>30</v>
      </c>
      <c r="Q281" t="s">
        <v>30</v>
      </c>
      <c r="R281" t="s">
        <v>30</v>
      </c>
      <c r="S281" t="s">
        <v>33</v>
      </c>
      <c r="T281" t="s">
        <v>31</v>
      </c>
      <c r="U281" t="s">
        <v>33</v>
      </c>
      <c r="V281" t="s">
        <v>32</v>
      </c>
      <c r="X281">
        <v>598.44000000000005</v>
      </c>
      <c r="Y281">
        <v>462.58</v>
      </c>
      <c r="AE281">
        <v>89.32</v>
      </c>
      <c r="AH281">
        <v>46.54</v>
      </c>
    </row>
    <row r="282" spans="1:34" x14ac:dyDescent="0.25">
      <c r="A282">
        <v>225</v>
      </c>
      <c r="B282" t="s">
        <v>710</v>
      </c>
      <c r="C282">
        <v>3</v>
      </c>
      <c r="D282" t="s">
        <v>25</v>
      </c>
      <c r="E282">
        <v>496886033</v>
      </c>
      <c r="F282" t="s">
        <v>711</v>
      </c>
      <c r="G282" t="s">
        <v>710</v>
      </c>
      <c r="H282" t="s">
        <v>712</v>
      </c>
      <c r="I282" t="s">
        <v>690</v>
      </c>
      <c r="J282" t="s">
        <v>166</v>
      </c>
      <c r="K282" t="s">
        <v>172</v>
      </c>
      <c r="L282">
        <v>51</v>
      </c>
      <c r="M282" t="s">
        <v>367</v>
      </c>
      <c r="N282" t="s">
        <v>173</v>
      </c>
      <c r="O282" t="s">
        <v>48</v>
      </c>
      <c r="P282" t="s">
        <v>75</v>
      </c>
      <c r="Q282" t="s">
        <v>29</v>
      </c>
      <c r="R282" t="s">
        <v>30</v>
      </c>
      <c r="S282" t="s">
        <v>33</v>
      </c>
      <c r="T282" t="s">
        <v>31</v>
      </c>
      <c r="U282" t="s">
        <v>44</v>
      </c>
      <c r="V282" t="s">
        <v>32</v>
      </c>
      <c r="W282" t="s">
        <v>713</v>
      </c>
      <c r="X282">
        <v>201.84</v>
      </c>
      <c r="Y282">
        <v>24.43</v>
      </c>
      <c r="AE282">
        <v>44.58</v>
      </c>
      <c r="AH282">
        <v>132.83000000000001</v>
      </c>
    </row>
    <row r="283" spans="1:34" x14ac:dyDescent="0.25">
      <c r="A283">
        <v>226</v>
      </c>
      <c r="B283" t="s">
        <v>714</v>
      </c>
      <c r="C283">
        <v>3</v>
      </c>
      <c r="D283" t="s">
        <v>25</v>
      </c>
      <c r="E283">
        <v>613913740</v>
      </c>
      <c r="F283" t="s">
        <v>715</v>
      </c>
      <c r="G283" t="s">
        <v>714</v>
      </c>
      <c r="H283" t="s">
        <v>716</v>
      </c>
      <c r="I283" t="s">
        <v>717</v>
      </c>
      <c r="J283" t="s">
        <v>166</v>
      </c>
      <c r="K283" t="s">
        <v>172</v>
      </c>
      <c r="L283">
        <v>28</v>
      </c>
      <c r="M283" t="s">
        <v>367</v>
      </c>
      <c r="N283" t="s">
        <v>173</v>
      </c>
      <c r="O283" t="s">
        <v>30</v>
      </c>
      <c r="P283" t="s">
        <v>30</v>
      </c>
      <c r="Q283" t="s">
        <v>48</v>
      </c>
      <c r="R283" t="s">
        <v>48</v>
      </c>
      <c r="S283" t="s">
        <v>44</v>
      </c>
      <c r="T283" t="s">
        <v>33</v>
      </c>
      <c r="U283" t="s">
        <v>44</v>
      </c>
      <c r="V283" t="s">
        <v>44</v>
      </c>
      <c r="X283">
        <v>87.81</v>
      </c>
      <c r="Y283">
        <v>46.09</v>
      </c>
      <c r="AE283">
        <v>24.9</v>
      </c>
      <c r="AH283">
        <v>16.82</v>
      </c>
    </row>
    <row r="284" spans="1:34" x14ac:dyDescent="0.25">
      <c r="A284">
        <v>227</v>
      </c>
      <c r="B284" t="s">
        <v>718</v>
      </c>
      <c r="C284">
        <v>3</v>
      </c>
      <c r="D284" t="s">
        <v>25</v>
      </c>
      <c r="E284">
        <v>679620114</v>
      </c>
      <c r="F284" t="s">
        <v>719</v>
      </c>
      <c r="G284" t="s">
        <v>718</v>
      </c>
      <c r="H284" t="s">
        <v>720</v>
      </c>
      <c r="I284" t="s">
        <v>686</v>
      </c>
      <c r="J284" t="s">
        <v>166</v>
      </c>
      <c r="K284" t="s">
        <v>172</v>
      </c>
      <c r="L284">
        <v>22</v>
      </c>
      <c r="M284" t="s">
        <v>367</v>
      </c>
      <c r="N284" t="s">
        <v>173</v>
      </c>
      <c r="O284" t="s">
        <v>75</v>
      </c>
      <c r="P284" t="s">
        <v>29</v>
      </c>
      <c r="Q284" t="s">
        <v>48</v>
      </c>
      <c r="R284" t="s">
        <v>29</v>
      </c>
      <c r="S284" t="s">
        <v>32</v>
      </c>
      <c r="T284" t="s">
        <v>44</v>
      </c>
      <c r="U284" t="s">
        <v>31</v>
      </c>
      <c r="V284" t="s">
        <v>32</v>
      </c>
      <c r="X284">
        <v>125.43</v>
      </c>
      <c r="Y284">
        <v>44.61</v>
      </c>
      <c r="AE284">
        <v>47.99</v>
      </c>
      <c r="AH284">
        <v>32.83</v>
      </c>
    </row>
    <row r="285" spans="1:34" x14ac:dyDescent="0.25">
      <c r="A285">
        <v>228</v>
      </c>
      <c r="B285" t="s">
        <v>721</v>
      </c>
      <c r="C285">
        <v>3</v>
      </c>
      <c r="D285" t="s">
        <v>25</v>
      </c>
      <c r="E285">
        <v>1764139642</v>
      </c>
      <c r="F285" t="s">
        <v>722</v>
      </c>
      <c r="G285" t="s">
        <v>721</v>
      </c>
      <c r="H285" t="s">
        <v>723</v>
      </c>
      <c r="I285" t="s">
        <v>521</v>
      </c>
      <c r="J285" t="s">
        <v>171</v>
      </c>
      <c r="K285" t="s">
        <v>172</v>
      </c>
      <c r="L285">
        <v>27</v>
      </c>
      <c r="M285" t="s">
        <v>174</v>
      </c>
      <c r="N285" t="s">
        <v>177</v>
      </c>
      <c r="O285" t="s">
        <v>30</v>
      </c>
      <c r="P285" t="s">
        <v>30</v>
      </c>
      <c r="Q285" t="s">
        <v>30</v>
      </c>
      <c r="R285" t="s">
        <v>48</v>
      </c>
      <c r="S285" t="s">
        <v>32</v>
      </c>
      <c r="T285" t="s">
        <v>44</v>
      </c>
      <c r="U285" t="s">
        <v>33</v>
      </c>
      <c r="V285" t="s">
        <v>44</v>
      </c>
      <c r="X285">
        <v>77.930000000000007</v>
      </c>
      <c r="Y285">
        <v>24.6</v>
      </c>
      <c r="AE285">
        <v>28.13</v>
      </c>
      <c r="AH285">
        <v>25.2</v>
      </c>
    </row>
    <row r="286" spans="1:34" x14ac:dyDescent="0.25">
      <c r="A286">
        <v>231</v>
      </c>
      <c r="B286" t="s">
        <v>724</v>
      </c>
      <c r="C286">
        <v>3</v>
      </c>
      <c r="D286" t="s">
        <v>25</v>
      </c>
      <c r="E286">
        <v>1641898994</v>
      </c>
      <c r="F286" t="s">
        <v>725</v>
      </c>
      <c r="G286" t="s">
        <v>724</v>
      </c>
      <c r="H286" t="s">
        <v>726</v>
      </c>
      <c r="I286" t="s">
        <v>727</v>
      </c>
      <c r="J286" t="s">
        <v>374</v>
      </c>
      <c r="K286" t="s">
        <v>172</v>
      </c>
      <c r="L286">
        <v>58</v>
      </c>
      <c r="M286" t="s">
        <v>367</v>
      </c>
      <c r="O286" t="s">
        <v>29</v>
      </c>
      <c r="P286" t="s">
        <v>29</v>
      </c>
      <c r="Q286" t="s">
        <v>29</v>
      </c>
      <c r="R286" t="s">
        <v>29</v>
      </c>
      <c r="S286" t="s">
        <v>44</v>
      </c>
      <c r="T286" t="s">
        <v>33</v>
      </c>
      <c r="U286" t="s">
        <v>33</v>
      </c>
      <c r="V286" t="s">
        <v>33</v>
      </c>
      <c r="X286">
        <v>168.8</v>
      </c>
      <c r="Y286">
        <v>85.2</v>
      </c>
      <c r="AE286">
        <v>42.41</v>
      </c>
      <c r="AH286">
        <v>41.19</v>
      </c>
    </row>
    <row r="287" spans="1:34" x14ac:dyDescent="0.25">
      <c r="A287">
        <v>232</v>
      </c>
      <c r="B287" t="s">
        <v>728</v>
      </c>
      <c r="C287">
        <v>3</v>
      </c>
      <c r="D287" t="s">
        <v>25</v>
      </c>
      <c r="E287">
        <v>1039544834</v>
      </c>
      <c r="F287" t="s">
        <v>729</v>
      </c>
      <c r="G287" t="s">
        <v>730</v>
      </c>
      <c r="H287" t="s">
        <v>731</v>
      </c>
      <c r="I287" t="s">
        <v>374</v>
      </c>
      <c r="J287" t="s">
        <v>374</v>
      </c>
      <c r="K287" t="s">
        <v>364</v>
      </c>
      <c r="L287">
        <v>25</v>
      </c>
      <c r="M287" t="s">
        <v>367</v>
      </c>
      <c r="N287" t="s">
        <v>173</v>
      </c>
      <c r="O287" t="s">
        <v>29</v>
      </c>
      <c r="P287" t="s">
        <v>48</v>
      </c>
      <c r="Q287" t="s">
        <v>48</v>
      </c>
      <c r="R287" t="s">
        <v>48</v>
      </c>
      <c r="S287" t="s">
        <v>33</v>
      </c>
      <c r="T287" t="s">
        <v>33</v>
      </c>
      <c r="U287" t="s">
        <v>44</v>
      </c>
      <c r="V287" t="s">
        <v>33</v>
      </c>
      <c r="X287">
        <v>240.22</v>
      </c>
      <c r="Y287">
        <v>44.77</v>
      </c>
      <c r="AE287">
        <v>167.45</v>
      </c>
      <c r="AH287">
        <v>28</v>
      </c>
    </row>
    <row r="288" spans="1:34" x14ac:dyDescent="0.25">
      <c r="A288">
        <v>233</v>
      </c>
      <c r="B288" t="s">
        <v>732</v>
      </c>
      <c r="C288">
        <v>3</v>
      </c>
      <c r="D288" t="s">
        <v>25</v>
      </c>
      <c r="E288">
        <v>2041929466</v>
      </c>
      <c r="F288" t="s">
        <v>733</v>
      </c>
      <c r="G288" t="s">
        <v>732</v>
      </c>
      <c r="H288" s="20">
        <v>80187181596</v>
      </c>
      <c r="I288" t="s">
        <v>374</v>
      </c>
      <c r="J288" t="s">
        <v>374</v>
      </c>
      <c r="K288" t="s">
        <v>172</v>
      </c>
      <c r="L288">
        <v>28</v>
      </c>
      <c r="M288" t="s">
        <v>367</v>
      </c>
      <c r="N288" t="s">
        <v>181</v>
      </c>
      <c r="O288" t="s">
        <v>30</v>
      </c>
      <c r="P288" t="s">
        <v>30</v>
      </c>
      <c r="Q288" t="s">
        <v>48</v>
      </c>
      <c r="R288" t="s">
        <v>30</v>
      </c>
      <c r="S288" t="s">
        <v>44</v>
      </c>
      <c r="T288" t="s">
        <v>44</v>
      </c>
      <c r="U288" t="s">
        <v>33</v>
      </c>
      <c r="V288" t="s">
        <v>33</v>
      </c>
      <c r="X288">
        <v>146.81</v>
      </c>
      <c r="Y288">
        <v>50.47</v>
      </c>
      <c r="AE288">
        <v>47.93</v>
      </c>
      <c r="AH288">
        <v>48.41</v>
      </c>
    </row>
    <row r="289" spans="1:34" x14ac:dyDescent="0.25">
      <c r="A289">
        <v>234</v>
      </c>
      <c r="B289" t="s">
        <v>734</v>
      </c>
      <c r="C289">
        <v>3</v>
      </c>
      <c r="D289" t="s">
        <v>25</v>
      </c>
      <c r="E289">
        <v>2033329118</v>
      </c>
      <c r="F289" t="s">
        <v>735</v>
      </c>
      <c r="G289" t="s">
        <v>734</v>
      </c>
      <c r="H289" t="s">
        <v>736</v>
      </c>
      <c r="I289" t="s">
        <v>374</v>
      </c>
      <c r="J289" t="s">
        <v>374</v>
      </c>
      <c r="K289" t="s">
        <v>364</v>
      </c>
      <c r="L289">
        <v>20</v>
      </c>
      <c r="M289" t="s">
        <v>367</v>
      </c>
      <c r="N289" t="s">
        <v>173</v>
      </c>
      <c r="O289" t="s">
        <v>30</v>
      </c>
      <c r="P289" t="s">
        <v>30</v>
      </c>
      <c r="Q289" t="s">
        <v>48</v>
      </c>
      <c r="R289" t="s">
        <v>30</v>
      </c>
      <c r="S289" t="s">
        <v>44</v>
      </c>
      <c r="T289" t="s">
        <v>44</v>
      </c>
      <c r="U289" t="s">
        <v>33</v>
      </c>
      <c r="V289" t="s">
        <v>33</v>
      </c>
      <c r="X289">
        <v>84.46</v>
      </c>
      <c r="Y289">
        <v>19.809999999999999</v>
      </c>
      <c r="AE289">
        <v>42.08</v>
      </c>
      <c r="AH289">
        <v>22.57</v>
      </c>
    </row>
    <row r="290" spans="1:34" x14ac:dyDescent="0.25">
      <c r="A290">
        <v>235</v>
      </c>
      <c r="B290" t="s">
        <v>737</v>
      </c>
      <c r="C290">
        <v>3</v>
      </c>
      <c r="D290" t="s">
        <v>25</v>
      </c>
      <c r="E290">
        <v>339853241</v>
      </c>
      <c r="F290" t="s">
        <v>738</v>
      </c>
      <c r="G290" t="s">
        <v>739</v>
      </c>
      <c r="H290" t="s">
        <v>740</v>
      </c>
      <c r="I290" t="s">
        <v>741</v>
      </c>
      <c r="J290" t="s">
        <v>166</v>
      </c>
      <c r="K290" t="s">
        <v>172</v>
      </c>
      <c r="L290">
        <v>22</v>
      </c>
      <c r="M290" t="s">
        <v>367</v>
      </c>
      <c r="N290" t="s">
        <v>173</v>
      </c>
      <c r="O290" t="s">
        <v>48</v>
      </c>
      <c r="P290" t="s">
        <v>29</v>
      </c>
      <c r="Q290" t="s">
        <v>29</v>
      </c>
      <c r="R290" t="s">
        <v>30</v>
      </c>
      <c r="S290" t="s">
        <v>44</v>
      </c>
      <c r="T290" t="s">
        <v>44</v>
      </c>
      <c r="U290" t="s">
        <v>33</v>
      </c>
      <c r="V290" t="s">
        <v>32</v>
      </c>
      <c r="X290">
        <v>94.46</v>
      </c>
      <c r="Y290">
        <v>41.08</v>
      </c>
      <c r="AE290">
        <v>35.380000000000003</v>
      </c>
      <c r="AH290">
        <v>18</v>
      </c>
    </row>
    <row r="291" spans="1:34" x14ac:dyDescent="0.25">
      <c r="A291">
        <v>236</v>
      </c>
      <c r="B291" t="s">
        <v>742</v>
      </c>
      <c r="C291">
        <v>3</v>
      </c>
      <c r="D291" t="s">
        <v>25</v>
      </c>
      <c r="E291">
        <v>593467270</v>
      </c>
      <c r="F291" t="s">
        <v>743</v>
      </c>
      <c r="G291" t="s">
        <v>742</v>
      </c>
      <c r="H291" t="s">
        <v>744</v>
      </c>
      <c r="I291" t="s">
        <v>745</v>
      </c>
      <c r="J291" t="s">
        <v>374</v>
      </c>
      <c r="K291" t="s">
        <v>172</v>
      </c>
      <c r="L291">
        <v>42</v>
      </c>
      <c r="M291" t="s">
        <v>367</v>
      </c>
      <c r="O291" t="s">
        <v>29</v>
      </c>
      <c r="P291" t="s">
        <v>29</v>
      </c>
      <c r="Q291" t="s">
        <v>30</v>
      </c>
      <c r="R291" t="s">
        <v>48</v>
      </c>
      <c r="S291" t="s">
        <v>32</v>
      </c>
      <c r="T291" t="s">
        <v>33</v>
      </c>
      <c r="U291" t="s">
        <v>33</v>
      </c>
      <c r="V291" t="s">
        <v>44</v>
      </c>
      <c r="X291">
        <v>126.32</v>
      </c>
      <c r="Y291">
        <v>40.729999999999997</v>
      </c>
      <c r="AE291">
        <v>48.7</v>
      </c>
      <c r="AH291">
        <v>36.89</v>
      </c>
    </row>
    <row r="292" spans="1:34" x14ac:dyDescent="0.25">
      <c r="A292">
        <v>237</v>
      </c>
      <c r="B292" t="s">
        <v>746</v>
      </c>
      <c r="C292">
        <v>3</v>
      </c>
      <c r="D292" t="s">
        <v>25</v>
      </c>
      <c r="E292">
        <v>1469159299</v>
      </c>
      <c r="F292" t="s">
        <v>747</v>
      </c>
      <c r="G292" t="s">
        <v>746</v>
      </c>
      <c r="H292" t="s">
        <v>748</v>
      </c>
      <c r="I292" t="s">
        <v>374</v>
      </c>
      <c r="J292" t="s">
        <v>374</v>
      </c>
      <c r="O292" t="s">
        <v>48</v>
      </c>
      <c r="P292" t="s">
        <v>30</v>
      </c>
      <c r="Q292" t="s">
        <v>48</v>
      </c>
      <c r="R292" t="s">
        <v>48</v>
      </c>
      <c r="S292" t="s">
        <v>31</v>
      </c>
      <c r="T292" t="s">
        <v>31</v>
      </c>
      <c r="U292" t="s">
        <v>33</v>
      </c>
      <c r="V292" t="s">
        <v>44</v>
      </c>
      <c r="X292">
        <v>74.38</v>
      </c>
      <c r="Y292">
        <v>11.11</v>
      </c>
      <c r="AE292">
        <v>40.93</v>
      </c>
      <c r="AH292">
        <v>22.34</v>
      </c>
    </row>
    <row r="293" spans="1:34" x14ac:dyDescent="0.25">
      <c r="A293">
        <v>241</v>
      </c>
      <c r="B293" t="s">
        <v>749</v>
      </c>
      <c r="C293">
        <v>3</v>
      </c>
      <c r="D293" t="s">
        <v>25</v>
      </c>
      <c r="E293">
        <v>71657686</v>
      </c>
      <c r="F293" t="s">
        <v>750</v>
      </c>
      <c r="G293" t="s">
        <v>749</v>
      </c>
      <c r="H293" t="s">
        <v>751</v>
      </c>
      <c r="I293" t="s">
        <v>752</v>
      </c>
      <c r="J293" t="s">
        <v>374</v>
      </c>
      <c r="K293" t="s">
        <v>172</v>
      </c>
      <c r="L293">
        <v>31</v>
      </c>
      <c r="M293" t="s">
        <v>367</v>
      </c>
      <c r="O293" t="s">
        <v>30</v>
      </c>
      <c r="P293" t="s">
        <v>48</v>
      </c>
      <c r="Q293" t="s">
        <v>30</v>
      </c>
      <c r="R293" t="s">
        <v>30</v>
      </c>
      <c r="S293" t="s">
        <v>33</v>
      </c>
      <c r="T293" t="s">
        <v>33</v>
      </c>
      <c r="U293" t="s">
        <v>31</v>
      </c>
      <c r="V293" t="s">
        <v>44</v>
      </c>
      <c r="X293">
        <v>119.71</v>
      </c>
      <c r="Y293">
        <v>39.79</v>
      </c>
      <c r="AE293">
        <v>51.89</v>
      </c>
      <c r="AH293">
        <v>28.03</v>
      </c>
    </row>
    <row r="294" spans="1:34" x14ac:dyDescent="0.25">
      <c r="A294">
        <v>242</v>
      </c>
      <c r="B294" t="s">
        <v>753</v>
      </c>
      <c r="C294">
        <v>3</v>
      </c>
      <c r="D294" t="s">
        <v>25</v>
      </c>
      <c r="E294">
        <v>1776004539</v>
      </c>
      <c r="F294" t="s">
        <v>754</v>
      </c>
      <c r="G294" t="s">
        <v>753</v>
      </c>
      <c r="H294" t="s">
        <v>755</v>
      </c>
      <c r="I294" t="s">
        <v>756</v>
      </c>
      <c r="J294" t="s">
        <v>374</v>
      </c>
      <c r="K294" t="s">
        <v>172</v>
      </c>
      <c r="L294">
        <v>39</v>
      </c>
      <c r="M294" t="s">
        <v>367</v>
      </c>
      <c r="O294" t="s">
        <v>30</v>
      </c>
      <c r="P294" t="s">
        <v>29</v>
      </c>
      <c r="Q294" t="s">
        <v>29</v>
      </c>
      <c r="R294" t="s">
        <v>29</v>
      </c>
      <c r="S294" t="s">
        <v>32</v>
      </c>
      <c r="T294" t="s">
        <v>33</v>
      </c>
      <c r="U294" t="s">
        <v>33</v>
      </c>
      <c r="V294" t="s">
        <v>44</v>
      </c>
      <c r="X294">
        <v>90.59</v>
      </c>
      <c r="Y294">
        <v>39.15</v>
      </c>
      <c r="AE294">
        <v>37.869999999999997</v>
      </c>
      <c r="AH294">
        <v>13.57</v>
      </c>
    </row>
    <row r="295" spans="1:34" x14ac:dyDescent="0.25">
      <c r="A295">
        <v>243</v>
      </c>
      <c r="B295" t="s">
        <v>757</v>
      </c>
      <c r="C295">
        <v>3</v>
      </c>
      <c r="D295" t="s">
        <v>25</v>
      </c>
      <c r="E295">
        <v>268896759</v>
      </c>
      <c r="F295" t="s">
        <v>758</v>
      </c>
      <c r="G295" t="s">
        <v>757</v>
      </c>
      <c r="H295" t="s">
        <v>759</v>
      </c>
      <c r="I295" t="s">
        <v>760</v>
      </c>
      <c r="J295" t="s">
        <v>374</v>
      </c>
      <c r="K295" t="s">
        <v>172</v>
      </c>
      <c r="L295">
        <v>22</v>
      </c>
      <c r="M295" t="s">
        <v>367</v>
      </c>
      <c r="N295" t="s">
        <v>177</v>
      </c>
      <c r="O295" t="s">
        <v>30</v>
      </c>
      <c r="P295" t="s">
        <v>30</v>
      </c>
      <c r="Q295" t="s">
        <v>48</v>
      </c>
      <c r="R295" t="s">
        <v>30</v>
      </c>
      <c r="S295" t="s">
        <v>33</v>
      </c>
      <c r="T295" t="s">
        <v>31</v>
      </c>
      <c r="U295" t="s">
        <v>44</v>
      </c>
      <c r="V295" t="s">
        <v>33</v>
      </c>
      <c r="X295">
        <v>114.83</v>
      </c>
      <c r="Y295">
        <v>47.65</v>
      </c>
      <c r="AE295">
        <v>40.93</v>
      </c>
      <c r="AH295">
        <v>26.25</v>
      </c>
    </row>
    <row r="296" spans="1:34" x14ac:dyDescent="0.25">
      <c r="A296">
        <v>244</v>
      </c>
      <c r="B296" t="s">
        <v>761</v>
      </c>
      <c r="C296">
        <v>3</v>
      </c>
      <c r="D296" t="s">
        <v>25</v>
      </c>
      <c r="E296">
        <v>1950126948</v>
      </c>
      <c r="F296" t="s">
        <v>762</v>
      </c>
      <c r="G296" t="s">
        <v>761</v>
      </c>
      <c r="H296" t="s">
        <v>763</v>
      </c>
      <c r="I296" t="s">
        <v>374</v>
      </c>
      <c r="J296" t="s">
        <v>374</v>
      </c>
      <c r="K296" t="s">
        <v>172</v>
      </c>
      <c r="L296">
        <v>30</v>
      </c>
      <c r="M296" t="s">
        <v>367</v>
      </c>
      <c r="O296" t="s">
        <v>29</v>
      </c>
      <c r="P296" t="s">
        <v>29</v>
      </c>
      <c r="Q296" t="s">
        <v>30</v>
      </c>
      <c r="R296" t="s">
        <v>48</v>
      </c>
      <c r="S296" t="s">
        <v>32</v>
      </c>
      <c r="T296" t="s">
        <v>33</v>
      </c>
      <c r="U296" t="s">
        <v>33</v>
      </c>
      <c r="V296" t="s">
        <v>44</v>
      </c>
      <c r="X296">
        <v>206.13</v>
      </c>
      <c r="Y296">
        <v>122.45</v>
      </c>
      <c r="AE296">
        <v>58.79</v>
      </c>
      <c r="AH296">
        <v>24.89</v>
      </c>
    </row>
    <row r="297" spans="1:34" x14ac:dyDescent="0.25">
      <c r="A297">
        <v>245</v>
      </c>
      <c r="B297" t="s">
        <v>764</v>
      </c>
      <c r="C297">
        <v>3</v>
      </c>
      <c r="D297" t="s">
        <v>25</v>
      </c>
      <c r="E297">
        <v>143819625</v>
      </c>
      <c r="F297" t="s">
        <v>765</v>
      </c>
      <c r="G297" t="s">
        <v>764</v>
      </c>
      <c r="H297" t="s">
        <v>763</v>
      </c>
      <c r="I297" t="s">
        <v>766</v>
      </c>
      <c r="J297" t="s">
        <v>374</v>
      </c>
      <c r="K297" t="s">
        <v>172</v>
      </c>
      <c r="L297">
        <v>31</v>
      </c>
      <c r="N297" t="s">
        <v>181</v>
      </c>
      <c r="O297" t="s">
        <v>29</v>
      </c>
      <c r="P297" t="s">
        <v>30</v>
      </c>
      <c r="Q297" t="s">
        <v>30</v>
      </c>
      <c r="R297" t="s">
        <v>29</v>
      </c>
      <c r="S297" t="s">
        <v>33</v>
      </c>
      <c r="T297" t="s">
        <v>33</v>
      </c>
      <c r="U297" t="s">
        <v>44</v>
      </c>
      <c r="V297" t="s">
        <v>33</v>
      </c>
      <c r="X297">
        <v>151.88</v>
      </c>
      <c r="Y297">
        <v>59.93</v>
      </c>
      <c r="AE297">
        <v>72.709999999999994</v>
      </c>
      <c r="AH297">
        <v>19.239999999999998</v>
      </c>
    </row>
    <row r="298" spans="1:34" x14ac:dyDescent="0.25">
      <c r="J298" t="s">
        <v>374</v>
      </c>
      <c r="K298" t="s">
        <v>172</v>
      </c>
      <c r="L298">
        <v>36</v>
      </c>
      <c r="M298" t="s">
        <v>367</v>
      </c>
      <c r="N298" t="s">
        <v>177</v>
      </c>
      <c r="O298" t="s">
        <v>29</v>
      </c>
      <c r="P298" t="s">
        <v>29</v>
      </c>
      <c r="Q298" t="s">
        <v>29</v>
      </c>
      <c r="R298" t="s">
        <v>48</v>
      </c>
      <c r="S298" t="s">
        <v>32</v>
      </c>
      <c r="T298" t="s">
        <v>33</v>
      </c>
      <c r="U298" t="s">
        <v>33</v>
      </c>
      <c r="V298" t="s">
        <v>44</v>
      </c>
      <c r="X298">
        <v>182.11</v>
      </c>
      <c r="Y298">
        <v>49.4</v>
      </c>
      <c r="AE298">
        <v>83.37</v>
      </c>
      <c r="AH298">
        <v>49.34</v>
      </c>
    </row>
    <row r="299" spans="1:34" x14ac:dyDescent="0.25">
      <c r="J299" t="s">
        <v>374</v>
      </c>
      <c r="K299" t="s">
        <v>172</v>
      </c>
      <c r="L299">
        <v>19</v>
      </c>
      <c r="M299" t="s">
        <v>367</v>
      </c>
      <c r="O299" t="s">
        <v>29</v>
      </c>
      <c r="P299" t="s">
        <v>29</v>
      </c>
      <c r="Q299" t="s">
        <v>29</v>
      </c>
      <c r="R299" t="s">
        <v>30</v>
      </c>
      <c r="S299" t="s">
        <v>33</v>
      </c>
      <c r="T299" t="s">
        <v>31</v>
      </c>
      <c r="U299" t="s">
        <v>32</v>
      </c>
      <c r="V299" t="s">
        <v>33</v>
      </c>
      <c r="X299">
        <v>112.62</v>
      </c>
      <c r="Y299">
        <v>31.6</v>
      </c>
      <c r="AE299">
        <v>47.87</v>
      </c>
      <c r="AH299">
        <v>33.15</v>
      </c>
    </row>
    <row r="300" spans="1:34" x14ac:dyDescent="0.25">
      <c r="J300" t="s">
        <v>374</v>
      </c>
      <c r="K300" t="s">
        <v>172</v>
      </c>
      <c r="L300">
        <v>32</v>
      </c>
      <c r="M300" t="s">
        <v>367</v>
      </c>
      <c r="N300" t="s">
        <v>173</v>
      </c>
      <c r="O300" t="s">
        <v>29</v>
      </c>
      <c r="P300" t="s">
        <v>29</v>
      </c>
      <c r="Q300" t="s">
        <v>30</v>
      </c>
      <c r="R300" t="s">
        <v>29</v>
      </c>
      <c r="S300" t="s">
        <v>33</v>
      </c>
      <c r="T300" t="s">
        <v>31</v>
      </c>
      <c r="U300" t="s">
        <v>44</v>
      </c>
      <c r="V300" t="s">
        <v>33</v>
      </c>
      <c r="X300">
        <v>175.37</v>
      </c>
      <c r="Y300">
        <v>60.88</v>
      </c>
      <c r="AE300">
        <v>51.32</v>
      </c>
      <c r="AH300">
        <v>63.17</v>
      </c>
    </row>
    <row r="301" spans="1:34" x14ac:dyDescent="0.25">
      <c r="J301" t="s">
        <v>374</v>
      </c>
      <c r="K301" t="s">
        <v>172</v>
      </c>
      <c r="L301">
        <v>43</v>
      </c>
      <c r="M301" t="s">
        <v>367</v>
      </c>
      <c r="O301" t="s">
        <v>29</v>
      </c>
      <c r="P301" t="s">
        <v>29</v>
      </c>
      <c r="Q301" t="s">
        <v>29</v>
      </c>
      <c r="R301" t="s">
        <v>29</v>
      </c>
      <c r="S301" t="s">
        <v>44</v>
      </c>
      <c r="T301" t="s">
        <v>44</v>
      </c>
      <c r="U301" t="s">
        <v>33</v>
      </c>
      <c r="V301" t="s">
        <v>33</v>
      </c>
      <c r="X301">
        <v>199.28</v>
      </c>
      <c r="Y301">
        <v>82.74</v>
      </c>
      <c r="AE301">
        <v>75.45</v>
      </c>
      <c r="AH301">
        <v>41.09</v>
      </c>
    </row>
    <row r="302" spans="1:34" ht="13" x14ac:dyDescent="0.3">
      <c r="F302" s="14" t="s">
        <v>767</v>
      </c>
      <c r="J302" t="s">
        <v>374</v>
      </c>
      <c r="K302" t="s">
        <v>172</v>
      </c>
      <c r="L302">
        <v>29</v>
      </c>
      <c r="M302" t="s">
        <v>367</v>
      </c>
      <c r="N302" t="s">
        <v>173</v>
      </c>
      <c r="O302" t="s">
        <v>30</v>
      </c>
      <c r="P302" t="s">
        <v>29</v>
      </c>
      <c r="Q302" t="s">
        <v>29</v>
      </c>
      <c r="R302" t="s">
        <v>30</v>
      </c>
      <c r="S302" t="s">
        <v>33</v>
      </c>
      <c r="T302" t="s">
        <v>33</v>
      </c>
      <c r="U302" t="s">
        <v>32</v>
      </c>
      <c r="V302" t="s">
        <v>32</v>
      </c>
      <c r="X302">
        <v>102.68</v>
      </c>
      <c r="Y302">
        <v>36.729999999999997</v>
      </c>
      <c r="AE302">
        <v>39.39</v>
      </c>
      <c r="AH302">
        <v>26.56</v>
      </c>
    </row>
    <row r="303" spans="1:34" x14ac:dyDescent="0.25">
      <c r="J303" t="s">
        <v>374</v>
      </c>
      <c r="K303" t="s">
        <v>172</v>
      </c>
      <c r="L303">
        <v>35</v>
      </c>
      <c r="M303" t="s">
        <v>367</v>
      </c>
      <c r="O303" t="s">
        <v>30</v>
      </c>
      <c r="P303" t="s">
        <v>48</v>
      </c>
      <c r="Q303" t="s">
        <v>30</v>
      </c>
      <c r="R303" t="s">
        <v>30</v>
      </c>
      <c r="S303" t="s">
        <v>33</v>
      </c>
      <c r="T303" t="s">
        <v>33</v>
      </c>
      <c r="U303" t="s">
        <v>31</v>
      </c>
      <c r="V303" t="s">
        <v>44</v>
      </c>
      <c r="X303">
        <v>119.71</v>
      </c>
      <c r="Y303">
        <v>39.79</v>
      </c>
      <c r="AE303">
        <v>51.89</v>
      </c>
      <c r="AH303">
        <v>28.03</v>
      </c>
    </row>
    <row r="304" spans="1:34" x14ac:dyDescent="0.25">
      <c r="J304" t="s">
        <v>374</v>
      </c>
      <c r="K304" t="s">
        <v>172</v>
      </c>
      <c r="L304">
        <v>55</v>
      </c>
      <c r="M304" t="s">
        <v>367</v>
      </c>
      <c r="O304" t="s">
        <v>29</v>
      </c>
      <c r="P304" t="s">
        <v>29</v>
      </c>
      <c r="Q304" t="s">
        <v>29</v>
      </c>
      <c r="R304" t="s">
        <v>29</v>
      </c>
      <c r="S304" t="s">
        <v>32</v>
      </c>
      <c r="T304" t="s">
        <v>44</v>
      </c>
      <c r="U304" t="s">
        <v>44</v>
      </c>
      <c r="V304" t="s">
        <v>31</v>
      </c>
      <c r="X304">
        <v>273.66000000000003</v>
      </c>
      <c r="Y304">
        <v>80.27</v>
      </c>
      <c r="AE304">
        <v>65.040000000000006</v>
      </c>
      <c r="AH304">
        <v>128.35</v>
      </c>
    </row>
    <row r="305" spans="8:34" x14ac:dyDescent="0.25">
      <c r="J305" t="s">
        <v>374</v>
      </c>
      <c r="K305" t="s">
        <v>172</v>
      </c>
      <c r="L305">
        <v>37</v>
      </c>
      <c r="M305" t="s">
        <v>367</v>
      </c>
      <c r="O305" t="s">
        <v>29</v>
      </c>
      <c r="P305" t="s">
        <v>29</v>
      </c>
      <c r="Q305" t="s">
        <v>29</v>
      </c>
      <c r="R305" t="s">
        <v>29</v>
      </c>
      <c r="S305" t="s">
        <v>44</v>
      </c>
      <c r="T305" t="s">
        <v>33</v>
      </c>
      <c r="U305" t="s">
        <v>33</v>
      </c>
      <c r="V305" t="s">
        <v>33</v>
      </c>
      <c r="X305">
        <v>97.21</v>
      </c>
      <c r="Y305">
        <v>38.96</v>
      </c>
      <c r="AE305">
        <v>37.53</v>
      </c>
      <c r="AH305">
        <v>20.72</v>
      </c>
    </row>
    <row r="306" spans="8:34" x14ac:dyDescent="0.25">
      <c r="J306" t="s">
        <v>374</v>
      </c>
      <c r="K306" t="s">
        <v>172</v>
      </c>
      <c r="L306">
        <v>21</v>
      </c>
      <c r="M306" t="s">
        <v>367</v>
      </c>
      <c r="O306" t="s">
        <v>30</v>
      </c>
      <c r="P306" t="s">
        <v>29</v>
      </c>
      <c r="Q306" t="s">
        <v>29</v>
      </c>
      <c r="R306" t="s">
        <v>29</v>
      </c>
      <c r="S306" t="s">
        <v>32</v>
      </c>
      <c r="T306" t="s">
        <v>33</v>
      </c>
      <c r="U306" t="s">
        <v>33</v>
      </c>
      <c r="V306" t="s">
        <v>44</v>
      </c>
      <c r="X306">
        <v>90.59</v>
      </c>
      <c r="Y306">
        <v>39.15</v>
      </c>
      <c r="AE306">
        <v>37.869999999999997</v>
      </c>
      <c r="AH306">
        <v>13.57</v>
      </c>
    </row>
    <row r="307" spans="8:34" x14ac:dyDescent="0.25">
      <c r="J307" t="s">
        <v>374</v>
      </c>
      <c r="K307" t="s">
        <v>172</v>
      </c>
      <c r="L307">
        <v>22</v>
      </c>
      <c r="M307" t="s">
        <v>367</v>
      </c>
      <c r="N307" t="s">
        <v>177</v>
      </c>
      <c r="O307" t="s">
        <v>30</v>
      </c>
      <c r="P307" t="s">
        <v>30</v>
      </c>
      <c r="Q307" t="s">
        <v>48</v>
      </c>
      <c r="R307" t="s">
        <v>30</v>
      </c>
      <c r="S307" t="s">
        <v>33</v>
      </c>
      <c r="T307" t="s">
        <v>31</v>
      </c>
      <c r="U307" t="s">
        <v>44</v>
      </c>
      <c r="V307" t="s">
        <v>33</v>
      </c>
      <c r="X307">
        <v>114.83</v>
      </c>
      <c r="Y307">
        <v>47.65</v>
      </c>
      <c r="AE307">
        <v>40.93</v>
      </c>
      <c r="AH307">
        <v>26.25</v>
      </c>
    </row>
    <row r="308" spans="8:34" x14ac:dyDescent="0.25">
      <c r="J308" t="s">
        <v>374</v>
      </c>
      <c r="K308" t="s">
        <v>172</v>
      </c>
      <c r="L308">
        <v>58</v>
      </c>
      <c r="M308" t="s">
        <v>367</v>
      </c>
      <c r="O308" t="s">
        <v>29</v>
      </c>
      <c r="P308" t="s">
        <v>29</v>
      </c>
      <c r="Q308" t="s">
        <v>29</v>
      </c>
      <c r="R308" t="s">
        <v>29</v>
      </c>
      <c r="S308" t="s">
        <v>44</v>
      </c>
      <c r="T308" t="s">
        <v>33</v>
      </c>
      <c r="U308" t="s">
        <v>33</v>
      </c>
      <c r="V308" t="s">
        <v>33</v>
      </c>
      <c r="X308">
        <v>168.8</v>
      </c>
      <c r="Y308">
        <v>85.2</v>
      </c>
      <c r="AE308">
        <v>42.41</v>
      </c>
      <c r="AH308">
        <v>41.19</v>
      </c>
    </row>
    <row r="309" spans="8:34" x14ac:dyDescent="0.25">
      <c r="J309" t="s">
        <v>374</v>
      </c>
      <c r="K309" t="s">
        <v>172</v>
      </c>
      <c r="L309">
        <v>29</v>
      </c>
      <c r="M309" t="s">
        <v>367</v>
      </c>
      <c r="O309" t="s">
        <v>29</v>
      </c>
      <c r="P309" t="s">
        <v>29</v>
      </c>
      <c r="Q309" t="s">
        <v>29</v>
      </c>
      <c r="R309" t="s">
        <v>29</v>
      </c>
      <c r="S309" t="s">
        <v>33</v>
      </c>
      <c r="T309" t="s">
        <v>31</v>
      </c>
      <c r="U309" t="s">
        <v>44</v>
      </c>
      <c r="V309" t="s">
        <v>33</v>
      </c>
      <c r="X309">
        <v>144.75</v>
      </c>
      <c r="Y309">
        <v>78.150000000000006</v>
      </c>
      <c r="AE309">
        <v>33.14</v>
      </c>
      <c r="AH309">
        <v>33.46</v>
      </c>
    </row>
    <row r="310" spans="8:34" ht="13" x14ac:dyDescent="0.3">
      <c r="H310" s="6"/>
    </row>
    <row r="311" spans="8:34" ht="13" x14ac:dyDescent="0.3">
      <c r="H311" s="6"/>
    </row>
    <row r="312" spans="8:34" ht="13" x14ac:dyDescent="0.3">
      <c r="H312" s="6"/>
    </row>
    <row r="313" spans="8:34" ht="13" x14ac:dyDescent="0.3">
      <c r="H313" s="6"/>
    </row>
    <row r="314" spans="8:34" ht="13" x14ac:dyDescent="0.3">
      <c r="H314" s="6"/>
    </row>
    <row r="315" spans="8:34" ht="13" x14ac:dyDescent="0.3">
      <c r="H315" s="6"/>
    </row>
    <row r="316" spans="8:34" ht="13" x14ac:dyDescent="0.3">
      <c r="I316" s="6"/>
      <c r="J316" s="9"/>
      <c r="K316" s="6"/>
      <c r="L316" s="6"/>
      <c r="M316" s="6"/>
      <c r="N316" s="6"/>
      <c r="O316" s="7"/>
    </row>
    <row r="323" spans="9:11" ht="13" x14ac:dyDescent="0.3">
      <c r="I323" s="6"/>
    </row>
    <row r="327" spans="9:11" x14ac:dyDescent="0.25">
      <c r="I327" s="11"/>
      <c r="J327" s="11"/>
      <c r="K327" s="11"/>
    </row>
  </sheetData>
  <sortState xmlns:xlrd2="http://schemas.microsoft.com/office/spreadsheetml/2017/richdata2" ref="M2:V44">
    <sortCondition ref="M2:M44"/>
  </sortState>
  <mergeCells count="1">
    <mergeCell ref="A2:AF2"/>
  </mergeCells>
  <phoneticPr fontId="2" type="noConversion"/>
  <pageMargins left="0.5" right="0.5" top="1" bottom="1" header="0.5" footer="0.5"/>
  <pageSetup paperSize="9" orientation="portrait" useFirstPageNumber="1"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Grundlagendaten</vt:lpstr>
      <vt:lpstr>Umfrage zu Spieleigenschaften 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Pöhler, Paul</dc:creator>
  <dc:description/>
  <cp:lastModifiedBy>Hans-Georg Schön</cp:lastModifiedBy>
  <cp:revision>0</cp:revision>
  <dcterms:created xsi:type="dcterms:W3CDTF">2022-06-01T10:58:00Z</dcterms:created>
  <dcterms:modified xsi:type="dcterms:W3CDTF">2025-11-18T10:27:16Z</dcterms:modified>
</cp:coreProperties>
</file>