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2BF318FC-FFAF-44E5-8CCB-2D8D6BEF34C3}" xr6:coauthVersionLast="47" xr6:coauthVersionMax="47" xr10:uidLastSave="{00000000-0000-0000-0000-000000000000}"/>
  <bookViews>
    <workbookView xWindow="-110" yWindow="-110" windowWidth="19420" windowHeight="10300" firstSheet="1" activeTab="2" xr2:uid="{9DB67F4F-1131-49BA-A6FF-BB72AE058062}"/>
  </bookViews>
  <sheets>
    <sheet name="Krankheitsbefall_Note" sheetId="15" r:id="rId1"/>
    <sheet name="Krankheitsbefall_%" sheetId="16" r:id="rId2"/>
    <sheet name="Bodendeckung_Rahmen" sheetId="13" r:id="rId3"/>
    <sheet name="Bodendeckung_Sigma" sheetId="14" r:id="rId4"/>
    <sheet name="Rasennarbe_Qualität" sheetId="12" r:id="rId5"/>
    <sheet name="Rasennarbe_Dichte" sheetId="11" r:id="rId6"/>
    <sheet name="Rasennarbe_Farbe" sheetId="18" r:id="rId7"/>
    <sheet name="Rasennarbe_NDVI" sheetId="9" r:id="rId8"/>
    <sheet name="Bemerkungen" sheetId="19" r:id="rId9"/>
  </sheets>
  <definedNames>
    <definedName name="_xlchart.v1.0" hidden="1">Rasennarbe_Qualität!$G$3</definedName>
    <definedName name="_xlchart.v1.1" hidden="1">Rasennarbe_Qualität!$G$4:$G$16</definedName>
    <definedName name="_xlchart.v1.10" hidden="1">Rasennarbe_Qualität!$L$3</definedName>
    <definedName name="_xlchart.v1.11" hidden="1">Rasennarbe_Qualität!$L$4:$L$16</definedName>
    <definedName name="_xlchart.v1.2" hidden="1">Rasennarbe_Qualität!$H$3</definedName>
    <definedName name="_xlchart.v1.3" hidden="1">Rasennarbe_Qualität!$H$4:$H$16</definedName>
    <definedName name="_xlchart.v1.4" hidden="1">Rasennarbe_Qualität!$I$3</definedName>
    <definedName name="_xlchart.v1.5" hidden="1">Rasennarbe_Qualität!$I$4:$I$16</definedName>
    <definedName name="_xlchart.v1.6" hidden="1">Rasennarbe_Qualität!$J$3</definedName>
    <definedName name="_xlchart.v1.7" hidden="1">Rasennarbe_Qualität!$J$4:$J$16</definedName>
    <definedName name="_xlchart.v1.8" hidden="1">Rasennarbe_Qualität!$K$3</definedName>
    <definedName name="_xlchart.v1.9" hidden="1">Rasennarbe_Qualität!$K$4:$K$16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5" i="11" l="1"/>
  <c r="AC15" i="11"/>
  <c r="AB15" i="11"/>
  <c r="AA15" i="11"/>
  <c r="Z15" i="11"/>
  <c r="Y15" i="11"/>
  <c r="L16" i="14"/>
  <c r="K16" i="14"/>
  <c r="J16" i="14"/>
  <c r="I16" i="14"/>
  <c r="H16" i="14"/>
  <c r="G16" i="14"/>
  <c r="L15" i="11"/>
  <c r="K15" i="11"/>
  <c r="J15" i="11"/>
  <c r="I15" i="11"/>
  <c r="H15" i="11"/>
  <c r="G15" i="11"/>
  <c r="L16" i="18"/>
  <c r="K16" i="18"/>
  <c r="J16" i="18"/>
  <c r="I16" i="18"/>
  <c r="H16" i="18"/>
  <c r="G16" i="18"/>
  <c r="L15" i="9"/>
  <c r="K15" i="9"/>
  <c r="J15" i="9"/>
  <c r="I15" i="9"/>
  <c r="H15" i="9"/>
  <c r="G15" i="9"/>
  <c r="L16" i="12"/>
  <c r="K16" i="12"/>
  <c r="J16" i="12"/>
  <c r="I16" i="12"/>
  <c r="H16" i="12"/>
  <c r="G16" i="12"/>
  <c r="L16" i="15"/>
  <c r="K16" i="15"/>
  <c r="J16" i="15"/>
  <c r="I16" i="15"/>
  <c r="H16" i="15"/>
  <c r="G16" i="15"/>
  <c r="L16" i="13"/>
  <c r="K16" i="13"/>
  <c r="J16" i="13"/>
  <c r="I16" i="13"/>
  <c r="H16" i="13"/>
  <c r="G16" i="13"/>
  <c r="L15" i="13"/>
  <c r="K15" i="13"/>
  <c r="J15" i="13"/>
  <c r="I15" i="13"/>
  <c r="H15" i="13"/>
  <c r="G15" i="13"/>
  <c r="L16" i="16"/>
  <c r="K16" i="16"/>
  <c r="J16" i="16"/>
  <c r="I16" i="16"/>
  <c r="H16" i="16"/>
  <c r="G16" i="16"/>
  <c r="AD14" i="11"/>
  <c r="AC14" i="11"/>
  <c r="AB14" i="11"/>
  <c r="AA14" i="11"/>
  <c r="Z14" i="11"/>
  <c r="Y14" i="11"/>
  <c r="L15" i="14"/>
  <c r="K15" i="14"/>
  <c r="J15" i="14"/>
  <c r="I15" i="14"/>
  <c r="H15" i="14"/>
  <c r="G15" i="14"/>
  <c r="AD13" i="11"/>
  <c r="AC13" i="11"/>
  <c r="AB13" i="11"/>
  <c r="AA13" i="11"/>
  <c r="Z13" i="11"/>
  <c r="Y13" i="11"/>
  <c r="AD12" i="11"/>
  <c r="AC12" i="11"/>
  <c r="AB12" i="11"/>
  <c r="AA12" i="11"/>
  <c r="Z12" i="11"/>
  <c r="Y12" i="11"/>
  <c r="AD11" i="11"/>
  <c r="AC11" i="11"/>
  <c r="AB11" i="11"/>
  <c r="AA11" i="11"/>
  <c r="Z11" i="11"/>
  <c r="Y11" i="11"/>
  <c r="L15" i="18"/>
  <c r="K15" i="18"/>
  <c r="J15" i="18"/>
  <c r="I15" i="18"/>
  <c r="H15" i="18"/>
  <c r="G15" i="18"/>
  <c r="L14" i="11"/>
  <c r="K14" i="11"/>
  <c r="J14" i="11"/>
  <c r="I14" i="11"/>
  <c r="H14" i="11"/>
  <c r="G14" i="11"/>
  <c r="L14" i="9"/>
  <c r="K14" i="9"/>
  <c r="J14" i="9"/>
  <c r="I14" i="9"/>
  <c r="H14" i="9"/>
  <c r="G14" i="9"/>
  <c r="L15" i="12"/>
  <c r="K15" i="12"/>
  <c r="J15" i="12"/>
  <c r="I15" i="12"/>
  <c r="H15" i="12"/>
  <c r="G15" i="12"/>
  <c r="L15" i="15"/>
  <c r="K15" i="15"/>
  <c r="J15" i="15"/>
  <c r="I15" i="15"/>
  <c r="H15" i="15"/>
  <c r="G15" i="15"/>
  <c r="L15" i="16"/>
  <c r="K15" i="16"/>
  <c r="J15" i="16"/>
  <c r="I15" i="16"/>
  <c r="H15" i="16"/>
  <c r="G15" i="16"/>
  <c r="L14" i="18"/>
  <c r="K14" i="18"/>
  <c r="J14" i="18"/>
  <c r="I14" i="18"/>
  <c r="H14" i="18"/>
  <c r="G14" i="18"/>
  <c r="L13" i="11"/>
  <c r="K13" i="11"/>
  <c r="J13" i="11"/>
  <c r="I13" i="11"/>
  <c r="H13" i="11"/>
  <c r="G13" i="11"/>
  <c r="L13" i="9"/>
  <c r="K13" i="9"/>
  <c r="J13" i="9"/>
  <c r="I13" i="9"/>
  <c r="H13" i="9"/>
  <c r="G13" i="9"/>
  <c r="L14" i="15"/>
  <c r="K14" i="15"/>
  <c r="J14" i="15"/>
  <c r="I14" i="15"/>
  <c r="H14" i="15"/>
  <c r="G14" i="15"/>
  <c r="L14" i="12"/>
  <c r="K14" i="12"/>
  <c r="J14" i="12"/>
  <c r="I14" i="12"/>
  <c r="H14" i="12"/>
  <c r="G14" i="12"/>
  <c r="G13" i="12"/>
  <c r="L14" i="14"/>
  <c r="K14" i="14"/>
  <c r="J14" i="14"/>
  <c r="I14" i="14"/>
  <c r="H14" i="14"/>
  <c r="G14" i="14"/>
  <c r="L14" i="13"/>
  <c r="K14" i="13"/>
  <c r="J14" i="13"/>
  <c r="I14" i="13"/>
  <c r="H14" i="13"/>
  <c r="G14" i="13"/>
  <c r="L14" i="16"/>
  <c r="K14" i="16"/>
  <c r="J14" i="16"/>
  <c r="I14" i="16"/>
  <c r="H14" i="16"/>
  <c r="G14" i="16"/>
  <c r="G11" i="9"/>
  <c r="H11" i="9"/>
  <c r="I11" i="9"/>
  <c r="J11" i="9"/>
  <c r="K11" i="9"/>
  <c r="L11" i="9"/>
  <c r="L13" i="18"/>
  <c r="K13" i="18"/>
  <c r="J13" i="18"/>
  <c r="I13" i="18"/>
  <c r="H13" i="18"/>
  <c r="G13" i="18"/>
  <c r="L12" i="11"/>
  <c r="K12" i="11"/>
  <c r="J12" i="11"/>
  <c r="I12" i="11"/>
  <c r="H12" i="11"/>
  <c r="G12" i="11"/>
  <c r="L12" i="9"/>
  <c r="K12" i="9"/>
  <c r="J12" i="9"/>
  <c r="I12" i="9"/>
  <c r="H12" i="9"/>
  <c r="G12" i="9"/>
  <c r="L13" i="12"/>
  <c r="K13" i="12"/>
  <c r="J13" i="12"/>
  <c r="I13" i="12"/>
  <c r="H13" i="12"/>
  <c r="L13" i="15"/>
  <c r="K13" i="15"/>
  <c r="J13" i="15"/>
  <c r="I13" i="15"/>
  <c r="H13" i="15"/>
  <c r="G13" i="15"/>
  <c r="L13" i="13"/>
  <c r="K13" i="13"/>
  <c r="J13" i="13"/>
  <c r="I13" i="13"/>
  <c r="H13" i="13"/>
  <c r="G13" i="13"/>
  <c r="L13" i="14"/>
  <c r="K13" i="14"/>
  <c r="J13" i="14"/>
  <c r="I13" i="14"/>
  <c r="H13" i="14"/>
  <c r="G13" i="14"/>
  <c r="L13" i="16"/>
  <c r="K13" i="16"/>
  <c r="J13" i="16"/>
  <c r="I13" i="16"/>
  <c r="H13" i="16"/>
  <c r="G13" i="16"/>
  <c r="I111" i="19"/>
  <c r="H111" i="19"/>
  <c r="H110" i="19"/>
  <c r="J110" i="19"/>
  <c r="J111" i="19"/>
  <c r="J108" i="19"/>
  <c r="J109" i="19"/>
  <c r="H109" i="19"/>
  <c r="H105" i="19"/>
  <c r="J105" i="19"/>
  <c r="H107" i="19"/>
  <c r="J107" i="19"/>
  <c r="J106" i="19"/>
  <c r="H106" i="19"/>
  <c r="L12" i="14"/>
  <c r="K12" i="14"/>
  <c r="J12" i="14"/>
  <c r="I12" i="14"/>
  <c r="H12" i="14"/>
  <c r="G12" i="14"/>
  <c r="L12" i="18"/>
  <c r="K12" i="18"/>
  <c r="J12" i="18"/>
  <c r="I12" i="18"/>
  <c r="H12" i="18"/>
  <c r="G12" i="18"/>
  <c r="L12" i="12"/>
  <c r="K12" i="12"/>
  <c r="J12" i="12"/>
  <c r="I12" i="12"/>
  <c r="H12" i="12"/>
  <c r="G12" i="12"/>
  <c r="L12" i="15"/>
  <c r="K12" i="15"/>
  <c r="J12" i="15"/>
  <c r="I12" i="15"/>
  <c r="H12" i="15"/>
  <c r="G12" i="15"/>
  <c r="L12" i="13"/>
  <c r="K12" i="13"/>
  <c r="J12" i="13"/>
  <c r="I12" i="13"/>
  <c r="H12" i="13"/>
  <c r="G12" i="13"/>
  <c r="L12" i="16"/>
  <c r="K12" i="16"/>
  <c r="J12" i="16"/>
  <c r="I12" i="16"/>
  <c r="H12" i="16"/>
  <c r="G12" i="16"/>
  <c r="L11" i="14"/>
  <c r="K11" i="14"/>
  <c r="J11" i="14"/>
  <c r="I11" i="14"/>
  <c r="H11" i="14"/>
  <c r="G11" i="14"/>
  <c r="AD10" i="11"/>
  <c r="AC10" i="11"/>
  <c r="AB10" i="11"/>
  <c r="AA10" i="11"/>
  <c r="Z10" i="11"/>
  <c r="Y10" i="11"/>
  <c r="L11" i="18"/>
  <c r="K11" i="18"/>
  <c r="J11" i="18"/>
  <c r="I11" i="18"/>
  <c r="H11" i="18"/>
  <c r="G11" i="18"/>
  <c r="L11" i="11"/>
  <c r="K11" i="11"/>
  <c r="J11" i="11"/>
  <c r="I11" i="11"/>
  <c r="H11" i="11"/>
  <c r="G11" i="11"/>
  <c r="L11" i="12"/>
  <c r="K11" i="12"/>
  <c r="J11" i="12"/>
  <c r="I11" i="12"/>
  <c r="H11" i="12"/>
  <c r="G11" i="12"/>
  <c r="G11" i="13"/>
  <c r="L11" i="13"/>
  <c r="K11" i="13"/>
  <c r="J11" i="13"/>
  <c r="I11" i="13"/>
  <c r="H11" i="13"/>
  <c r="L11" i="15"/>
  <c r="K11" i="15"/>
  <c r="J11" i="15"/>
  <c r="I11" i="15"/>
  <c r="H11" i="15"/>
  <c r="G11" i="15"/>
  <c r="L11" i="16"/>
  <c r="K11" i="16"/>
  <c r="J11" i="16"/>
  <c r="I11" i="16"/>
  <c r="H11" i="16"/>
  <c r="G11" i="16"/>
  <c r="G10" i="9"/>
  <c r="AD9" i="11"/>
  <c r="AC9" i="11"/>
  <c r="AB9" i="11"/>
  <c r="AA9" i="11"/>
  <c r="Z9" i="11"/>
  <c r="Y9" i="11"/>
  <c r="L10" i="16"/>
  <c r="K10" i="16"/>
  <c r="J10" i="16"/>
  <c r="I10" i="16"/>
  <c r="H10" i="16"/>
  <c r="G10" i="16"/>
  <c r="L10" i="15"/>
  <c r="K10" i="15"/>
  <c r="J10" i="15"/>
  <c r="I10" i="15"/>
  <c r="H10" i="15"/>
  <c r="G10" i="15"/>
  <c r="L10" i="14"/>
  <c r="K10" i="14"/>
  <c r="J10" i="14"/>
  <c r="I10" i="14"/>
  <c r="H10" i="14"/>
  <c r="G10" i="14"/>
  <c r="L10" i="13"/>
  <c r="K10" i="13"/>
  <c r="J10" i="13"/>
  <c r="I10" i="13"/>
  <c r="H10" i="13"/>
  <c r="G10" i="13"/>
  <c r="L10" i="12"/>
  <c r="K10" i="12"/>
  <c r="J10" i="12"/>
  <c r="I10" i="12"/>
  <c r="H10" i="12"/>
  <c r="G10" i="12"/>
  <c r="L10" i="9"/>
  <c r="K10" i="9"/>
  <c r="J10" i="9"/>
  <c r="I10" i="9"/>
  <c r="H10" i="9"/>
  <c r="L10" i="11"/>
  <c r="K10" i="11"/>
  <c r="J10" i="11"/>
  <c r="I10" i="11"/>
  <c r="H10" i="11"/>
  <c r="G10" i="11"/>
  <c r="L10" i="18"/>
  <c r="K10" i="18"/>
  <c r="J10" i="18"/>
  <c r="I10" i="18"/>
  <c r="H10" i="18"/>
  <c r="G10" i="18"/>
  <c r="H8" i="14"/>
  <c r="L9" i="15"/>
  <c r="K9" i="15"/>
  <c r="J9" i="15"/>
  <c r="I9" i="15"/>
  <c r="H9" i="15"/>
  <c r="G9" i="15"/>
  <c r="L9" i="16"/>
  <c r="K9" i="16"/>
  <c r="J9" i="16"/>
  <c r="I9" i="16"/>
  <c r="H9" i="16"/>
  <c r="G9" i="16"/>
  <c r="L9" i="14"/>
  <c r="K9" i="14"/>
  <c r="J9" i="14"/>
  <c r="I9" i="14"/>
  <c r="H9" i="14"/>
  <c r="G9" i="14"/>
  <c r="G9" i="13"/>
  <c r="L9" i="13"/>
  <c r="K9" i="13"/>
  <c r="J9" i="13"/>
  <c r="I9" i="13"/>
  <c r="H9" i="13"/>
  <c r="L9" i="12"/>
  <c r="K9" i="12"/>
  <c r="J9" i="12"/>
  <c r="I9" i="12"/>
  <c r="H9" i="12"/>
  <c r="G9" i="12"/>
  <c r="L9" i="9"/>
  <c r="K9" i="9"/>
  <c r="J9" i="9"/>
  <c r="I9" i="9"/>
  <c r="H9" i="9"/>
  <c r="G9" i="9"/>
  <c r="L9" i="11"/>
  <c r="K9" i="11"/>
  <c r="J9" i="11"/>
  <c r="I9" i="11"/>
  <c r="H9" i="11"/>
  <c r="G9" i="11"/>
  <c r="L9" i="18"/>
  <c r="K9" i="18"/>
  <c r="J9" i="18"/>
  <c r="I9" i="18"/>
  <c r="H9" i="18"/>
  <c r="G9" i="18"/>
  <c r="H8" i="16"/>
  <c r="H8" i="15"/>
  <c r="H8" i="13"/>
  <c r="H8" i="12"/>
  <c r="H8" i="9"/>
  <c r="H8" i="11"/>
  <c r="H8" i="18"/>
  <c r="AD8" i="11"/>
  <c r="AC8" i="11"/>
  <c r="AB8" i="11"/>
  <c r="AA8" i="11"/>
  <c r="Z8" i="11"/>
  <c r="Y8" i="11"/>
  <c r="L8" i="16"/>
  <c r="K8" i="16"/>
  <c r="J8" i="16"/>
  <c r="I8" i="16"/>
  <c r="G8" i="16"/>
  <c r="L8" i="15"/>
  <c r="K8" i="15"/>
  <c r="J8" i="15"/>
  <c r="I8" i="15"/>
  <c r="G8" i="15"/>
  <c r="L8" i="14"/>
  <c r="K8" i="14"/>
  <c r="J8" i="14"/>
  <c r="I8" i="14"/>
  <c r="G8" i="14"/>
  <c r="L8" i="13"/>
  <c r="K8" i="13"/>
  <c r="J8" i="13"/>
  <c r="I8" i="13"/>
  <c r="G8" i="13"/>
  <c r="L8" i="12"/>
  <c r="K8" i="12"/>
  <c r="J8" i="12"/>
  <c r="I8" i="12"/>
  <c r="G8" i="12"/>
  <c r="L8" i="9"/>
  <c r="K8" i="9"/>
  <c r="J8" i="9"/>
  <c r="I8" i="9"/>
  <c r="G8" i="9"/>
  <c r="G8" i="11"/>
  <c r="L8" i="11"/>
  <c r="K8" i="11"/>
  <c r="J8" i="11"/>
  <c r="I8" i="11"/>
  <c r="L8" i="18"/>
  <c r="K8" i="18"/>
  <c r="J8" i="18"/>
  <c r="I8" i="18"/>
  <c r="G8" i="18"/>
  <c r="L7" i="9"/>
  <c r="K7" i="9"/>
  <c r="J7" i="9"/>
  <c r="I7" i="9"/>
  <c r="H7" i="9"/>
  <c r="G7" i="9"/>
  <c r="AD7" i="11"/>
  <c r="AC7" i="11"/>
  <c r="AB7" i="11"/>
  <c r="AA7" i="11"/>
  <c r="Z7" i="11"/>
  <c r="Y7" i="11"/>
  <c r="L7" i="18"/>
  <c r="K7" i="18"/>
  <c r="J7" i="18"/>
  <c r="I7" i="18"/>
  <c r="H7" i="18"/>
  <c r="G7" i="18"/>
  <c r="L7" i="11"/>
  <c r="K7" i="11"/>
  <c r="J7" i="11"/>
  <c r="I7" i="11"/>
  <c r="H7" i="11"/>
  <c r="G7" i="11"/>
  <c r="L7" i="12"/>
  <c r="K7" i="12"/>
  <c r="J7" i="12"/>
  <c r="I7" i="12"/>
  <c r="H7" i="12"/>
  <c r="G7" i="12"/>
  <c r="L7" i="13"/>
  <c r="K7" i="13"/>
  <c r="J7" i="13"/>
  <c r="I7" i="13"/>
  <c r="H7" i="13"/>
  <c r="G7" i="13"/>
  <c r="L7" i="14"/>
  <c r="K7" i="14"/>
  <c r="J7" i="14"/>
  <c r="I7" i="14"/>
  <c r="H7" i="14"/>
  <c r="G7" i="14"/>
  <c r="G7" i="15"/>
  <c r="L7" i="15"/>
  <c r="K7" i="15"/>
  <c r="J7" i="15"/>
  <c r="I7" i="15"/>
  <c r="H7" i="15"/>
  <c r="L7" i="16"/>
  <c r="K7" i="16"/>
  <c r="J7" i="16"/>
  <c r="I7" i="16"/>
  <c r="H7" i="16"/>
  <c r="G7" i="16"/>
  <c r="H5" i="11"/>
  <c r="AD6" i="11"/>
  <c r="AC6" i="11"/>
  <c r="AB6" i="11"/>
  <c r="AA6" i="11"/>
  <c r="Z6" i="11"/>
  <c r="AD5" i="11"/>
  <c r="AC5" i="11"/>
  <c r="AB5" i="11"/>
  <c r="AA5" i="11"/>
  <c r="Z5" i="11"/>
  <c r="Y5" i="11"/>
  <c r="Y6" i="11"/>
  <c r="L6" i="11"/>
  <c r="K6" i="11"/>
  <c r="J6" i="11"/>
  <c r="I6" i="11"/>
  <c r="H6" i="11"/>
  <c r="G6" i="11"/>
  <c r="L6" i="9"/>
  <c r="K6" i="9"/>
  <c r="J6" i="9"/>
  <c r="I6" i="9"/>
  <c r="H6" i="9"/>
  <c r="G6" i="9"/>
  <c r="L6" i="18"/>
  <c r="K6" i="18"/>
  <c r="J6" i="18"/>
  <c r="I6" i="18"/>
  <c r="H6" i="18"/>
  <c r="G6" i="18"/>
  <c r="L6" i="12"/>
  <c r="K6" i="12"/>
  <c r="J6" i="12"/>
  <c r="I6" i="12"/>
  <c r="H6" i="12"/>
  <c r="G6" i="12"/>
  <c r="L6" i="13"/>
  <c r="K6" i="13"/>
  <c r="J6" i="13"/>
  <c r="I6" i="13"/>
  <c r="H6" i="13"/>
  <c r="G6" i="13"/>
  <c r="L6" i="14"/>
  <c r="K6" i="14"/>
  <c r="J6" i="14"/>
  <c r="I6" i="14"/>
  <c r="H6" i="14"/>
  <c r="G6" i="14"/>
  <c r="L6" i="15"/>
  <c r="K6" i="15"/>
  <c r="J6" i="15"/>
  <c r="I6" i="15"/>
  <c r="H6" i="15"/>
  <c r="G6" i="15"/>
  <c r="L6" i="16"/>
  <c r="K6" i="16"/>
  <c r="J6" i="16"/>
  <c r="I6" i="16"/>
  <c r="H6" i="16"/>
  <c r="G6" i="16"/>
  <c r="AD4" i="11"/>
  <c r="AC4" i="11"/>
  <c r="AB4" i="11"/>
  <c r="AA4" i="11"/>
  <c r="Z4" i="11"/>
  <c r="Y4" i="11"/>
  <c r="G5" i="11"/>
  <c r="I5" i="11"/>
  <c r="J5" i="11"/>
  <c r="K5" i="11"/>
  <c r="L5" i="11"/>
  <c r="G5" i="14"/>
  <c r="G5" i="9"/>
  <c r="L5" i="9"/>
  <c r="K5" i="9"/>
  <c r="J5" i="9"/>
  <c r="I5" i="9"/>
  <c r="H5" i="9"/>
  <c r="G5" i="18"/>
  <c r="L5" i="18"/>
  <c r="K5" i="18"/>
  <c r="J5" i="18"/>
  <c r="I5" i="18"/>
  <c r="H5" i="18"/>
  <c r="L4" i="18"/>
  <c r="K4" i="18"/>
  <c r="J4" i="18"/>
  <c r="I4" i="18"/>
  <c r="H4" i="18"/>
  <c r="G4" i="18"/>
  <c r="L5" i="12"/>
  <c r="K5" i="12"/>
  <c r="J5" i="12"/>
  <c r="I5" i="12"/>
  <c r="H5" i="12"/>
  <c r="G5" i="12"/>
  <c r="L5" i="13"/>
  <c r="K5" i="13"/>
  <c r="J5" i="13"/>
  <c r="I5" i="13"/>
  <c r="H5" i="13"/>
  <c r="G5" i="13"/>
  <c r="L5" i="14"/>
  <c r="K5" i="14"/>
  <c r="J5" i="14"/>
  <c r="I5" i="14"/>
  <c r="H5" i="14"/>
  <c r="H5" i="16"/>
  <c r="G5" i="16"/>
  <c r="L5" i="16"/>
  <c r="K5" i="16"/>
  <c r="J5" i="16"/>
  <c r="I5" i="16"/>
  <c r="L5" i="15"/>
  <c r="J5" i="15"/>
  <c r="K5" i="15"/>
  <c r="I5" i="15"/>
  <c r="H5" i="15"/>
  <c r="G5" i="15"/>
  <c r="L4" i="14"/>
  <c r="K4" i="14"/>
  <c r="J4" i="14"/>
  <c r="I4" i="14"/>
  <c r="H4" i="14"/>
  <c r="G4" i="14"/>
  <c r="I4" i="16"/>
  <c r="L4" i="16"/>
  <c r="K4" i="16"/>
  <c r="J4" i="16"/>
  <c r="H4" i="16"/>
  <c r="G4" i="16"/>
  <c r="L4" i="15"/>
  <c r="K4" i="15"/>
  <c r="J4" i="15"/>
  <c r="I4" i="15"/>
  <c r="H4" i="15"/>
  <c r="G4" i="15"/>
  <c r="L4" i="13"/>
  <c r="K4" i="13"/>
  <c r="J4" i="13"/>
  <c r="I4" i="13"/>
  <c r="H4" i="13"/>
  <c r="G4" i="13"/>
  <c r="L4" i="12"/>
  <c r="K4" i="12"/>
  <c r="J4" i="12"/>
  <c r="I4" i="12"/>
  <c r="H4" i="12"/>
  <c r="G4" i="12"/>
  <c r="L4" i="11"/>
  <c r="K4" i="11"/>
  <c r="J4" i="11"/>
  <c r="I4" i="11"/>
  <c r="H4" i="11"/>
  <c r="G4" i="11"/>
  <c r="J4" i="9"/>
  <c r="L4" i="9"/>
  <c r="K4" i="9"/>
  <c r="I4" i="9"/>
  <c r="H4" i="9"/>
  <c r="G4" i="9"/>
</calcChain>
</file>

<file path=xl/sharedStrings.xml><?xml version="1.0" encoding="utf-8"?>
<sst xmlns="http://schemas.openxmlformats.org/spreadsheetml/2006/main" count="3386" uniqueCount="73">
  <si>
    <t>Parzellenplan</t>
  </si>
  <si>
    <t>2 x 2 = 4 m²</t>
  </si>
  <si>
    <t>B.1/ P1</t>
  </si>
  <si>
    <t>D.2/ P2</t>
  </si>
  <si>
    <t>E.2/ P3</t>
  </si>
  <si>
    <t>D.4/ P4</t>
  </si>
  <si>
    <t>F.1/ P5</t>
  </si>
  <si>
    <t>C.2/ P6</t>
  </si>
  <si>
    <t>A.2/ P7</t>
  </si>
  <si>
    <t>C.4/ P8</t>
  </si>
  <si>
    <t>A.4/ P9</t>
  </si>
  <si>
    <t>B.4/ P10</t>
  </si>
  <si>
    <t>F.4/ P11</t>
  </si>
  <si>
    <t>D.1/ P12</t>
  </si>
  <si>
    <t>C.3/ P13</t>
  </si>
  <si>
    <t>E.1/ P14</t>
  </si>
  <si>
    <t>C.1/ P15</t>
  </si>
  <si>
    <t>A.3/ P16</t>
  </si>
  <si>
    <t>B.2/ P17</t>
  </si>
  <si>
    <t>D.3/ P18</t>
  </si>
  <si>
    <t>E.4/ P19</t>
  </si>
  <si>
    <t>F.3/ P20</t>
  </si>
  <si>
    <t>E.3/ P21</t>
  </si>
  <si>
    <t>F.2/ P22</t>
  </si>
  <si>
    <t>B.3/ P23</t>
  </si>
  <si>
    <t>A.1/ P24</t>
  </si>
  <si>
    <t>Variante</t>
  </si>
  <si>
    <t>Parzelle</t>
  </si>
  <si>
    <t>Note</t>
  </si>
  <si>
    <t>Mittelwert</t>
  </si>
  <si>
    <t>Prozent</t>
  </si>
  <si>
    <t>Projektive Bodendeckung in % mittels Schätzrahmen</t>
  </si>
  <si>
    <t>Wert</t>
  </si>
  <si>
    <t>Grafische Darstellung</t>
  </si>
  <si>
    <t>Kontrolle A</t>
  </si>
  <si>
    <t>Termin</t>
  </si>
  <si>
    <t>Datum</t>
  </si>
  <si>
    <t>Krankheitsbefall in % mittels Schätzrahmen</t>
  </si>
  <si>
    <t>Grünaspekt mittels NDVI-Messgerät</t>
  </si>
  <si>
    <t>Dichte der Rasennarbe mittels Noten nach Bundessortenamt</t>
  </si>
  <si>
    <t>Qualität/Homogenität  der Rasennarbe mittels Noten nach Bundessortenamt</t>
  </si>
  <si>
    <t>Projektive Bodendeckung in % mittels digitaler Messung</t>
  </si>
  <si>
    <t>Krankheitsbefall mittels Noten nach Bundessortenamt</t>
  </si>
  <si>
    <t>farbe</t>
  </si>
  <si>
    <t>altschaden</t>
  </si>
  <si>
    <t>moos 1%</t>
  </si>
  <si>
    <t>divots 1%</t>
  </si>
  <si>
    <t>moos 10%</t>
  </si>
  <si>
    <t>divots 2%</t>
  </si>
  <si>
    <t>moos 2%</t>
  </si>
  <si>
    <t>moos 6%</t>
  </si>
  <si>
    <t>moos 5%</t>
  </si>
  <si>
    <t>Sigma</t>
  </si>
  <si>
    <t>Bundessortenamt</t>
  </si>
  <si>
    <t>Wetter: nebelig dann sonnig ca. 6 C</t>
  </si>
  <si>
    <t xml:space="preserve">umgekehrter </t>
  </si>
  <si>
    <t>leichte Verfärung (ähnlich Dollarspot, ist aber keiner)</t>
  </si>
  <si>
    <t>Wetter bewölkt</t>
  </si>
  <si>
    <t xml:space="preserve">sonnig </t>
  </si>
  <si>
    <t>Wetter regnerisch, 4 °C</t>
  </si>
  <si>
    <t>27.12 einsetzen von schneeschimmel</t>
  </si>
  <si>
    <t>Witterungsbedingter Ausfall</t>
  </si>
  <si>
    <t>frostschaden</t>
  </si>
  <si>
    <t>Kaliwasser</t>
  </si>
  <si>
    <t>Wasser</t>
  </si>
  <si>
    <t>MgCl</t>
  </si>
  <si>
    <t>Revystar</t>
  </si>
  <si>
    <t>.</t>
  </si>
  <si>
    <t>Kontrolle B</t>
  </si>
  <si>
    <t>MgCl2</t>
  </si>
  <si>
    <t>MgCl2+Fung</t>
  </si>
  <si>
    <t xml:space="preserve">K2SiO3 </t>
  </si>
  <si>
    <t>K2SiO3 +Fung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</si>
</sst>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2" xfId="0" quotePrefix="1" applyFill="1" applyBorder="1"/>
    <xf numFmtId="0" fontId="0" fillId="3" borderId="3" xfId="0" quotePrefix="1" applyFill="1" applyBorder="1"/>
    <xf numFmtId="0" fontId="0" fillId="4" borderId="4" xfId="0" quotePrefix="1" applyFill="1" applyBorder="1"/>
    <xf numFmtId="0" fontId="0" fillId="5" borderId="5" xfId="0" quotePrefix="1" applyFill="1" applyBorder="1"/>
    <xf numFmtId="0" fontId="0" fillId="6" borderId="6" xfId="0" quotePrefix="1" applyFill="1" applyBorder="1"/>
    <xf numFmtId="0" fontId="0" fillId="6" borderId="7" xfId="0" quotePrefix="1" applyFill="1" applyBorder="1"/>
    <xf numFmtId="0" fontId="0" fillId="2" borderId="5" xfId="0" quotePrefix="1" applyFill="1" applyBorder="1"/>
    <xf numFmtId="0" fontId="0" fillId="4" borderId="8" xfId="0" quotePrefix="1" applyFill="1" applyBorder="1"/>
    <xf numFmtId="0" fontId="0" fillId="5" borderId="7" xfId="0" quotePrefix="1" applyFill="1" applyBorder="1"/>
    <xf numFmtId="0" fontId="0" fillId="3" borderId="5" xfId="0" quotePrefix="1" applyFill="1" applyBorder="1"/>
    <xf numFmtId="0" fontId="0" fillId="2" borderId="7" xfId="0" quotePrefix="1" applyFill="1" applyBorder="1"/>
    <xf numFmtId="0" fontId="0" fillId="0" borderId="5" xfId="0" quotePrefix="1" applyBorder="1"/>
    <xf numFmtId="0" fontId="0" fillId="3" borderId="9" xfId="0" quotePrefix="1" applyFill="1" applyBorder="1"/>
    <xf numFmtId="0" fontId="0" fillId="4" borderId="10" xfId="0" quotePrefix="1" applyFill="1" applyBorder="1"/>
    <xf numFmtId="0" fontId="0" fillId="2" borderId="10" xfId="0" quotePrefix="1" applyFill="1" applyBorder="1"/>
    <xf numFmtId="14" fontId="1" fillId="0" borderId="0" xfId="0" applyNumberFormat="1" applyFont="1"/>
    <xf numFmtId="0" fontId="0" fillId="0" borderId="5" xfId="0" applyBorder="1"/>
    <xf numFmtId="0" fontId="0" fillId="4" borderId="5" xfId="0" quotePrefix="1" applyFill="1" applyBorder="1"/>
    <xf numFmtId="0" fontId="0" fillId="6" borderId="5" xfId="0" quotePrefix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5" xfId="0" applyFont="1" applyBorder="1"/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0" fillId="0" borderId="14" xfId="0" applyBorder="1"/>
    <xf numFmtId="0" fontId="1" fillId="0" borderId="15" xfId="0" applyFont="1" applyBorder="1"/>
    <xf numFmtId="0" fontId="1" fillId="0" borderId="16" xfId="0" applyFont="1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6" borderId="10" xfId="0" quotePrefix="1" applyFill="1" applyBorder="1"/>
    <xf numFmtId="0" fontId="0" fillId="0" borderId="0" xfId="0" quotePrefix="1"/>
    <xf numFmtId="0" fontId="0" fillId="5" borderId="11" xfId="0" quotePrefix="1" applyFill="1" applyBorder="1"/>
    <xf numFmtId="0" fontId="0" fillId="6" borderId="11" xfId="0" quotePrefix="1" applyFill="1" applyBorder="1"/>
    <xf numFmtId="0" fontId="0" fillId="4" borderId="11" xfId="0" quotePrefix="1" applyFill="1" applyBorder="1"/>
    <xf numFmtId="0" fontId="0" fillId="6" borderId="18" xfId="0" quotePrefix="1" applyFill="1" applyBorder="1"/>
    <xf numFmtId="14" fontId="0" fillId="0" borderId="5" xfId="0" applyNumberFormat="1" applyBorder="1"/>
    <xf numFmtId="14" fontId="0" fillId="0" borderId="10" xfId="0" applyNumberFormat="1" applyBorder="1"/>
    <xf numFmtId="0" fontId="0" fillId="0" borderId="10" xfId="0" applyBorder="1"/>
    <xf numFmtId="0" fontId="1" fillId="0" borderId="6" xfId="0" applyFont="1" applyBorder="1"/>
    <xf numFmtId="0" fontId="0" fillId="0" borderId="11" xfId="0" quotePrefix="1" applyBorder="1"/>
    <xf numFmtId="0" fontId="0" fillId="0" borderId="17" xfId="0" quotePrefix="1" applyBorder="1"/>
    <xf numFmtId="0" fontId="0" fillId="0" borderId="3" xfId="0" quotePrefix="1" applyBorder="1"/>
    <xf numFmtId="10" fontId="0" fillId="0" borderId="6" xfId="0" applyNumberFormat="1" applyBorder="1"/>
    <xf numFmtId="10" fontId="0" fillId="0" borderId="5" xfId="0" applyNumberFormat="1" applyBorder="1"/>
    <xf numFmtId="10" fontId="0" fillId="0" borderId="1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19" xfId="0" applyFont="1" applyBorder="1"/>
    <xf numFmtId="10" fontId="0" fillId="0" borderId="0" xfId="0" applyNumberFormat="1"/>
    <xf numFmtId="2" fontId="0" fillId="0" borderId="14" xfId="0" applyNumberFormat="1" applyBorder="1"/>
    <xf numFmtId="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Krankheitsbefall</a:t>
            </a:r>
            <a:r>
              <a:rPr lang="de-DE" baseline="0"/>
              <a:t> in Noten nach Bundessortenamt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Krankheitsbefall_Note!$G$3</c:f>
              <c:strCache>
                <c:ptCount val="1"/>
                <c:pt idx="0">
                  <c:v>Kontrolle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Krankheitsbefall_Note!$G$4:$G$16</c:f>
              <c:numCache>
                <c:formatCode>General</c:formatCode>
                <c:ptCount val="13"/>
                <c:pt idx="0">
                  <c:v>2.75</c:v>
                </c:pt>
                <c:pt idx="1">
                  <c:v>1.75</c:v>
                </c:pt>
                <c:pt idx="2">
                  <c:v>1</c:v>
                </c:pt>
                <c:pt idx="3" formatCode="0.00">
                  <c:v>1.25</c:v>
                </c:pt>
                <c:pt idx="4" formatCode="0.00">
                  <c:v>1.125</c:v>
                </c:pt>
                <c:pt idx="5" formatCode="0.00">
                  <c:v>3.25</c:v>
                </c:pt>
                <c:pt idx="6" formatCode="0.00">
                  <c:v>2.375</c:v>
                </c:pt>
                <c:pt idx="7" formatCode="0.00">
                  <c:v>2.25</c:v>
                </c:pt>
                <c:pt idx="8" formatCode="0.00">
                  <c:v>3</c:v>
                </c:pt>
                <c:pt idx="9" formatCode="0.00">
                  <c:v>2.875</c:v>
                </c:pt>
                <c:pt idx="10" formatCode="0.00">
                  <c:v>2</c:v>
                </c:pt>
                <c:pt idx="11" formatCode="0.00">
                  <c:v>1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4-49BF-AA0B-00B0579F7036}"/>
            </c:ext>
          </c:extLst>
        </c:ser>
        <c:ser>
          <c:idx val="1"/>
          <c:order val="1"/>
          <c:tx>
            <c:strRef>
              <c:f>Krankheitsbefall_Note!$H$3</c:f>
              <c:strCache>
                <c:ptCount val="1"/>
                <c:pt idx="0">
                  <c:v>Kontrolle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Krankheitsbefall_Note!$H$4:$H$16</c:f>
              <c:numCache>
                <c:formatCode>General</c:formatCode>
                <c:ptCount val="13"/>
                <c:pt idx="0">
                  <c:v>2.75</c:v>
                </c:pt>
                <c:pt idx="1">
                  <c:v>1.75</c:v>
                </c:pt>
                <c:pt idx="2">
                  <c:v>1.375</c:v>
                </c:pt>
                <c:pt idx="3" formatCode="0.00">
                  <c:v>1.25</c:v>
                </c:pt>
                <c:pt idx="4" formatCode="0.00">
                  <c:v>1.125</c:v>
                </c:pt>
                <c:pt idx="5" formatCode="0.00">
                  <c:v>1.625</c:v>
                </c:pt>
                <c:pt idx="6" formatCode="0.00">
                  <c:v>1.625</c:v>
                </c:pt>
                <c:pt idx="7" formatCode="0.00">
                  <c:v>1.625</c:v>
                </c:pt>
                <c:pt idx="8" formatCode="0.00">
                  <c:v>2.25</c:v>
                </c:pt>
                <c:pt idx="9" formatCode="0.00">
                  <c:v>2.5</c:v>
                </c:pt>
                <c:pt idx="10" formatCode="0.00">
                  <c:v>2.125</c:v>
                </c:pt>
                <c:pt idx="11" formatCode="0.00">
                  <c:v>1.375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C4-49BF-AA0B-00B0579F7036}"/>
            </c:ext>
          </c:extLst>
        </c:ser>
        <c:ser>
          <c:idx val="2"/>
          <c:order val="2"/>
          <c:tx>
            <c:strRef>
              <c:f>Krankheitsbefall_Note!$I$3</c:f>
              <c:strCache>
                <c:ptCount val="1"/>
                <c:pt idx="0">
                  <c:v>MgCl2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Krankheitsbefall_Note!$I$4:$I$16</c:f>
              <c:numCache>
                <c:formatCode>General</c:formatCode>
                <c:ptCount val="13"/>
                <c:pt idx="0">
                  <c:v>2.125</c:v>
                </c:pt>
                <c:pt idx="1">
                  <c:v>1.5</c:v>
                </c:pt>
                <c:pt idx="2">
                  <c:v>1</c:v>
                </c:pt>
                <c:pt idx="3" formatCode="0.00">
                  <c:v>1</c:v>
                </c:pt>
                <c:pt idx="4" formatCode="0.00">
                  <c:v>1</c:v>
                </c:pt>
                <c:pt idx="5" formatCode="0.00">
                  <c:v>1.5</c:v>
                </c:pt>
                <c:pt idx="6" formatCode="0.00">
                  <c:v>1.625</c:v>
                </c:pt>
                <c:pt idx="7" formatCode="0.00">
                  <c:v>1.75</c:v>
                </c:pt>
                <c:pt idx="8" formatCode="0.00">
                  <c:v>2.625</c:v>
                </c:pt>
                <c:pt idx="9" formatCode="0.00">
                  <c:v>2.75</c:v>
                </c:pt>
                <c:pt idx="10" formatCode="0.00">
                  <c:v>1.875</c:v>
                </c:pt>
                <c:pt idx="11" formatCode="0.00">
                  <c:v>1.5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C4-49BF-AA0B-00B0579F7036}"/>
            </c:ext>
          </c:extLst>
        </c:ser>
        <c:ser>
          <c:idx val="3"/>
          <c:order val="3"/>
          <c:tx>
            <c:strRef>
              <c:f>Krankheitsbefall_Note!$J$3</c:f>
              <c:strCache>
                <c:ptCount val="1"/>
                <c:pt idx="0">
                  <c:v>MgCl2+Fung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Krankheitsbefall_Note!$J$4:$J$16</c:f>
              <c:numCache>
                <c:formatCode>General</c:formatCode>
                <c:ptCount val="13"/>
                <c:pt idx="0">
                  <c:v>1.25</c:v>
                </c:pt>
                <c:pt idx="1">
                  <c:v>1.25</c:v>
                </c:pt>
                <c:pt idx="2">
                  <c:v>1</c:v>
                </c:pt>
                <c:pt idx="3" formatCode="0.00">
                  <c:v>1</c:v>
                </c:pt>
                <c:pt idx="4" formatCode="0.00">
                  <c:v>1</c:v>
                </c:pt>
                <c:pt idx="5" formatCode="0.00">
                  <c:v>2.125</c:v>
                </c:pt>
                <c:pt idx="6" formatCode="0.00">
                  <c:v>1.75</c:v>
                </c:pt>
                <c:pt idx="7" formatCode="0.00">
                  <c:v>1.75</c:v>
                </c:pt>
                <c:pt idx="8" formatCode="0.00">
                  <c:v>2.875</c:v>
                </c:pt>
                <c:pt idx="9" formatCode="0.00">
                  <c:v>3.375</c:v>
                </c:pt>
                <c:pt idx="10" formatCode="0.00">
                  <c:v>2.375</c:v>
                </c:pt>
                <c:pt idx="11" formatCode="0.00">
                  <c:v>1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C4-49BF-AA0B-00B0579F7036}"/>
            </c:ext>
          </c:extLst>
        </c:ser>
        <c:ser>
          <c:idx val="4"/>
          <c:order val="4"/>
          <c:tx>
            <c:strRef>
              <c:f>Krankheitsbefall_Note!$K$3</c:f>
              <c:strCache>
                <c:ptCount val="1"/>
                <c:pt idx="0">
                  <c:v>K2SiO3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Krankheitsbefall_Note!$K$4:$K$16</c:f>
              <c:numCache>
                <c:formatCode>General</c:formatCode>
                <c:ptCount val="13"/>
                <c:pt idx="0">
                  <c:v>2.875</c:v>
                </c:pt>
                <c:pt idx="1">
                  <c:v>2.125</c:v>
                </c:pt>
                <c:pt idx="2">
                  <c:v>1.25</c:v>
                </c:pt>
                <c:pt idx="3" formatCode="0.00">
                  <c:v>1.5</c:v>
                </c:pt>
                <c:pt idx="4" formatCode="0.00">
                  <c:v>1.25</c:v>
                </c:pt>
                <c:pt idx="5" formatCode="0.00">
                  <c:v>2.625</c:v>
                </c:pt>
                <c:pt idx="6" formatCode="0.00">
                  <c:v>2.625</c:v>
                </c:pt>
                <c:pt idx="7" formatCode="0.00">
                  <c:v>3</c:v>
                </c:pt>
                <c:pt idx="8" formatCode="0.00">
                  <c:v>3.75</c:v>
                </c:pt>
                <c:pt idx="9" formatCode="0.00">
                  <c:v>4</c:v>
                </c:pt>
                <c:pt idx="10" formatCode="0.00">
                  <c:v>3.25</c:v>
                </c:pt>
                <c:pt idx="11" formatCode="0.00">
                  <c:v>1.25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C4-49BF-AA0B-00B0579F7036}"/>
            </c:ext>
          </c:extLst>
        </c:ser>
        <c:ser>
          <c:idx val="5"/>
          <c:order val="5"/>
          <c:tx>
            <c:strRef>
              <c:f>Krankheitsbefall_Note!$L$3</c:f>
              <c:strCache>
                <c:ptCount val="1"/>
                <c:pt idx="0">
                  <c:v>K2SiO3 +Fung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Krankheitsbefall_Note!$F$4:$F$16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45399</c:v>
                </c:pt>
              </c:numCache>
            </c:numRef>
          </c:cat>
          <c:val>
            <c:numRef>
              <c:f>Krankheitsbefall_Note!$L$4:$L$16</c:f>
              <c:numCache>
                <c:formatCode>General</c:formatCode>
                <c:ptCount val="13"/>
                <c:pt idx="0">
                  <c:v>2.875</c:v>
                </c:pt>
                <c:pt idx="1">
                  <c:v>1.875</c:v>
                </c:pt>
                <c:pt idx="2">
                  <c:v>1.25</c:v>
                </c:pt>
                <c:pt idx="3" formatCode="0.00">
                  <c:v>1.25</c:v>
                </c:pt>
                <c:pt idx="4" formatCode="0.00">
                  <c:v>1.125</c:v>
                </c:pt>
                <c:pt idx="5" formatCode="0.00">
                  <c:v>2.75</c:v>
                </c:pt>
                <c:pt idx="6" formatCode="0.00">
                  <c:v>2.25</c:v>
                </c:pt>
                <c:pt idx="7" formatCode="0.00">
                  <c:v>2.25</c:v>
                </c:pt>
                <c:pt idx="8" formatCode="0.00">
                  <c:v>2.75</c:v>
                </c:pt>
                <c:pt idx="9" formatCode="0.00">
                  <c:v>2.875</c:v>
                </c:pt>
                <c:pt idx="10" formatCode="0.00">
                  <c:v>2.625</c:v>
                </c:pt>
                <c:pt idx="11" formatCode="0.00">
                  <c:v>2</c:v>
                </c:pt>
                <c:pt idx="12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C4-49BF-AA0B-00B0579F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548000"/>
        <c:axId val="634492912"/>
      </c:lineChart>
      <c:catAx>
        <c:axId val="394548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4492912"/>
        <c:crosses val="autoZero"/>
        <c:auto val="0"/>
        <c:lblAlgn val="ctr"/>
        <c:lblOffset val="100"/>
        <c:noMultiLvlLbl val="0"/>
      </c:catAx>
      <c:valAx>
        <c:axId val="634492912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45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Krankheitsbefall in % mittels Rahmenquadrat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'Krankheitsbefall_%'!$G$3</c:f>
              <c:strCache>
                <c:ptCount val="1"/>
                <c:pt idx="0">
                  <c:v>Kontrolle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'Krankheitsbefall_%'!$G$4:$G$16</c:f>
              <c:numCache>
                <c:formatCode>0.00%</c:formatCode>
                <c:ptCount val="13"/>
                <c:pt idx="0">
                  <c:v>3.3750000000000002E-2</c:v>
                </c:pt>
                <c:pt idx="1">
                  <c:v>2.6249999999999999E-2</c:v>
                </c:pt>
                <c:pt idx="2">
                  <c:v>2.5000000000000001E-3</c:v>
                </c:pt>
                <c:pt idx="3">
                  <c:v>2.5000000000000001E-3</c:v>
                </c:pt>
                <c:pt idx="4">
                  <c:v>2.5000000000000001E-3</c:v>
                </c:pt>
                <c:pt idx="5">
                  <c:v>3.7499999999999999E-2</c:v>
                </c:pt>
                <c:pt idx="6">
                  <c:v>0.03</c:v>
                </c:pt>
                <c:pt idx="7">
                  <c:v>2.5000000000000001E-2</c:v>
                </c:pt>
                <c:pt idx="8">
                  <c:v>3.3750000000000002E-2</c:v>
                </c:pt>
                <c:pt idx="9">
                  <c:v>3.7500000000000006E-2</c:v>
                </c:pt>
                <c:pt idx="10">
                  <c:v>0.02</c:v>
                </c:pt>
                <c:pt idx="11">
                  <c:v>5.0000000000000001E-3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2-442D-90F3-67EB926C8754}"/>
            </c:ext>
          </c:extLst>
        </c:ser>
        <c:ser>
          <c:idx val="1"/>
          <c:order val="1"/>
          <c:tx>
            <c:strRef>
              <c:f>'Krankheitsbefall_%'!$H$3</c:f>
              <c:strCache>
                <c:ptCount val="1"/>
                <c:pt idx="0">
                  <c:v>Kontrolle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'Krankheitsbefall_%'!$H$4:$H$16</c:f>
              <c:numCache>
                <c:formatCode>0.00%</c:formatCode>
                <c:ptCount val="13"/>
                <c:pt idx="0">
                  <c:v>3.875E-2</c:v>
                </c:pt>
                <c:pt idx="1">
                  <c:v>2.4999999999999998E-2</c:v>
                </c:pt>
                <c:pt idx="2">
                  <c:v>0.01</c:v>
                </c:pt>
                <c:pt idx="3">
                  <c:v>2.5000000000000001E-3</c:v>
                </c:pt>
                <c:pt idx="4">
                  <c:v>2.5000000000000001E-3</c:v>
                </c:pt>
                <c:pt idx="5">
                  <c:v>1.7500000000000002E-2</c:v>
                </c:pt>
                <c:pt idx="6">
                  <c:v>1.7500000000000002E-2</c:v>
                </c:pt>
                <c:pt idx="7">
                  <c:v>1.7500000000000002E-2</c:v>
                </c:pt>
                <c:pt idx="8">
                  <c:v>2.6250000000000002E-2</c:v>
                </c:pt>
                <c:pt idx="9">
                  <c:v>3.125E-2</c:v>
                </c:pt>
                <c:pt idx="10">
                  <c:v>2.1249999999999998E-2</c:v>
                </c:pt>
                <c:pt idx="11">
                  <c:v>1.375E-2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2-442D-90F3-67EB926C8754}"/>
            </c:ext>
          </c:extLst>
        </c:ser>
        <c:ser>
          <c:idx val="2"/>
          <c:order val="2"/>
          <c:tx>
            <c:strRef>
              <c:f>'Krankheitsbefall_%'!$I$3</c:f>
              <c:strCache>
                <c:ptCount val="1"/>
                <c:pt idx="0">
                  <c:v>MgCl2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'Krankheitsbefall_%'!$I$4:$I$16</c:f>
              <c:numCache>
                <c:formatCode>0.00%</c:formatCode>
                <c:ptCount val="13"/>
                <c:pt idx="0">
                  <c:v>8.7500000000000008E-3</c:v>
                </c:pt>
                <c:pt idx="1">
                  <c:v>7.4999999999999997E-3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1.2500000000000001E-2</c:v>
                </c:pt>
                <c:pt idx="6">
                  <c:v>1.7500000000000002E-2</c:v>
                </c:pt>
                <c:pt idx="7">
                  <c:v>1.7500000000000002E-2</c:v>
                </c:pt>
                <c:pt idx="8">
                  <c:v>3.2500000000000001E-2</c:v>
                </c:pt>
                <c:pt idx="9">
                  <c:v>3.2500000000000001E-2</c:v>
                </c:pt>
                <c:pt idx="10">
                  <c:v>1.8749999999999999E-2</c:v>
                </c:pt>
                <c:pt idx="11">
                  <c:v>0.01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32-442D-90F3-67EB926C8754}"/>
            </c:ext>
          </c:extLst>
        </c:ser>
        <c:ser>
          <c:idx val="3"/>
          <c:order val="3"/>
          <c:tx>
            <c:strRef>
              <c:f>'Krankheitsbefall_%'!$J$3</c:f>
              <c:strCache>
                <c:ptCount val="1"/>
                <c:pt idx="0">
                  <c:v>MgCl2+Fung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'Krankheitsbefall_%'!$J$4:$J$16</c:f>
              <c:numCache>
                <c:formatCode>0.00%</c:formatCode>
                <c:ptCount val="13"/>
                <c:pt idx="0">
                  <c:v>2.5000000000000001E-3</c:v>
                </c:pt>
                <c:pt idx="1">
                  <c:v>5.0000000000000001E-3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1.4999999999999999E-2</c:v>
                </c:pt>
                <c:pt idx="7">
                  <c:v>1.7500000000000002E-2</c:v>
                </c:pt>
                <c:pt idx="8">
                  <c:v>3.4999999999999996E-2</c:v>
                </c:pt>
                <c:pt idx="9">
                  <c:v>4.4999999999999998E-2</c:v>
                </c:pt>
                <c:pt idx="10">
                  <c:v>2.375E-2</c:v>
                </c:pt>
                <c:pt idx="11">
                  <c:v>5.0000000000000001E-3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32-442D-90F3-67EB926C8754}"/>
            </c:ext>
          </c:extLst>
        </c:ser>
        <c:ser>
          <c:idx val="4"/>
          <c:order val="4"/>
          <c:tx>
            <c:strRef>
              <c:f>'Krankheitsbefall_%'!$K$3</c:f>
              <c:strCache>
                <c:ptCount val="1"/>
                <c:pt idx="0">
                  <c:v>K2SiO3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'Krankheitsbefall_%'!$K$4:$K$16</c:f>
              <c:numCache>
                <c:formatCode>0.00%</c:formatCode>
                <c:ptCount val="13"/>
                <c:pt idx="0">
                  <c:v>3.2500000000000001E-2</c:v>
                </c:pt>
                <c:pt idx="1">
                  <c:v>2.75E-2</c:v>
                </c:pt>
                <c:pt idx="2">
                  <c:v>1.7500000000000002E-2</c:v>
                </c:pt>
                <c:pt idx="3">
                  <c:v>1.2500000000000001E-2</c:v>
                </c:pt>
                <c:pt idx="4">
                  <c:v>0.01</c:v>
                </c:pt>
                <c:pt idx="5">
                  <c:v>2.75E-2</c:v>
                </c:pt>
                <c:pt idx="6">
                  <c:v>3.2500000000000001E-2</c:v>
                </c:pt>
                <c:pt idx="7">
                  <c:v>3.7499999999999999E-2</c:v>
                </c:pt>
                <c:pt idx="8">
                  <c:v>5.7499999999999996E-2</c:v>
                </c:pt>
                <c:pt idx="9">
                  <c:v>7.4999999999999997E-2</c:v>
                </c:pt>
                <c:pt idx="10">
                  <c:v>4.7500000000000007E-2</c:v>
                </c:pt>
                <c:pt idx="11">
                  <c:v>0.01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32-442D-90F3-67EB926C8754}"/>
            </c:ext>
          </c:extLst>
        </c:ser>
        <c:ser>
          <c:idx val="5"/>
          <c:order val="5"/>
          <c:tx>
            <c:strRef>
              <c:f>'Krankheitsbefall_%'!$L$3</c:f>
              <c:strCache>
                <c:ptCount val="1"/>
                <c:pt idx="0">
                  <c:v>K2SiO3 +Fung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'Krankheitsbefall_%'!$F$4:$F$16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45384</c:v>
                </c:pt>
                <c:pt idx="12">
                  <c:v>45400</c:v>
                </c:pt>
              </c:numCache>
            </c:numRef>
          </c:cat>
          <c:val>
            <c:numRef>
              <c:f>'Krankheitsbefall_%'!$L$4:$L$16</c:f>
              <c:numCache>
                <c:formatCode>0.00%</c:formatCode>
                <c:ptCount val="13"/>
                <c:pt idx="0">
                  <c:v>0.02</c:v>
                </c:pt>
                <c:pt idx="1">
                  <c:v>1.4999999999999999E-2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3.5000000000000003E-2</c:v>
                </c:pt>
                <c:pt idx="6">
                  <c:v>3.0000000000000002E-2</c:v>
                </c:pt>
                <c:pt idx="7">
                  <c:v>3.2500000000000001E-2</c:v>
                </c:pt>
                <c:pt idx="8">
                  <c:v>4.3750000000000004E-2</c:v>
                </c:pt>
                <c:pt idx="9">
                  <c:v>4.6249999999999999E-2</c:v>
                </c:pt>
                <c:pt idx="10">
                  <c:v>0.05</c:v>
                </c:pt>
                <c:pt idx="11">
                  <c:v>2.5000000000000001E-2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32-442D-90F3-67EB926C8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72144"/>
        <c:axId val="804544640"/>
      </c:lineChart>
      <c:catAx>
        <c:axId val="148272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4544640"/>
        <c:crosses val="autoZero"/>
        <c:auto val="0"/>
        <c:lblAlgn val="ctr"/>
        <c:lblOffset val="100"/>
        <c:noMultiLvlLbl val="0"/>
      </c:catAx>
      <c:valAx>
        <c:axId val="80454464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272144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Rasennarbe - Qualität in Noten nach Bundessortenamt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Rasennarbe_Qualität!$G$3</c:f>
              <c:strCache>
                <c:ptCount val="1"/>
                <c:pt idx="0">
                  <c:v>Kontrolle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Rasennarbe_Qualität!$G$4:$G$16</c:f>
              <c:numCache>
                <c:formatCode>General</c:formatCode>
                <c:ptCount val="13"/>
                <c:pt idx="0">
                  <c:v>6.375</c:v>
                </c:pt>
                <c:pt idx="1">
                  <c:v>6.875</c:v>
                </c:pt>
                <c:pt idx="2">
                  <c:v>6.875</c:v>
                </c:pt>
                <c:pt idx="3" formatCode="0.00">
                  <c:v>7.125</c:v>
                </c:pt>
                <c:pt idx="4" formatCode="0.00">
                  <c:v>7.125</c:v>
                </c:pt>
                <c:pt idx="5" formatCode="0.00">
                  <c:v>6.625</c:v>
                </c:pt>
                <c:pt idx="6" formatCode="0.00">
                  <c:v>6.75</c:v>
                </c:pt>
                <c:pt idx="7" formatCode="0.00">
                  <c:v>6.375</c:v>
                </c:pt>
                <c:pt idx="8" formatCode="0.00">
                  <c:v>5.875</c:v>
                </c:pt>
                <c:pt idx="9" formatCode="0.00">
                  <c:v>5.75</c:v>
                </c:pt>
                <c:pt idx="10" formatCode="0.00">
                  <c:v>5.5</c:v>
                </c:pt>
                <c:pt idx="11" formatCode="0.00">
                  <c:v>6.75</c:v>
                </c:pt>
                <c:pt idx="12" formatCode="0.0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2-434C-AD1B-D60031A95456}"/>
            </c:ext>
          </c:extLst>
        </c:ser>
        <c:ser>
          <c:idx val="1"/>
          <c:order val="1"/>
          <c:tx>
            <c:strRef>
              <c:f>Rasennarbe_Qualität!$H$3</c:f>
              <c:strCache>
                <c:ptCount val="1"/>
                <c:pt idx="0">
                  <c:v>Kontrolle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Rasennarbe_Qualität!$H$4:$H$16</c:f>
              <c:numCache>
                <c:formatCode>General</c:formatCode>
                <c:ptCount val="13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 formatCode="0.00">
                  <c:v>7.5</c:v>
                </c:pt>
                <c:pt idx="4" formatCode="0.00">
                  <c:v>7.5</c:v>
                </c:pt>
                <c:pt idx="5" formatCode="0.00">
                  <c:v>7</c:v>
                </c:pt>
                <c:pt idx="6" formatCode="0.00">
                  <c:v>7</c:v>
                </c:pt>
                <c:pt idx="7" formatCode="0.00">
                  <c:v>6.625</c:v>
                </c:pt>
                <c:pt idx="8" formatCode="0.00">
                  <c:v>6.25</c:v>
                </c:pt>
                <c:pt idx="9" formatCode="0.00">
                  <c:v>5.875</c:v>
                </c:pt>
                <c:pt idx="10" formatCode="0.00">
                  <c:v>5.5</c:v>
                </c:pt>
                <c:pt idx="11" formatCode="0.00">
                  <c:v>6.75</c:v>
                </c:pt>
                <c:pt idx="12" formatCode="0.0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2-434C-AD1B-D60031A95456}"/>
            </c:ext>
          </c:extLst>
        </c:ser>
        <c:ser>
          <c:idx val="2"/>
          <c:order val="2"/>
          <c:tx>
            <c:strRef>
              <c:f>Rasennarbe_Qualität!$I$3</c:f>
              <c:strCache>
                <c:ptCount val="1"/>
                <c:pt idx="0">
                  <c:v>MgCl2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Rasennarbe_Qualität!$I$4:$I$16</c:f>
              <c:numCache>
                <c:formatCode>General</c:formatCode>
                <c:ptCount val="13"/>
                <c:pt idx="0">
                  <c:v>6.875</c:v>
                </c:pt>
                <c:pt idx="1">
                  <c:v>7.25</c:v>
                </c:pt>
                <c:pt idx="2">
                  <c:v>7.125</c:v>
                </c:pt>
                <c:pt idx="3" formatCode="0.00">
                  <c:v>7.5</c:v>
                </c:pt>
                <c:pt idx="4" formatCode="0.00">
                  <c:v>7.5</c:v>
                </c:pt>
                <c:pt idx="5" formatCode="0.00">
                  <c:v>6.875</c:v>
                </c:pt>
                <c:pt idx="6" formatCode="0.00">
                  <c:v>6.875</c:v>
                </c:pt>
                <c:pt idx="7" formatCode="0.00">
                  <c:v>6.375</c:v>
                </c:pt>
                <c:pt idx="8" formatCode="0.00">
                  <c:v>6</c:v>
                </c:pt>
                <c:pt idx="9" formatCode="0.00">
                  <c:v>5.625</c:v>
                </c:pt>
                <c:pt idx="10" formatCode="0.00">
                  <c:v>5.5</c:v>
                </c:pt>
                <c:pt idx="11" formatCode="0.00">
                  <c:v>6.625</c:v>
                </c:pt>
                <c:pt idx="12" formatCode="0.00">
                  <c:v>6.875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2-434C-AD1B-D60031A95456}"/>
            </c:ext>
          </c:extLst>
        </c:ser>
        <c:ser>
          <c:idx val="3"/>
          <c:order val="3"/>
          <c:tx>
            <c:strRef>
              <c:f>Rasennarbe_Qualität!$J$3</c:f>
              <c:strCache>
                <c:ptCount val="1"/>
                <c:pt idx="0">
                  <c:v>MgCl2+Fung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Rasennarbe_Qualität!$J$4:$J$16</c:f>
              <c:numCache>
                <c:formatCode>General</c:formatCode>
                <c:ptCount val="13"/>
                <c:pt idx="0">
                  <c:v>7.375</c:v>
                </c:pt>
                <c:pt idx="1">
                  <c:v>7.75</c:v>
                </c:pt>
                <c:pt idx="2">
                  <c:v>7.625</c:v>
                </c:pt>
                <c:pt idx="3" formatCode="0.00">
                  <c:v>7.875</c:v>
                </c:pt>
                <c:pt idx="4" formatCode="0.00">
                  <c:v>7.875</c:v>
                </c:pt>
                <c:pt idx="5" formatCode="0.00">
                  <c:v>6.875</c:v>
                </c:pt>
                <c:pt idx="6" formatCode="0.00">
                  <c:v>6.75</c:v>
                </c:pt>
                <c:pt idx="7" formatCode="0.00">
                  <c:v>6.375</c:v>
                </c:pt>
                <c:pt idx="8" formatCode="0.00">
                  <c:v>6</c:v>
                </c:pt>
                <c:pt idx="9" formatCode="0.00">
                  <c:v>5.625</c:v>
                </c:pt>
                <c:pt idx="10" formatCode="0.00">
                  <c:v>5.875</c:v>
                </c:pt>
                <c:pt idx="11" formatCode="0.00">
                  <c:v>6.875</c:v>
                </c:pt>
                <c:pt idx="12" formatCode="0.00">
                  <c:v>6.875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52-434C-AD1B-D60031A95456}"/>
            </c:ext>
          </c:extLst>
        </c:ser>
        <c:ser>
          <c:idx val="4"/>
          <c:order val="4"/>
          <c:tx>
            <c:strRef>
              <c:f>Rasennarbe_Qualität!$K$3</c:f>
              <c:strCache>
                <c:ptCount val="1"/>
                <c:pt idx="0">
                  <c:v>K2SiO3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Rasennarbe_Qualität!$K$4:$K$16</c:f>
              <c:numCache>
                <c:formatCode>General</c:formatCode>
                <c:ptCount val="13"/>
                <c:pt idx="0">
                  <c:v>6.5</c:v>
                </c:pt>
                <c:pt idx="1">
                  <c:v>6.875</c:v>
                </c:pt>
                <c:pt idx="2">
                  <c:v>6.75</c:v>
                </c:pt>
                <c:pt idx="3" formatCode="0.00">
                  <c:v>7.25</c:v>
                </c:pt>
                <c:pt idx="4" formatCode="0.00">
                  <c:v>7.25</c:v>
                </c:pt>
                <c:pt idx="5" formatCode="0.00">
                  <c:v>6.75</c:v>
                </c:pt>
                <c:pt idx="6" formatCode="0.00">
                  <c:v>6.5</c:v>
                </c:pt>
                <c:pt idx="7" formatCode="0.00">
                  <c:v>6.125</c:v>
                </c:pt>
                <c:pt idx="8" formatCode="0.00">
                  <c:v>5.625</c:v>
                </c:pt>
                <c:pt idx="9" formatCode="0.00">
                  <c:v>5.375</c:v>
                </c:pt>
                <c:pt idx="10" formatCode="0.00">
                  <c:v>5.5</c:v>
                </c:pt>
                <c:pt idx="11" formatCode="0.00">
                  <c:v>6.75</c:v>
                </c:pt>
                <c:pt idx="12" formatCode="0.0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52-434C-AD1B-D60031A95456}"/>
            </c:ext>
          </c:extLst>
        </c:ser>
        <c:ser>
          <c:idx val="5"/>
          <c:order val="5"/>
          <c:tx>
            <c:strRef>
              <c:f>Rasennarbe_Qualität!$L$3</c:f>
              <c:strCache>
                <c:ptCount val="1"/>
                <c:pt idx="0">
                  <c:v>K2SiO3 +Fung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Rasennarbe_Qualität!$F$4:$F$16</c:f>
              <c:numCache>
                <c:formatCode>m/d/yyyy</c:formatCode>
                <c:ptCount val="13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45287</c:v>
                </c:pt>
                <c:pt idx="6">
                  <c:v>45313</c:v>
                </c:pt>
                <c:pt idx="7">
                  <c:v>45327</c:v>
                </c:pt>
                <c:pt idx="8">
                  <c:v>45344</c:v>
                </c:pt>
                <c:pt idx="9">
                  <c:v>45355</c:v>
                </c:pt>
                <c:pt idx="10">
                  <c:v>45369</c:v>
                </c:pt>
                <c:pt idx="11">
                  <c:v>45383</c:v>
                </c:pt>
                <c:pt idx="12">
                  <c:v>45400</c:v>
                </c:pt>
              </c:numCache>
            </c:numRef>
          </c:cat>
          <c:val>
            <c:numRef>
              <c:f>Rasennarbe_Qualität!$L$4:$L$16</c:f>
              <c:numCache>
                <c:formatCode>General</c:formatCode>
                <c:ptCount val="13"/>
                <c:pt idx="0">
                  <c:v>6.25</c:v>
                </c:pt>
                <c:pt idx="1">
                  <c:v>6.75</c:v>
                </c:pt>
                <c:pt idx="2">
                  <c:v>6.75</c:v>
                </c:pt>
                <c:pt idx="3" formatCode="0.00">
                  <c:v>7.375</c:v>
                </c:pt>
                <c:pt idx="4" formatCode="0.00">
                  <c:v>7.375</c:v>
                </c:pt>
                <c:pt idx="5" formatCode="0.00">
                  <c:v>6.5</c:v>
                </c:pt>
                <c:pt idx="6" formatCode="0.00">
                  <c:v>6.625</c:v>
                </c:pt>
                <c:pt idx="7" formatCode="0.00">
                  <c:v>6.25</c:v>
                </c:pt>
                <c:pt idx="8" formatCode="0.00">
                  <c:v>5.875</c:v>
                </c:pt>
                <c:pt idx="9" formatCode="0.00">
                  <c:v>5.625</c:v>
                </c:pt>
                <c:pt idx="10" formatCode="0.00">
                  <c:v>5.375</c:v>
                </c:pt>
                <c:pt idx="11" formatCode="0.00">
                  <c:v>6.625</c:v>
                </c:pt>
                <c:pt idx="12" formatCode="0.00">
                  <c:v>6.875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52-434C-AD1B-D60031A95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821616"/>
        <c:axId val="783100032"/>
      </c:lineChart>
      <c:catAx>
        <c:axId val="812821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100032"/>
        <c:crosses val="autoZero"/>
        <c:auto val="0"/>
        <c:lblAlgn val="ctr"/>
        <c:lblOffset val="100"/>
        <c:noMultiLvlLbl val="0"/>
      </c:catAx>
      <c:valAx>
        <c:axId val="7831000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28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Dichte Rasennarbe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Rasennarbe_Dichte!$Y$3</c:f>
              <c:strCache>
                <c:ptCount val="1"/>
                <c:pt idx="0">
                  <c:v>Kontrolle A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Rasennarbe_Dichte!$Y$4:$Y$15</c:f>
              <c:numCache>
                <c:formatCode>0.00</c:formatCode>
                <c:ptCount val="12"/>
                <c:pt idx="0">
                  <c:v>2.9075000000000002</c:v>
                </c:pt>
                <c:pt idx="1">
                  <c:v>5.1275000000000004</c:v>
                </c:pt>
                <c:pt idx="2">
                  <c:v>4.0874999999999995</c:v>
                </c:pt>
                <c:pt idx="3">
                  <c:v>6.0850000000000009</c:v>
                </c:pt>
                <c:pt idx="4">
                  <c:v>3.3050000000000002</c:v>
                </c:pt>
                <c:pt idx="5">
                  <c:v>5.2374999999999989</c:v>
                </c:pt>
                <c:pt idx="6">
                  <c:v>6.51</c:v>
                </c:pt>
                <c:pt idx="7">
                  <c:v>4.3025000000000002</c:v>
                </c:pt>
                <c:pt idx="8">
                  <c:v>4.2174999999999994</c:v>
                </c:pt>
                <c:pt idx="9">
                  <c:v>7.65</c:v>
                </c:pt>
                <c:pt idx="10">
                  <c:v>4.9649999999999999</c:v>
                </c:pt>
                <c:pt idx="11">
                  <c:v>4.7949999999999999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B-4DE9-A41C-EC83D549D3CA}"/>
            </c:ext>
          </c:extLst>
        </c:ser>
        <c:ser>
          <c:idx val="1"/>
          <c:order val="1"/>
          <c:tx>
            <c:strRef>
              <c:f>Rasennarbe_Dichte!$Z$3</c:f>
              <c:strCache>
                <c:ptCount val="1"/>
                <c:pt idx="0">
                  <c:v>Kontrolle 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Rasennarbe_Dichte!$Z$4:$Z$15</c:f>
              <c:numCache>
                <c:formatCode>0.00</c:formatCode>
                <c:ptCount val="12"/>
                <c:pt idx="0">
                  <c:v>5.1025</c:v>
                </c:pt>
                <c:pt idx="1">
                  <c:v>6.3325000000000005</c:v>
                </c:pt>
                <c:pt idx="2">
                  <c:v>4.9849999999999994</c:v>
                </c:pt>
                <c:pt idx="3">
                  <c:v>6.7474999999999996</c:v>
                </c:pt>
                <c:pt idx="4" formatCode="General">
                  <c:v>5.0149999999999997</c:v>
                </c:pt>
                <c:pt idx="5">
                  <c:v>5.91</c:v>
                </c:pt>
                <c:pt idx="6">
                  <c:v>4.9849999999999994</c:v>
                </c:pt>
                <c:pt idx="7">
                  <c:v>4.4249999999999998</c:v>
                </c:pt>
                <c:pt idx="8">
                  <c:v>6.1349999999999998</c:v>
                </c:pt>
                <c:pt idx="9">
                  <c:v>4.335</c:v>
                </c:pt>
                <c:pt idx="10">
                  <c:v>6.52</c:v>
                </c:pt>
                <c:pt idx="11">
                  <c:v>4.4350000000000005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B-4DE9-A41C-EC83D549D3CA}"/>
            </c:ext>
          </c:extLst>
        </c:ser>
        <c:ser>
          <c:idx val="2"/>
          <c:order val="2"/>
          <c:tx>
            <c:strRef>
              <c:f>Rasennarbe_Dichte!$AA$3</c:f>
              <c:strCache>
                <c:ptCount val="1"/>
                <c:pt idx="0">
                  <c:v>MgCl2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Rasennarbe_Dichte!$AA$4:$AA$15</c:f>
              <c:numCache>
                <c:formatCode>0.00</c:formatCode>
                <c:ptCount val="12"/>
                <c:pt idx="0">
                  <c:v>5.45</c:v>
                </c:pt>
                <c:pt idx="1">
                  <c:v>6.665</c:v>
                </c:pt>
                <c:pt idx="2">
                  <c:v>5.17</c:v>
                </c:pt>
                <c:pt idx="3">
                  <c:v>6.7824999999999998</c:v>
                </c:pt>
                <c:pt idx="4" formatCode="General">
                  <c:v>3.7849999999999997</c:v>
                </c:pt>
                <c:pt idx="5">
                  <c:v>6.5125000000000002</c:v>
                </c:pt>
                <c:pt idx="6">
                  <c:v>6.1024999999999991</c:v>
                </c:pt>
                <c:pt idx="7">
                  <c:v>5.0775000000000006</c:v>
                </c:pt>
                <c:pt idx="8">
                  <c:v>5.0250000000000004</c:v>
                </c:pt>
                <c:pt idx="9">
                  <c:v>3.9450000000000003</c:v>
                </c:pt>
                <c:pt idx="10">
                  <c:v>4.38</c:v>
                </c:pt>
                <c:pt idx="11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B-4DE9-A41C-EC83D549D3CA}"/>
            </c:ext>
          </c:extLst>
        </c:ser>
        <c:ser>
          <c:idx val="3"/>
          <c:order val="3"/>
          <c:tx>
            <c:strRef>
              <c:f>Rasennarbe_Dichte!$AB$3</c:f>
              <c:strCache>
                <c:ptCount val="1"/>
                <c:pt idx="0">
                  <c:v>MgCl2+Fung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Rasennarbe_Dichte!$AB$4:$AB$15</c:f>
              <c:numCache>
                <c:formatCode>0.00</c:formatCode>
                <c:ptCount val="12"/>
                <c:pt idx="0">
                  <c:v>4.4024999999999999</c:v>
                </c:pt>
                <c:pt idx="1">
                  <c:v>6.4524999999999997</c:v>
                </c:pt>
                <c:pt idx="2">
                  <c:v>5.0374999999999996</c:v>
                </c:pt>
                <c:pt idx="3">
                  <c:v>7.3125</c:v>
                </c:pt>
                <c:pt idx="4">
                  <c:v>4.12</c:v>
                </c:pt>
                <c:pt idx="5">
                  <c:v>4.3250000000000002</c:v>
                </c:pt>
                <c:pt idx="6">
                  <c:v>6.29</c:v>
                </c:pt>
                <c:pt idx="7">
                  <c:v>5.46</c:v>
                </c:pt>
                <c:pt idx="8">
                  <c:v>4.9550000000000001</c:v>
                </c:pt>
                <c:pt idx="9">
                  <c:v>4.2799999999999994</c:v>
                </c:pt>
                <c:pt idx="10">
                  <c:v>4.2725</c:v>
                </c:pt>
                <c:pt idx="11">
                  <c:v>3.0000000000000004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B-4DE9-A41C-EC83D549D3CA}"/>
            </c:ext>
          </c:extLst>
        </c:ser>
        <c:ser>
          <c:idx val="4"/>
          <c:order val="4"/>
          <c:tx>
            <c:strRef>
              <c:f>Rasennarbe_Dichte!$AC$3</c:f>
              <c:strCache>
                <c:ptCount val="1"/>
                <c:pt idx="0">
                  <c:v>K2SiO3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Rasennarbe_Dichte!$AC$4:$AC$15</c:f>
              <c:numCache>
                <c:formatCode>0.00</c:formatCode>
                <c:ptCount val="12"/>
                <c:pt idx="0">
                  <c:v>5.8425000000000002</c:v>
                </c:pt>
                <c:pt idx="1">
                  <c:v>4.4649999999999999</c:v>
                </c:pt>
                <c:pt idx="2">
                  <c:v>4.0999999999999996</c:v>
                </c:pt>
                <c:pt idx="3">
                  <c:v>4.7275</c:v>
                </c:pt>
                <c:pt idx="4" formatCode="General">
                  <c:v>6.53</c:v>
                </c:pt>
                <c:pt idx="5">
                  <c:v>4.3574999999999999</c:v>
                </c:pt>
                <c:pt idx="6">
                  <c:v>6.8849999999999998</c:v>
                </c:pt>
                <c:pt idx="7">
                  <c:v>5.0150000000000006</c:v>
                </c:pt>
                <c:pt idx="8">
                  <c:v>3.0674999999999999</c:v>
                </c:pt>
                <c:pt idx="9">
                  <c:v>5.7</c:v>
                </c:pt>
                <c:pt idx="10">
                  <c:v>5.4874999999999998</c:v>
                </c:pt>
                <c:pt idx="11">
                  <c:v>4.335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9B-4DE9-A41C-EC83D549D3CA}"/>
            </c:ext>
          </c:extLst>
        </c:ser>
        <c:ser>
          <c:idx val="5"/>
          <c:order val="5"/>
          <c:tx>
            <c:strRef>
              <c:f>Rasennarbe_Dichte!$AD$3</c:f>
              <c:strCache>
                <c:ptCount val="1"/>
                <c:pt idx="0">
                  <c:v>K2SiO3 +Fung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Rasennarbe_Dichte!$AD$4:$AD$15</c:f>
              <c:numCache>
                <c:formatCode>0.00</c:formatCode>
                <c:ptCount val="12"/>
                <c:pt idx="0">
                  <c:v>3.7550000000000003</c:v>
                </c:pt>
                <c:pt idx="1">
                  <c:v>5.0225</c:v>
                </c:pt>
                <c:pt idx="2">
                  <c:v>5.58</c:v>
                </c:pt>
                <c:pt idx="3">
                  <c:v>6.2825000000000006</c:v>
                </c:pt>
                <c:pt idx="4" formatCode="General">
                  <c:v>5.1374999999999993</c:v>
                </c:pt>
                <c:pt idx="5">
                  <c:v>3.8925000000000001</c:v>
                </c:pt>
                <c:pt idx="6">
                  <c:v>6.2424999999999997</c:v>
                </c:pt>
                <c:pt idx="7">
                  <c:v>5.8975</c:v>
                </c:pt>
                <c:pt idx="8">
                  <c:v>4.6725000000000003</c:v>
                </c:pt>
                <c:pt idx="9">
                  <c:v>4.6400000000000006</c:v>
                </c:pt>
                <c:pt idx="10">
                  <c:v>4.6825000000000001</c:v>
                </c:pt>
                <c:pt idx="11">
                  <c:v>2.4299999999999997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9B-4DE9-A41C-EC83D549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561295"/>
        <c:axId val="1936745935"/>
      </c:lineChart>
      <c:catAx>
        <c:axId val="2087561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6745935"/>
        <c:crossesAt val="0"/>
        <c:auto val="0"/>
        <c:lblAlgn val="ctr"/>
        <c:lblOffset val="100"/>
        <c:noMultiLvlLbl val="0"/>
      </c:catAx>
      <c:valAx>
        <c:axId val="1936745935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Note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756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Rasennarbe</a:t>
            </a:r>
            <a:r>
              <a:rPr lang="de-DE" baseline="0"/>
              <a:t> - Dichte in Noten nach Bundessortenamt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Rasennarbe_Dichte!$Y$3</c:f>
              <c:strCache>
                <c:ptCount val="1"/>
                <c:pt idx="0">
                  <c:v>Kontrolle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Rasennarbe_Dichte!$Y$4:$Y$15</c:f>
              <c:numCache>
                <c:formatCode>0.00</c:formatCode>
                <c:ptCount val="12"/>
                <c:pt idx="0">
                  <c:v>2.9075000000000002</c:v>
                </c:pt>
                <c:pt idx="1">
                  <c:v>5.1275000000000004</c:v>
                </c:pt>
                <c:pt idx="2">
                  <c:v>4.0874999999999995</c:v>
                </c:pt>
                <c:pt idx="3">
                  <c:v>6.0850000000000009</c:v>
                </c:pt>
                <c:pt idx="4">
                  <c:v>3.3050000000000002</c:v>
                </c:pt>
                <c:pt idx="5">
                  <c:v>5.2374999999999989</c:v>
                </c:pt>
                <c:pt idx="6">
                  <c:v>6.51</c:v>
                </c:pt>
                <c:pt idx="7">
                  <c:v>4.3025000000000002</c:v>
                </c:pt>
                <c:pt idx="8">
                  <c:v>4.2174999999999994</c:v>
                </c:pt>
                <c:pt idx="9">
                  <c:v>7.65</c:v>
                </c:pt>
                <c:pt idx="10">
                  <c:v>4.9649999999999999</c:v>
                </c:pt>
                <c:pt idx="11">
                  <c:v>4.7949999999999999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D0-968E-EEE30E134E3E}"/>
            </c:ext>
          </c:extLst>
        </c:ser>
        <c:ser>
          <c:idx val="1"/>
          <c:order val="1"/>
          <c:tx>
            <c:strRef>
              <c:f>Rasennarbe_Dichte!$Z$3</c:f>
              <c:strCache>
                <c:ptCount val="1"/>
                <c:pt idx="0">
                  <c:v>Kontrolle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Rasennarbe_Dichte!$Z$4:$Z$15</c:f>
              <c:numCache>
                <c:formatCode>0.00</c:formatCode>
                <c:ptCount val="12"/>
                <c:pt idx="0">
                  <c:v>5.1025</c:v>
                </c:pt>
                <c:pt idx="1">
                  <c:v>6.3325000000000005</c:v>
                </c:pt>
                <c:pt idx="2">
                  <c:v>4.9849999999999994</c:v>
                </c:pt>
                <c:pt idx="3">
                  <c:v>6.7474999999999996</c:v>
                </c:pt>
                <c:pt idx="4" formatCode="General">
                  <c:v>5.0149999999999997</c:v>
                </c:pt>
                <c:pt idx="5">
                  <c:v>5.91</c:v>
                </c:pt>
                <c:pt idx="6">
                  <c:v>4.9849999999999994</c:v>
                </c:pt>
                <c:pt idx="7">
                  <c:v>4.4249999999999998</c:v>
                </c:pt>
                <c:pt idx="8">
                  <c:v>6.1349999999999998</c:v>
                </c:pt>
                <c:pt idx="9">
                  <c:v>4.335</c:v>
                </c:pt>
                <c:pt idx="10">
                  <c:v>6.52</c:v>
                </c:pt>
                <c:pt idx="11">
                  <c:v>4.4350000000000005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0-45D0-968E-EEE30E134E3E}"/>
            </c:ext>
          </c:extLst>
        </c:ser>
        <c:ser>
          <c:idx val="2"/>
          <c:order val="2"/>
          <c:tx>
            <c:strRef>
              <c:f>Rasennarbe_Dichte!$AA$3</c:f>
              <c:strCache>
                <c:ptCount val="1"/>
                <c:pt idx="0">
                  <c:v>MgCl2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Rasennarbe_Dichte!$AA$4:$AA$15</c:f>
              <c:numCache>
                <c:formatCode>0.00</c:formatCode>
                <c:ptCount val="12"/>
                <c:pt idx="0">
                  <c:v>5.45</c:v>
                </c:pt>
                <c:pt idx="1">
                  <c:v>6.665</c:v>
                </c:pt>
                <c:pt idx="2">
                  <c:v>5.17</c:v>
                </c:pt>
                <c:pt idx="3">
                  <c:v>6.7824999999999998</c:v>
                </c:pt>
                <c:pt idx="4" formatCode="General">
                  <c:v>3.7849999999999997</c:v>
                </c:pt>
                <c:pt idx="5">
                  <c:v>6.5125000000000002</c:v>
                </c:pt>
                <c:pt idx="6">
                  <c:v>6.1024999999999991</c:v>
                </c:pt>
                <c:pt idx="7">
                  <c:v>5.0775000000000006</c:v>
                </c:pt>
                <c:pt idx="8">
                  <c:v>5.0250000000000004</c:v>
                </c:pt>
                <c:pt idx="9">
                  <c:v>3.9450000000000003</c:v>
                </c:pt>
                <c:pt idx="10">
                  <c:v>4.38</c:v>
                </c:pt>
                <c:pt idx="11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0-45D0-968E-EEE30E134E3E}"/>
            </c:ext>
          </c:extLst>
        </c:ser>
        <c:ser>
          <c:idx val="3"/>
          <c:order val="3"/>
          <c:tx>
            <c:strRef>
              <c:f>Rasennarbe_Dichte!$AB$3</c:f>
              <c:strCache>
                <c:ptCount val="1"/>
                <c:pt idx="0">
                  <c:v>MgCl2+Fung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Rasennarbe_Dichte!$AB$4:$AB$15</c:f>
              <c:numCache>
                <c:formatCode>0.00</c:formatCode>
                <c:ptCount val="12"/>
                <c:pt idx="0">
                  <c:v>4.4024999999999999</c:v>
                </c:pt>
                <c:pt idx="1">
                  <c:v>6.4524999999999997</c:v>
                </c:pt>
                <c:pt idx="2">
                  <c:v>5.0374999999999996</c:v>
                </c:pt>
                <c:pt idx="3">
                  <c:v>7.3125</c:v>
                </c:pt>
                <c:pt idx="4">
                  <c:v>4.12</c:v>
                </c:pt>
                <c:pt idx="5">
                  <c:v>4.3250000000000002</c:v>
                </c:pt>
                <c:pt idx="6">
                  <c:v>6.29</c:v>
                </c:pt>
                <c:pt idx="7">
                  <c:v>5.46</c:v>
                </c:pt>
                <c:pt idx="8">
                  <c:v>4.9550000000000001</c:v>
                </c:pt>
                <c:pt idx="9">
                  <c:v>4.2799999999999994</c:v>
                </c:pt>
                <c:pt idx="10">
                  <c:v>4.2725</c:v>
                </c:pt>
                <c:pt idx="11">
                  <c:v>3.0000000000000004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0-45D0-968E-EEE30E134E3E}"/>
            </c:ext>
          </c:extLst>
        </c:ser>
        <c:ser>
          <c:idx val="4"/>
          <c:order val="4"/>
          <c:tx>
            <c:strRef>
              <c:f>Rasennarbe_Dichte!$AC$3</c:f>
              <c:strCache>
                <c:ptCount val="1"/>
                <c:pt idx="0">
                  <c:v>K2SiO3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Rasennarbe_Dichte!$AC$4:$AC$15</c:f>
              <c:numCache>
                <c:formatCode>0.00</c:formatCode>
                <c:ptCount val="12"/>
                <c:pt idx="0">
                  <c:v>5.8425000000000002</c:v>
                </c:pt>
                <c:pt idx="1">
                  <c:v>4.4649999999999999</c:v>
                </c:pt>
                <c:pt idx="2">
                  <c:v>4.0999999999999996</c:v>
                </c:pt>
                <c:pt idx="3">
                  <c:v>4.7275</c:v>
                </c:pt>
                <c:pt idx="4" formatCode="General">
                  <c:v>6.53</c:v>
                </c:pt>
                <c:pt idx="5">
                  <c:v>4.3574999999999999</c:v>
                </c:pt>
                <c:pt idx="6">
                  <c:v>6.8849999999999998</c:v>
                </c:pt>
                <c:pt idx="7">
                  <c:v>5.0150000000000006</c:v>
                </c:pt>
                <c:pt idx="8">
                  <c:v>3.0674999999999999</c:v>
                </c:pt>
                <c:pt idx="9">
                  <c:v>5.7</c:v>
                </c:pt>
                <c:pt idx="10">
                  <c:v>5.4874999999999998</c:v>
                </c:pt>
                <c:pt idx="11">
                  <c:v>4.335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40-45D0-968E-EEE30E134E3E}"/>
            </c:ext>
          </c:extLst>
        </c:ser>
        <c:ser>
          <c:idx val="5"/>
          <c:order val="5"/>
          <c:tx>
            <c:strRef>
              <c:f>Rasennarbe_Dichte!$AD$3</c:f>
              <c:strCache>
                <c:ptCount val="1"/>
                <c:pt idx="0">
                  <c:v>K2SiO3 +Fung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Rasennarbe_Dichte!$X$4:$X$15</c:f>
              <c:numCache>
                <c:formatCode>m/d/yyyy</c:formatCode>
                <c:ptCount val="12"/>
                <c:pt idx="0">
                  <c:v>45216</c:v>
                </c:pt>
                <c:pt idx="1">
                  <c:v>45229</c:v>
                </c:pt>
                <c:pt idx="2">
                  <c:v>45243</c:v>
                </c:pt>
                <c:pt idx="3">
                  <c:v>45257</c:v>
                </c:pt>
                <c:pt idx="4">
                  <c:v>45271</c:v>
                </c:pt>
                <c:pt idx="5">
                  <c:v>45313</c:v>
                </c:pt>
                <c:pt idx="6">
                  <c:v>45327</c:v>
                </c:pt>
                <c:pt idx="7">
                  <c:v>45341</c:v>
                </c:pt>
                <c:pt idx="8">
                  <c:v>45356</c:v>
                </c:pt>
                <c:pt idx="9">
                  <c:v>45369</c:v>
                </c:pt>
                <c:pt idx="10">
                  <c:v>45383</c:v>
                </c:pt>
                <c:pt idx="11">
                  <c:v>45400</c:v>
                </c:pt>
              </c:numCache>
            </c:numRef>
          </c:cat>
          <c:val>
            <c:numRef>
              <c:f>Rasennarbe_Dichte!$AD$4:$AD$15</c:f>
              <c:numCache>
                <c:formatCode>0.00</c:formatCode>
                <c:ptCount val="12"/>
                <c:pt idx="0">
                  <c:v>3.7550000000000003</c:v>
                </c:pt>
                <c:pt idx="1">
                  <c:v>5.0225</c:v>
                </c:pt>
                <c:pt idx="2">
                  <c:v>5.58</c:v>
                </c:pt>
                <c:pt idx="3">
                  <c:v>6.2825000000000006</c:v>
                </c:pt>
                <c:pt idx="4" formatCode="General">
                  <c:v>5.1374999999999993</c:v>
                </c:pt>
                <c:pt idx="5">
                  <c:v>3.8925000000000001</c:v>
                </c:pt>
                <c:pt idx="6">
                  <c:v>6.2424999999999997</c:v>
                </c:pt>
                <c:pt idx="7">
                  <c:v>5.8975</c:v>
                </c:pt>
                <c:pt idx="8">
                  <c:v>4.6725000000000003</c:v>
                </c:pt>
                <c:pt idx="9">
                  <c:v>4.6400000000000006</c:v>
                </c:pt>
                <c:pt idx="10">
                  <c:v>4.6825000000000001</c:v>
                </c:pt>
                <c:pt idx="11">
                  <c:v>2.4299999999999997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40-45D0-968E-EEE30E134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042480"/>
        <c:axId val="787478496"/>
      </c:lineChart>
      <c:dateAx>
        <c:axId val="633042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7478496"/>
        <c:crosses val="autoZero"/>
        <c:auto val="1"/>
        <c:lblOffset val="100"/>
        <c:baseTimeUnit val="days"/>
      </c:dateAx>
      <c:valAx>
        <c:axId val="787478496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304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title pos="t" align="ctr" overlay="0"/>
    <cx:plotArea>
      <cx:plotAreaRegion>
        <cx:series layoutId="boxWhisker" uniqueId="{F9F4ED34-67D8-481A-91C4-01C05630DBD3}">
          <cx:tx>
            <cx:txData>
              <cx:f>_xlchart.v1.0</cx:f>
              <cx:v>Kontrolle A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3C771C95-FCC3-4A4E-802E-DAE2DDBF8DFA}">
          <cx:tx>
            <cx:txData>
              <cx:f>_xlchart.v1.2</cx:f>
              <cx:v>Kontrolle B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33DAEA60-5419-440A-B297-A926B8B882BE}">
          <cx:tx>
            <cx:txData>
              <cx:f>_xlchart.v1.4</cx:f>
              <cx:v>MgCl2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A35B7B55-8249-490D-8516-DA08118A4AE6}">
          <cx:tx>
            <cx:txData>
              <cx:f>_xlchart.v1.6</cx:f>
              <cx:v>MgCl2+Fung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AEA22FA0-B3A3-41B2-9BDD-2185E8F2CCD2}">
          <cx:tx>
            <cx:txData>
              <cx:f>_xlchart.v1.8</cx:f>
              <cx:v>K2SiO3 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  <cx:series layoutId="boxWhisker" uniqueId="{1CF1D188-17FE-4A6F-93AD-287C13465132}">
          <cx:tx>
            <cx:txData>
              <cx:f>_xlchart.v1.10</cx:f>
              <cx:v>K2SiO3 +Fung</cx:v>
            </cx:txData>
          </cx:tx>
          <cx:dataId val="5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265112</xdr:colOff>
      <xdr:row>17</xdr:row>
      <xdr:rowOff>28575</xdr:rowOff>
    </xdr:from>
    <xdr:to>
      <xdr:col>8</xdr:col>
      <xdr:colOff>750887</xdr:colOff>
      <xdr:row>32</xdr:row>
      <xdr:rowOff>53975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D62478B-EC17-058F-7FAD-40EBD7203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</xdr:colOff>
      <xdr:row>17</xdr:row>
      <xdr:rowOff>171450</xdr:rowOff>
    </xdr:from>
    <xdr:to>
      <xdr:col>8</xdr:col>
      <xdr:colOff>512762</xdr:colOff>
      <xdr:row>33</xdr:row>
      <xdr:rowOff>15875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F364096-72A0-54CC-A9E6-8CBB172AE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598487</xdr:colOff>
      <xdr:row>189</xdr:row>
      <xdr:rowOff>125412</xdr:rowOff>
    </xdr:from>
    <xdr:to>
      <xdr:col>11</xdr:col>
      <xdr:colOff>693737</xdr:colOff>
      <xdr:row>204</xdr:row>
      <xdr:rowOff>160337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6323319F-797E-3CD9-10AD-E4EEB6ADC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4787" y="33843912"/>
              <a:ext cx="4572000" cy="2701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6</xdr:col>
      <xdr:colOff>436562</xdr:colOff>
      <xdr:row>170</xdr:row>
      <xdr:rowOff>173037</xdr:rowOff>
    </xdr:from>
    <xdr:to>
      <xdr:col>11</xdr:col>
      <xdr:colOff>531812</xdr:colOff>
      <xdr:row>186</xdr:row>
      <xdr:rowOff>26987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D7854B-D82D-A38E-4E31-3C7B83754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876298</xdr:colOff>
      <xdr:row>3</xdr:row>
      <xdr:rowOff>188117</xdr:rowOff>
    </xdr:from>
    <xdr:to>
      <xdr:col>37</xdr:col>
      <xdr:colOff>385517</xdr:colOff>
      <xdr:row>17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8921CC0-5E9E-76DA-AA19-8B58EF57F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594114</xdr:colOff>
      <xdr:row>18</xdr:row>
      <xdr:rowOff>10238</xdr:rowOff>
    </xdr:from>
    <xdr:to>
      <xdr:col>29</xdr:col>
      <xdr:colOff>688845</xdr:colOff>
      <xdr:row>32</xdr:row>
      <xdr:rowOff>174431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08FEBFF-A131-8178-E220-2597FE2B4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EBAB-E03F-4057-BDE4-DF6960B5D81C}">
  <dimension ref="A1:O380"/>
  <sheetViews>
    <sheetView topLeftCell="D1" workbookViewId="0">
      <selection activeCell="G44" sqref="G44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42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 t="s">
        <v>33</v>
      </c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19">
        <f>AVERAGE(C27,C36,C29,C44)</f>
        <v>2.75</v>
      </c>
      <c r="H4" s="19">
        <f>AVERAGE(C21,C30,C37,C43)</f>
        <v>2.75</v>
      </c>
      <c r="I4" s="19">
        <f>AVERAGE(C26,C28,C33,C35)</f>
        <v>2.125</v>
      </c>
      <c r="J4" s="19">
        <f>AVERAGE(C22,C24,C32,C38)</f>
        <v>1.25</v>
      </c>
      <c r="K4" s="19">
        <f>AVERAGE(C39,C41,C23,C34)</f>
        <v>2.875</v>
      </c>
      <c r="L4" s="26">
        <f>AVERAGE(C42,C40,C31,C25)</f>
        <v>2.875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19">
        <f>AVERAGE(C72,C57,C55,C64)</f>
        <v>1.75</v>
      </c>
      <c r="H5" s="19">
        <f>AVERAGE(C49,C58,C71,C65)</f>
        <v>1.75</v>
      </c>
      <c r="I5" s="19">
        <f>AVERAGE(C54,C56,C61,C63)</f>
        <v>1.5</v>
      </c>
      <c r="J5">
        <f>AVERAGE(C66,C60,C52,C50)</f>
        <v>1.25</v>
      </c>
      <c r="K5" s="19">
        <f>AVERAGE(C51,C62,C67,C69)</f>
        <v>2.125</v>
      </c>
      <c r="L5" s="26">
        <f>AVERAGE(C53,C59,C68,C70)</f>
        <v>1.875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19">
        <f>AVERAGE(C83,C85,C92,C100)</f>
        <v>1</v>
      </c>
      <c r="H6" s="19">
        <f>AVERAGE(C77,C86,C93,C99)</f>
        <v>1.375</v>
      </c>
      <c r="I6" s="19">
        <f>AVERAGE(C82,C84,C89,C91)</f>
        <v>1</v>
      </c>
      <c r="J6" s="19">
        <f>AVERAGE(C88,C94,C80,C78)</f>
        <v>1</v>
      </c>
      <c r="K6" s="19">
        <f>AVERAGE(C90,C95,C97,C79)</f>
        <v>1.25</v>
      </c>
      <c r="L6" s="26">
        <f>AVERAGE(C81,C87,C96,C98)</f>
        <v>1.25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9">
        <f>AVERAGE(C111,C113,C120,C128)</f>
        <v>1.25</v>
      </c>
      <c r="H7" s="49">
        <f>AVERAGE(C105,C114,C121,C127)</f>
        <v>1.25</v>
      </c>
      <c r="I7" s="49">
        <f>AVERAGE(C110,C112,C117,C119)</f>
        <v>1</v>
      </c>
      <c r="J7" s="49">
        <f>AVERAGE(C106,C108,C116,C122)</f>
        <v>1</v>
      </c>
      <c r="K7" s="49">
        <f>AVERAGE(C107,C118,C123,C125)</f>
        <v>1.5</v>
      </c>
      <c r="L7" s="49">
        <f>AVERAGE(C109,C124,C115,C126)</f>
        <v>1.25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9">
        <f>AVERAGE(C139,C141,C148,C156)</f>
        <v>1.125</v>
      </c>
      <c r="H8" s="49">
        <f>AVERAGE(C155,C149,C142,C133)</f>
        <v>1.125</v>
      </c>
      <c r="I8" s="49">
        <f>AVERAGE(C138,C140,C145,C147)</f>
        <v>1</v>
      </c>
      <c r="J8" s="49">
        <f>AVERAGE(C134,C136,C144,C150)</f>
        <v>1</v>
      </c>
      <c r="K8" s="49">
        <f>AVERAGE(C135,C146,C151,C153)</f>
        <v>1.25</v>
      </c>
      <c r="L8" s="50">
        <f>AVERAGE(C154,C152,C143,C137)</f>
        <v>1.125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9">
        <f>AVERAGE(C167,C169,C176,C184)</f>
        <v>3.25</v>
      </c>
      <c r="H9" s="49">
        <f>AVERAGE(C161,C170,C177,C183)</f>
        <v>1.625</v>
      </c>
      <c r="I9" s="49">
        <f>AVERAGE(C166,C168,C173,C175)</f>
        <v>1.5</v>
      </c>
      <c r="J9" s="49">
        <f>AVERAGE(C162,C164,C172,C178)</f>
        <v>2.125</v>
      </c>
      <c r="K9" s="49">
        <f>AVERAGE(C163,C179,C181,C174)</f>
        <v>2.625</v>
      </c>
      <c r="L9" s="49">
        <f>AVERAGE(C165,C171,C180,C182)</f>
        <v>2.75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9">
        <f>AVERAGE(C195,C197,C204,C212)</f>
        <v>2.375</v>
      </c>
      <c r="H10" s="49">
        <f>AVERAGE(C189,C198,C205,C211)</f>
        <v>1.625</v>
      </c>
      <c r="I10" s="49">
        <f>AVERAGE(C201,C194,C196,C203)</f>
        <v>1.625</v>
      </c>
      <c r="J10" s="49">
        <f>AVERAGE(C200,C206,C192,C190)</f>
        <v>1.75</v>
      </c>
      <c r="K10" s="49">
        <f>AVERAGE(C191,C202,C207,C209)</f>
        <v>2.625</v>
      </c>
      <c r="L10" s="49">
        <f>AVERAGE(C193,C199,C208,C210)</f>
        <v>2.25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9">
        <f>AVERAGE(C223,C225,C232,C240)</f>
        <v>2.25</v>
      </c>
      <c r="H11" s="49">
        <f>AVERAGE(C217,C226,C233,C239)</f>
        <v>1.625</v>
      </c>
      <c r="I11" s="49">
        <f>AVERAGE(C222,C224,C229,C231)</f>
        <v>1.75</v>
      </c>
      <c r="J11" s="49">
        <f>AVERAGE(C218,C220,C228,C234)</f>
        <v>1.75</v>
      </c>
      <c r="K11" s="49">
        <f>AVERAGE(C219,C230,C235,C237)</f>
        <v>3</v>
      </c>
      <c r="L11" s="49">
        <f>AVERAGE(C221,C227,C236,C238)</f>
        <v>2.25</v>
      </c>
    </row>
    <row r="12" spans="1:15" x14ac:dyDescent="0.3">
      <c r="A12" s="34"/>
      <c r="B12" s="34"/>
      <c r="C12" s="34"/>
      <c r="D12" s="34"/>
      <c r="E12" s="25">
        <v>9</v>
      </c>
      <c r="F12" s="39">
        <v>45344</v>
      </c>
      <c r="G12" s="49">
        <f>AVERAGE(C251,C253,C260,C268)</f>
        <v>3</v>
      </c>
      <c r="H12" s="49">
        <f>AVERAGE(C245,C254,C261,C267)</f>
        <v>2.25</v>
      </c>
      <c r="I12" s="49">
        <f>AVERAGE(C250,C252,C257,C259)</f>
        <v>2.625</v>
      </c>
      <c r="J12" s="49">
        <f>AVERAGE(C246,C248,C256,C262)</f>
        <v>2.875</v>
      </c>
      <c r="K12" s="49">
        <f>AVERAGE(C247,C258,C263,C265)</f>
        <v>3.75</v>
      </c>
      <c r="L12" s="49">
        <f>AVERAGE(C249,C255,C264,C266)</f>
        <v>2.75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9">
        <f>AVERAGE(C279,C281,C288,C296)</f>
        <v>2.875</v>
      </c>
      <c r="H13" s="49">
        <f>AVERAGE(C273,C282,C289,C295)</f>
        <v>2.5</v>
      </c>
      <c r="I13" s="49">
        <f>AVERAGE(C278,C280,C287,C285)</f>
        <v>2.75</v>
      </c>
      <c r="J13" s="49">
        <f>AVERAGE(C276,C274,C284,C290)</f>
        <v>3.375</v>
      </c>
      <c r="K13" s="49">
        <f>AVERAGE(C275,C286,C291,C293)</f>
        <v>4</v>
      </c>
      <c r="L13" s="49">
        <f>AVERAGE(C277,C283,C292,C294)</f>
        <v>2.875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9">
        <f>AVERAGE(C307,C309,C316,C324)</f>
        <v>2</v>
      </c>
      <c r="H14" s="49">
        <f>AVERAGE(C301,C310,C317,C323)</f>
        <v>2.125</v>
      </c>
      <c r="I14" s="49">
        <f>AVERAGE(C306,C308,C315,C313)</f>
        <v>1.875</v>
      </c>
      <c r="J14" s="49">
        <f>AVERAGE(C302,C304,C312,C318)</f>
        <v>2.375</v>
      </c>
      <c r="K14" s="49">
        <f>AVERAGE(C303,C314,C319,C321)</f>
        <v>3.25</v>
      </c>
      <c r="L14" s="49">
        <f>AVERAGE(C305,C311,C320,C322)</f>
        <v>2.625</v>
      </c>
    </row>
    <row r="15" spans="1:15" x14ac:dyDescent="0.3">
      <c r="A15" s="34"/>
      <c r="B15" s="34"/>
      <c r="C15" s="34"/>
      <c r="D15" s="34"/>
      <c r="E15" s="25">
        <v>12</v>
      </c>
      <c r="F15" s="39">
        <v>45384</v>
      </c>
      <c r="G15" s="49">
        <f>AVERAGE(C335,C337,C344,C352)</f>
        <v>1</v>
      </c>
      <c r="H15" s="49">
        <f>AVERAGE(C329,C345,C351,C338)</f>
        <v>1.375</v>
      </c>
      <c r="I15" s="49">
        <f>AVERAGE(C334,C336,C341,C343)</f>
        <v>1.5</v>
      </c>
      <c r="J15" s="49">
        <f>AVERAGE(C330,C332,C340,C346)</f>
        <v>1</v>
      </c>
      <c r="K15" s="49">
        <f>AVERAGE(C331,C347,C349,C342)</f>
        <v>1.25</v>
      </c>
      <c r="L15" s="49">
        <f>AVERAGE(C333,C348,C339,C350)</f>
        <v>2</v>
      </c>
    </row>
    <row r="16" spans="1:15" x14ac:dyDescent="0.3">
      <c r="A16" s="34"/>
      <c r="B16" s="34"/>
      <c r="C16" s="34"/>
      <c r="D16" s="34"/>
      <c r="E16" s="25">
        <v>13</v>
      </c>
      <c r="F16" s="39">
        <v>45399</v>
      </c>
      <c r="G16" s="49">
        <f>AVERAGE(C363,C365,C372,C380)</f>
        <v>1</v>
      </c>
      <c r="H16" s="49">
        <f>AVERAGE(C357,C366,C373,C379)</f>
        <v>1</v>
      </c>
      <c r="I16" s="49">
        <f>AVERAGE(C362,C364,C369,C371)</f>
        <v>1</v>
      </c>
      <c r="J16" s="49">
        <f>AVERAGE(C358,C360,C368,C374)</f>
        <v>1</v>
      </c>
      <c r="K16" s="49">
        <f>AVERAGE(C359,C370,C375,C377)</f>
        <v>1</v>
      </c>
      <c r="L16" s="49">
        <f>AVERAGE(C361,C367,C376,C378)</f>
        <v>1</v>
      </c>
    </row>
    <row r="19" spans="1:3" ht="14.5" thickBot="1" x14ac:dyDescent="0.35">
      <c r="A19" s="1" t="s">
        <v>36</v>
      </c>
      <c r="B19" s="18">
        <v>45216</v>
      </c>
    </row>
    <row r="20" spans="1:3" x14ac:dyDescent="0.3">
      <c r="A20" s="22" t="s">
        <v>27</v>
      </c>
      <c r="B20" s="30" t="s">
        <v>26</v>
      </c>
      <c r="C20" s="23" t="s">
        <v>28</v>
      </c>
    </row>
    <row r="21" spans="1:3" x14ac:dyDescent="0.3">
      <c r="A21" s="31">
        <v>1</v>
      </c>
      <c r="B21" s="9" t="s">
        <v>2</v>
      </c>
      <c r="C21" s="26">
        <v>1</v>
      </c>
    </row>
    <row r="22" spans="1:3" x14ac:dyDescent="0.3">
      <c r="A22" s="31">
        <v>2</v>
      </c>
      <c r="B22" s="14" t="s">
        <v>3</v>
      </c>
      <c r="C22" s="26">
        <v>1</v>
      </c>
    </row>
    <row r="23" spans="1:3" x14ac:dyDescent="0.3">
      <c r="A23" s="31">
        <v>3</v>
      </c>
      <c r="B23" s="12" t="s">
        <v>4</v>
      </c>
      <c r="C23" s="26">
        <v>1</v>
      </c>
    </row>
    <row r="24" spans="1:3" x14ac:dyDescent="0.3">
      <c r="A24" s="31">
        <v>4</v>
      </c>
      <c r="B24" s="14" t="s">
        <v>5</v>
      </c>
      <c r="C24" s="26">
        <v>1</v>
      </c>
    </row>
    <row r="25" spans="1:3" x14ac:dyDescent="0.3">
      <c r="A25" s="31">
        <v>5</v>
      </c>
      <c r="B25" s="20" t="s">
        <v>6</v>
      </c>
      <c r="C25" s="26">
        <v>3</v>
      </c>
    </row>
    <row r="26" spans="1:3" x14ac:dyDescent="0.3">
      <c r="A26" s="31">
        <v>6</v>
      </c>
      <c r="B26" s="6" t="s">
        <v>7</v>
      </c>
      <c r="C26" s="26">
        <v>2</v>
      </c>
    </row>
    <row r="27" spans="1:3" x14ac:dyDescent="0.3">
      <c r="A27" s="31">
        <v>7</v>
      </c>
      <c r="B27" s="21" t="s">
        <v>8</v>
      </c>
      <c r="C27" s="26">
        <v>2</v>
      </c>
    </row>
    <row r="28" spans="1:3" x14ac:dyDescent="0.3">
      <c r="A28" s="31">
        <v>8</v>
      </c>
      <c r="B28" s="6" t="s">
        <v>9</v>
      </c>
      <c r="C28" s="26">
        <v>2.5</v>
      </c>
    </row>
    <row r="29" spans="1:3" x14ac:dyDescent="0.3">
      <c r="A29" s="31">
        <v>9</v>
      </c>
      <c r="B29" s="21" t="s">
        <v>10</v>
      </c>
      <c r="C29" s="26">
        <v>1</v>
      </c>
    </row>
    <row r="30" spans="1:3" x14ac:dyDescent="0.3">
      <c r="A30" s="31">
        <v>10</v>
      </c>
      <c r="B30" s="9" t="s">
        <v>11</v>
      </c>
      <c r="C30" s="26">
        <v>2</v>
      </c>
    </row>
    <row r="31" spans="1:3" x14ac:dyDescent="0.3">
      <c r="A31" s="31">
        <v>11</v>
      </c>
      <c r="B31" s="20" t="s">
        <v>12</v>
      </c>
      <c r="C31" s="26">
        <v>1</v>
      </c>
    </row>
    <row r="32" spans="1:3" x14ac:dyDescent="0.3">
      <c r="A32" s="31">
        <v>12</v>
      </c>
      <c r="B32" s="14" t="s">
        <v>13</v>
      </c>
      <c r="C32" s="26">
        <v>1</v>
      </c>
    </row>
    <row r="33" spans="1:3" x14ac:dyDescent="0.3">
      <c r="A33" s="31">
        <v>13</v>
      </c>
      <c r="B33" s="6" t="s">
        <v>14</v>
      </c>
      <c r="C33" s="26">
        <v>3</v>
      </c>
    </row>
    <row r="34" spans="1:3" x14ac:dyDescent="0.3">
      <c r="A34" s="31">
        <v>14</v>
      </c>
      <c r="B34" s="12" t="s">
        <v>15</v>
      </c>
      <c r="C34" s="26">
        <v>3</v>
      </c>
    </row>
    <row r="35" spans="1:3" x14ac:dyDescent="0.3">
      <c r="A35" s="31">
        <v>15</v>
      </c>
      <c r="B35" s="6" t="s">
        <v>16</v>
      </c>
      <c r="C35" s="26">
        <v>1</v>
      </c>
    </row>
    <row r="36" spans="1:3" x14ac:dyDescent="0.3">
      <c r="A36" s="31">
        <v>16</v>
      </c>
      <c r="B36" s="21" t="s">
        <v>17</v>
      </c>
      <c r="C36" s="26">
        <v>3</v>
      </c>
    </row>
    <row r="37" spans="1:3" x14ac:dyDescent="0.3">
      <c r="A37" s="31">
        <v>17</v>
      </c>
      <c r="B37" s="9" t="s">
        <v>18</v>
      </c>
      <c r="C37" s="26">
        <v>3</v>
      </c>
    </row>
    <row r="38" spans="1:3" x14ac:dyDescent="0.3">
      <c r="A38" s="31">
        <v>18</v>
      </c>
      <c r="B38" s="14" t="s">
        <v>19</v>
      </c>
      <c r="C38" s="26">
        <v>2</v>
      </c>
    </row>
    <row r="39" spans="1:3" x14ac:dyDescent="0.3">
      <c r="A39" s="31">
        <v>19</v>
      </c>
      <c r="B39" s="12" t="s">
        <v>20</v>
      </c>
      <c r="C39" s="26">
        <v>2.5</v>
      </c>
    </row>
    <row r="40" spans="1:3" x14ac:dyDescent="0.3">
      <c r="A40" s="31">
        <v>20</v>
      </c>
      <c r="B40" s="20" t="s">
        <v>21</v>
      </c>
      <c r="C40" s="26">
        <v>3.5</v>
      </c>
    </row>
    <row r="41" spans="1:3" x14ac:dyDescent="0.3">
      <c r="A41" s="31">
        <v>21</v>
      </c>
      <c r="B41" s="12" t="s">
        <v>22</v>
      </c>
      <c r="C41" s="26">
        <v>5</v>
      </c>
    </row>
    <row r="42" spans="1:3" x14ac:dyDescent="0.3">
      <c r="A42" s="31">
        <v>22</v>
      </c>
      <c r="B42" s="20" t="s">
        <v>23</v>
      </c>
      <c r="C42" s="26">
        <v>4</v>
      </c>
    </row>
    <row r="43" spans="1:3" x14ac:dyDescent="0.3">
      <c r="A43" s="31">
        <v>23</v>
      </c>
      <c r="B43" s="9" t="s">
        <v>24</v>
      </c>
      <c r="C43" s="26">
        <v>5</v>
      </c>
    </row>
    <row r="44" spans="1:3" ht="14.5" thickBot="1" x14ac:dyDescent="0.35">
      <c r="A44" s="32">
        <v>24</v>
      </c>
      <c r="B44" s="33" t="s">
        <v>25</v>
      </c>
      <c r="C44" s="26">
        <v>5</v>
      </c>
    </row>
    <row r="46" spans="1:3" x14ac:dyDescent="0.3">
      <c r="C46" t="s">
        <v>55</v>
      </c>
    </row>
    <row r="47" spans="1:3" ht="14.5" thickBot="1" x14ac:dyDescent="0.35">
      <c r="A47" s="1" t="s">
        <v>36</v>
      </c>
      <c r="B47" s="18">
        <v>45229</v>
      </c>
    </row>
    <row r="48" spans="1:3" x14ac:dyDescent="0.3">
      <c r="A48" s="22" t="s">
        <v>27</v>
      </c>
      <c r="B48" s="30" t="s">
        <v>26</v>
      </c>
      <c r="C48" s="23" t="s">
        <v>28</v>
      </c>
    </row>
    <row r="49" spans="1:3" x14ac:dyDescent="0.3">
      <c r="A49" s="31">
        <v>1</v>
      </c>
      <c r="B49" s="9" t="s">
        <v>2</v>
      </c>
      <c r="C49" s="26">
        <v>1</v>
      </c>
    </row>
    <row r="50" spans="1:3" x14ac:dyDescent="0.3">
      <c r="A50" s="31">
        <v>2</v>
      </c>
      <c r="B50" s="14" t="s">
        <v>3</v>
      </c>
      <c r="C50" s="26">
        <v>1</v>
      </c>
    </row>
    <row r="51" spans="1:3" x14ac:dyDescent="0.3">
      <c r="A51" s="31">
        <v>3</v>
      </c>
      <c r="B51" s="12" t="s">
        <v>4</v>
      </c>
      <c r="C51" s="26">
        <v>1</v>
      </c>
    </row>
    <row r="52" spans="1:3" x14ac:dyDescent="0.3">
      <c r="A52" s="31">
        <v>4</v>
      </c>
      <c r="B52" s="14" t="s">
        <v>5</v>
      </c>
      <c r="C52" s="26">
        <v>1</v>
      </c>
    </row>
    <row r="53" spans="1:3" x14ac:dyDescent="0.3">
      <c r="A53" s="31">
        <v>5</v>
      </c>
      <c r="B53" s="20" t="s">
        <v>6</v>
      </c>
      <c r="C53" s="26">
        <v>2</v>
      </c>
    </row>
    <row r="54" spans="1:3" x14ac:dyDescent="0.3">
      <c r="A54" s="31">
        <v>6</v>
      </c>
      <c r="B54" s="6" t="s">
        <v>7</v>
      </c>
      <c r="C54" s="26">
        <v>2</v>
      </c>
    </row>
    <row r="55" spans="1:3" x14ac:dyDescent="0.3">
      <c r="A55" s="31">
        <v>7</v>
      </c>
      <c r="B55" s="21" t="s">
        <v>8</v>
      </c>
      <c r="C55" s="26">
        <v>1</v>
      </c>
    </row>
    <row r="56" spans="1:3" x14ac:dyDescent="0.3">
      <c r="A56" s="31">
        <v>8</v>
      </c>
      <c r="B56" s="6" t="s">
        <v>9</v>
      </c>
      <c r="C56" s="26">
        <v>1.5</v>
      </c>
    </row>
    <row r="57" spans="1:3" x14ac:dyDescent="0.3">
      <c r="A57" s="31">
        <v>9</v>
      </c>
      <c r="B57" s="21" t="s">
        <v>10</v>
      </c>
      <c r="C57" s="26">
        <v>1.5</v>
      </c>
    </row>
    <row r="58" spans="1:3" x14ac:dyDescent="0.3">
      <c r="A58" s="31">
        <v>10</v>
      </c>
      <c r="B58" s="9" t="s">
        <v>11</v>
      </c>
      <c r="C58" s="26">
        <v>1.5</v>
      </c>
    </row>
    <row r="59" spans="1:3" x14ac:dyDescent="0.3">
      <c r="A59" s="31">
        <v>11</v>
      </c>
      <c r="B59" s="20" t="s">
        <v>12</v>
      </c>
      <c r="C59" s="26">
        <v>1.5</v>
      </c>
    </row>
    <row r="60" spans="1:3" x14ac:dyDescent="0.3">
      <c r="A60" s="31">
        <v>12</v>
      </c>
      <c r="B60" s="14" t="s">
        <v>13</v>
      </c>
      <c r="C60" s="26">
        <v>1.5</v>
      </c>
    </row>
    <row r="61" spans="1:3" x14ac:dyDescent="0.3">
      <c r="A61" s="31">
        <v>13</v>
      </c>
      <c r="B61" s="6" t="s">
        <v>14</v>
      </c>
      <c r="C61" s="26">
        <v>1.5</v>
      </c>
    </row>
    <row r="62" spans="1:3" x14ac:dyDescent="0.3">
      <c r="A62" s="31">
        <v>14</v>
      </c>
      <c r="B62" s="12" t="s">
        <v>15</v>
      </c>
      <c r="C62" s="26">
        <v>2.5</v>
      </c>
    </row>
    <row r="63" spans="1:3" x14ac:dyDescent="0.3">
      <c r="A63" s="31">
        <v>15</v>
      </c>
      <c r="B63" s="6" t="s">
        <v>16</v>
      </c>
      <c r="C63" s="26">
        <v>1</v>
      </c>
    </row>
    <row r="64" spans="1:3" x14ac:dyDescent="0.3">
      <c r="A64" s="31">
        <v>16</v>
      </c>
      <c r="B64" s="21" t="s">
        <v>17</v>
      </c>
      <c r="C64" s="26">
        <v>2</v>
      </c>
    </row>
    <row r="65" spans="1:3" x14ac:dyDescent="0.3">
      <c r="A65" s="31">
        <v>17</v>
      </c>
      <c r="B65" s="9" t="s">
        <v>18</v>
      </c>
      <c r="C65" s="26">
        <v>1.5</v>
      </c>
    </row>
    <row r="66" spans="1:3" x14ac:dyDescent="0.3">
      <c r="A66" s="31">
        <v>18</v>
      </c>
      <c r="B66" s="14" t="s">
        <v>19</v>
      </c>
      <c r="C66" s="26">
        <v>1.5</v>
      </c>
    </row>
    <row r="67" spans="1:3" x14ac:dyDescent="0.3">
      <c r="A67" s="31">
        <v>19</v>
      </c>
      <c r="B67" s="12" t="s">
        <v>20</v>
      </c>
      <c r="C67" s="26">
        <v>2</v>
      </c>
    </row>
    <row r="68" spans="1:3" x14ac:dyDescent="0.3">
      <c r="A68" s="31">
        <v>20</v>
      </c>
      <c r="B68" s="20" t="s">
        <v>21</v>
      </c>
      <c r="C68" s="26">
        <v>1</v>
      </c>
    </row>
    <row r="69" spans="1:3" x14ac:dyDescent="0.3">
      <c r="A69" s="31">
        <v>21</v>
      </c>
      <c r="B69" s="12" t="s">
        <v>22</v>
      </c>
      <c r="C69" s="26">
        <v>3</v>
      </c>
    </row>
    <row r="70" spans="1:3" x14ac:dyDescent="0.3">
      <c r="A70" s="31">
        <v>22</v>
      </c>
      <c r="B70" s="20" t="s">
        <v>23</v>
      </c>
      <c r="C70" s="26">
        <v>3</v>
      </c>
    </row>
    <row r="71" spans="1:3" x14ac:dyDescent="0.3">
      <c r="A71" s="31">
        <v>23</v>
      </c>
      <c r="B71" s="9" t="s">
        <v>24</v>
      </c>
      <c r="C71" s="26">
        <v>3</v>
      </c>
    </row>
    <row r="72" spans="1:3" ht="14.5" thickBot="1" x14ac:dyDescent="0.35">
      <c r="A72" s="32">
        <v>24</v>
      </c>
      <c r="B72" s="33" t="s">
        <v>25</v>
      </c>
      <c r="C72" s="26">
        <v>2.5</v>
      </c>
    </row>
    <row r="75" spans="1:3" ht="14.5" thickBot="1" x14ac:dyDescent="0.35">
      <c r="A75" s="1" t="s">
        <v>36</v>
      </c>
      <c r="B75" s="18">
        <v>45243</v>
      </c>
    </row>
    <row r="76" spans="1:3" x14ac:dyDescent="0.3">
      <c r="A76" s="22" t="s">
        <v>27</v>
      </c>
      <c r="B76" s="30" t="s">
        <v>26</v>
      </c>
      <c r="C76" s="23" t="s">
        <v>28</v>
      </c>
    </row>
    <row r="77" spans="1:3" x14ac:dyDescent="0.3">
      <c r="A77" s="31">
        <v>1</v>
      </c>
      <c r="B77" s="9" t="s">
        <v>2</v>
      </c>
      <c r="C77" s="26">
        <v>1</v>
      </c>
    </row>
    <row r="78" spans="1:3" x14ac:dyDescent="0.3">
      <c r="A78" s="31">
        <v>2</v>
      </c>
      <c r="B78" s="14" t="s">
        <v>3</v>
      </c>
      <c r="C78" s="26">
        <v>1</v>
      </c>
    </row>
    <row r="79" spans="1:3" x14ac:dyDescent="0.3">
      <c r="A79" s="31">
        <v>3</v>
      </c>
      <c r="B79" s="12" t="s">
        <v>4</v>
      </c>
      <c r="C79" s="26">
        <v>1</v>
      </c>
    </row>
    <row r="80" spans="1:3" x14ac:dyDescent="0.3">
      <c r="A80" s="31">
        <v>4</v>
      </c>
      <c r="B80" s="14" t="s">
        <v>5</v>
      </c>
      <c r="C80" s="26">
        <v>1</v>
      </c>
    </row>
    <row r="81" spans="1:3" x14ac:dyDescent="0.3">
      <c r="A81" s="31">
        <v>5</v>
      </c>
      <c r="B81" s="20" t="s">
        <v>6</v>
      </c>
      <c r="C81" s="26">
        <v>1</v>
      </c>
    </row>
    <row r="82" spans="1:3" x14ac:dyDescent="0.3">
      <c r="A82" s="31">
        <v>6</v>
      </c>
      <c r="B82" s="6" t="s">
        <v>7</v>
      </c>
      <c r="C82" s="26">
        <v>1</v>
      </c>
    </row>
    <row r="83" spans="1:3" x14ac:dyDescent="0.3">
      <c r="A83" s="31">
        <v>7</v>
      </c>
      <c r="B83" s="21" t="s">
        <v>8</v>
      </c>
      <c r="C83" s="26">
        <v>1</v>
      </c>
    </row>
    <row r="84" spans="1:3" x14ac:dyDescent="0.3">
      <c r="A84" s="31">
        <v>8</v>
      </c>
      <c r="B84" s="6" t="s">
        <v>9</v>
      </c>
      <c r="C84" s="26">
        <v>1</v>
      </c>
    </row>
    <row r="85" spans="1:3" x14ac:dyDescent="0.3">
      <c r="A85" s="31">
        <v>9</v>
      </c>
      <c r="B85" s="21" t="s">
        <v>10</v>
      </c>
      <c r="C85" s="26">
        <v>1</v>
      </c>
    </row>
    <row r="86" spans="1:3" x14ac:dyDescent="0.3">
      <c r="A86" s="31">
        <v>10</v>
      </c>
      <c r="B86" s="9" t="s">
        <v>11</v>
      </c>
      <c r="C86" s="26">
        <v>1</v>
      </c>
    </row>
    <row r="87" spans="1:3" x14ac:dyDescent="0.3">
      <c r="A87" s="31">
        <v>11</v>
      </c>
      <c r="B87" s="20" t="s">
        <v>12</v>
      </c>
      <c r="C87" s="26">
        <v>1</v>
      </c>
    </row>
    <row r="88" spans="1:3" x14ac:dyDescent="0.3">
      <c r="A88" s="31">
        <v>12</v>
      </c>
      <c r="B88" s="14" t="s">
        <v>13</v>
      </c>
      <c r="C88" s="26">
        <v>1</v>
      </c>
    </row>
    <row r="89" spans="1:3" x14ac:dyDescent="0.3">
      <c r="A89" s="31">
        <v>13</v>
      </c>
      <c r="B89" s="6" t="s">
        <v>14</v>
      </c>
      <c r="C89" s="26">
        <v>1</v>
      </c>
    </row>
    <row r="90" spans="1:3" x14ac:dyDescent="0.3">
      <c r="A90" s="31">
        <v>14</v>
      </c>
      <c r="B90" s="12" t="s">
        <v>15</v>
      </c>
      <c r="C90" s="26">
        <v>1</v>
      </c>
    </row>
    <row r="91" spans="1:3" x14ac:dyDescent="0.3">
      <c r="A91" s="31">
        <v>15</v>
      </c>
      <c r="B91" s="6" t="s">
        <v>16</v>
      </c>
      <c r="C91" s="26">
        <v>1</v>
      </c>
    </row>
    <row r="92" spans="1:3" x14ac:dyDescent="0.3">
      <c r="A92" s="31">
        <v>16</v>
      </c>
      <c r="B92" s="21" t="s">
        <v>17</v>
      </c>
      <c r="C92" s="26">
        <v>1</v>
      </c>
    </row>
    <row r="93" spans="1:3" x14ac:dyDescent="0.3">
      <c r="A93" s="31">
        <v>17</v>
      </c>
      <c r="B93" s="9" t="s">
        <v>18</v>
      </c>
      <c r="C93" s="26">
        <v>1.5</v>
      </c>
    </row>
    <row r="94" spans="1:3" x14ac:dyDescent="0.3">
      <c r="A94" s="31">
        <v>18</v>
      </c>
      <c r="B94" s="14" t="s">
        <v>19</v>
      </c>
      <c r="C94" s="26">
        <v>1</v>
      </c>
    </row>
    <row r="95" spans="1:3" x14ac:dyDescent="0.3">
      <c r="A95" s="31">
        <v>19</v>
      </c>
      <c r="B95" s="12" t="s">
        <v>20</v>
      </c>
      <c r="C95" s="26">
        <v>1</v>
      </c>
    </row>
    <row r="96" spans="1:3" x14ac:dyDescent="0.3">
      <c r="A96" s="31">
        <v>20</v>
      </c>
      <c r="B96" s="20" t="s">
        <v>21</v>
      </c>
      <c r="C96" s="26">
        <v>1</v>
      </c>
    </row>
    <row r="97" spans="1:3" x14ac:dyDescent="0.3">
      <c r="A97" s="31">
        <v>21</v>
      </c>
      <c r="B97" s="12" t="s">
        <v>22</v>
      </c>
      <c r="C97" s="26">
        <v>2</v>
      </c>
    </row>
    <row r="98" spans="1:3" x14ac:dyDescent="0.3">
      <c r="A98" s="31">
        <v>22</v>
      </c>
      <c r="B98" s="20" t="s">
        <v>23</v>
      </c>
      <c r="C98" s="26">
        <v>2</v>
      </c>
    </row>
    <row r="99" spans="1:3" x14ac:dyDescent="0.3">
      <c r="A99" s="31">
        <v>23</v>
      </c>
      <c r="B99" s="9" t="s">
        <v>24</v>
      </c>
      <c r="C99" s="26">
        <v>2</v>
      </c>
    </row>
    <row r="100" spans="1:3" ht="14.5" thickBot="1" x14ac:dyDescent="0.35">
      <c r="A100" s="32">
        <v>24</v>
      </c>
      <c r="B100" s="33" t="s">
        <v>25</v>
      </c>
      <c r="C100" s="28">
        <v>1</v>
      </c>
    </row>
    <row r="103" spans="1:3" ht="14.5" thickBot="1" x14ac:dyDescent="0.35">
      <c r="A103" s="1" t="s">
        <v>36</v>
      </c>
      <c r="B103" s="18">
        <v>45257</v>
      </c>
    </row>
    <row r="104" spans="1:3" x14ac:dyDescent="0.3">
      <c r="A104" s="22" t="s">
        <v>27</v>
      </c>
      <c r="B104" s="30" t="s">
        <v>26</v>
      </c>
      <c r="C104" s="23" t="s">
        <v>28</v>
      </c>
    </row>
    <row r="105" spans="1:3" x14ac:dyDescent="0.3">
      <c r="A105" s="31">
        <v>1</v>
      </c>
      <c r="B105" s="9" t="s">
        <v>2</v>
      </c>
      <c r="C105" s="50">
        <v>1</v>
      </c>
    </row>
    <row r="106" spans="1:3" x14ac:dyDescent="0.3">
      <c r="A106" s="31">
        <v>2</v>
      </c>
      <c r="B106" s="14" t="s">
        <v>3</v>
      </c>
      <c r="C106" s="50">
        <v>1</v>
      </c>
    </row>
    <row r="107" spans="1:3" x14ac:dyDescent="0.3">
      <c r="A107" s="31">
        <v>3</v>
      </c>
      <c r="B107" s="12" t="s">
        <v>4</v>
      </c>
      <c r="C107" s="50">
        <v>1</v>
      </c>
    </row>
    <row r="108" spans="1:3" x14ac:dyDescent="0.3">
      <c r="A108" s="31">
        <v>4</v>
      </c>
      <c r="B108" s="14" t="s">
        <v>5</v>
      </c>
      <c r="C108" s="50">
        <v>1</v>
      </c>
    </row>
    <row r="109" spans="1:3" x14ac:dyDescent="0.3">
      <c r="A109" s="31">
        <v>5</v>
      </c>
      <c r="B109" s="20" t="s">
        <v>6</v>
      </c>
      <c r="C109" s="50">
        <v>1</v>
      </c>
    </row>
    <row r="110" spans="1:3" x14ac:dyDescent="0.3">
      <c r="A110" s="31">
        <v>6</v>
      </c>
      <c r="B110" s="6" t="s">
        <v>7</v>
      </c>
      <c r="C110" s="50">
        <v>1</v>
      </c>
    </row>
    <row r="111" spans="1:3" x14ac:dyDescent="0.3">
      <c r="A111" s="31">
        <v>7</v>
      </c>
      <c r="B111" s="21" t="s">
        <v>8</v>
      </c>
      <c r="C111" s="50">
        <v>1</v>
      </c>
    </row>
    <row r="112" spans="1:3" x14ac:dyDescent="0.3">
      <c r="A112" s="31">
        <v>8</v>
      </c>
      <c r="B112" s="6" t="s">
        <v>9</v>
      </c>
      <c r="C112" s="50">
        <v>1</v>
      </c>
    </row>
    <row r="113" spans="1:3" x14ac:dyDescent="0.3">
      <c r="A113" s="31">
        <v>9</v>
      </c>
      <c r="B113" s="21" t="s">
        <v>10</v>
      </c>
      <c r="C113" s="50">
        <v>1</v>
      </c>
    </row>
    <row r="114" spans="1:3" x14ac:dyDescent="0.3">
      <c r="A114" s="31">
        <v>10</v>
      </c>
      <c r="B114" s="9" t="s">
        <v>11</v>
      </c>
      <c r="C114" s="50">
        <v>1</v>
      </c>
    </row>
    <row r="115" spans="1:3" x14ac:dyDescent="0.3">
      <c r="A115" s="31">
        <v>11</v>
      </c>
      <c r="B115" s="20" t="s">
        <v>12</v>
      </c>
      <c r="C115" s="50">
        <v>1</v>
      </c>
    </row>
    <row r="116" spans="1:3" x14ac:dyDescent="0.3">
      <c r="A116" s="31">
        <v>12</v>
      </c>
      <c r="B116" s="14" t="s">
        <v>13</v>
      </c>
      <c r="C116" s="50">
        <v>1</v>
      </c>
    </row>
    <row r="117" spans="1:3" x14ac:dyDescent="0.3">
      <c r="A117" s="31">
        <v>13</v>
      </c>
      <c r="B117" s="6" t="s">
        <v>14</v>
      </c>
      <c r="C117" s="50">
        <v>1</v>
      </c>
    </row>
    <row r="118" spans="1:3" x14ac:dyDescent="0.3">
      <c r="A118" s="31">
        <v>14</v>
      </c>
      <c r="B118" s="12" t="s">
        <v>15</v>
      </c>
      <c r="C118" s="50">
        <v>2</v>
      </c>
    </row>
    <row r="119" spans="1:3" x14ac:dyDescent="0.3">
      <c r="A119" s="31">
        <v>15</v>
      </c>
      <c r="B119" s="6" t="s">
        <v>16</v>
      </c>
      <c r="C119" s="50">
        <v>1</v>
      </c>
    </row>
    <row r="120" spans="1:3" x14ac:dyDescent="0.3">
      <c r="A120" s="31">
        <v>16</v>
      </c>
      <c r="B120" s="21" t="s">
        <v>17</v>
      </c>
      <c r="C120" s="50">
        <v>1</v>
      </c>
    </row>
    <row r="121" spans="1:3" x14ac:dyDescent="0.3">
      <c r="A121" s="31">
        <v>17</v>
      </c>
      <c r="B121" s="9" t="s">
        <v>18</v>
      </c>
      <c r="C121" s="50">
        <v>1</v>
      </c>
    </row>
    <row r="122" spans="1:3" x14ac:dyDescent="0.3">
      <c r="A122" s="31">
        <v>18</v>
      </c>
      <c r="B122" s="14" t="s">
        <v>19</v>
      </c>
      <c r="C122" s="50">
        <v>1</v>
      </c>
    </row>
    <row r="123" spans="1:3" x14ac:dyDescent="0.3">
      <c r="A123" s="31">
        <v>19</v>
      </c>
      <c r="B123" s="12" t="s">
        <v>20</v>
      </c>
      <c r="C123" s="50">
        <v>1</v>
      </c>
    </row>
    <row r="124" spans="1:3" x14ac:dyDescent="0.3">
      <c r="A124" s="31">
        <v>20</v>
      </c>
      <c r="B124" s="20" t="s">
        <v>21</v>
      </c>
      <c r="C124" s="50">
        <v>1</v>
      </c>
    </row>
    <row r="125" spans="1:3" x14ac:dyDescent="0.3">
      <c r="A125" s="31">
        <v>21</v>
      </c>
      <c r="B125" s="12" t="s">
        <v>22</v>
      </c>
      <c r="C125" s="50">
        <v>2</v>
      </c>
    </row>
    <row r="126" spans="1:3" x14ac:dyDescent="0.3">
      <c r="A126" s="31">
        <v>22</v>
      </c>
      <c r="B126" s="20" t="s">
        <v>23</v>
      </c>
      <c r="C126" s="50">
        <v>2</v>
      </c>
    </row>
    <row r="127" spans="1:3" x14ac:dyDescent="0.3">
      <c r="A127" s="31">
        <v>23</v>
      </c>
      <c r="B127" s="9" t="s">
        <v>24</v>
      </c>
      <c r="C127" s="50">
        <v>2</v>
      </c>
    </row>
    <row r="128" spans="1:3" ht="14.5" thickBot="1" x14ac:dyDescent="0.35">
      <c r="A128" s="32">
        <v>24</v>
      </c>
      <c r="B128" s="33" t="s">
        <v>25</v>
      </c>
      <c r="C128" s="55">
        <v>2</v>
      </c>
    </row>
    <row r="131" spans="1:3" ht="14.5" thickBot="1" x14ac:dyDescent="0.35">
      <c r="A131" s="1" t="s">
        <v>36</v>
      </c>
      <c r="B131" s="18">
        <v>45271</v>
      </c>
    </row>
    <row r="132" spans="1:3" x14ac:dyDescent="0.3">
      <c r="A132" s="22" t="s">
        <v>27</v>
      </c>
      <c r="B132" s="30" t="s">
        <v>26</v>
      </c>
      <c r="C132" s="23" t="s">
        <v>28</v>
      </c>
    </row>
    <row r="133" spans="1:3" x14ac:dyDescent="0.3">
      <c r="A133" s="31">
        <v>1</v>
      </c>
      <c r="B133" s="9" t="s">
        <v>2</v>
      </c>
      <c r="C133" s="50">
        <v>1</v>
      </c>
    </row>
    <row r="134" spans="1:3" x14ac:dyDescent="0.3">
      <c r="A134" s="31">
        <v>2</v>
      </c>
      <c r="B134" s="14" t="s">
        <v>3</v>
      </c>
      <c r="C134" s="50">
        <v>1</v>
      </c>
    </row>
    <row r="135" spans="1:3" x14ac:dyDescent="0.3">
      <c r="A135" s="31">
        <v>3</v>
      </c>
      <c r="B135" s="12" t="s">
        <v>4</v>
      </c>
      <c r="C135" s="50">
        <v>1</v>
      </c>
    </row>
    <row r="136" spans="1:3" x14ac:dyDescent="0.3">
      <c r="A136" s="31">
        <v>4</v>
      </c>
      <c r="B136" s="14" t="s">
        <v>5</v>
      </c>
      <c r="C136" s="50">
        <v>1</v>
      </c>
    </row>
    <row r="137" spans="1:3" x14ac:dyDescent="0.3">
      <c r="A137" s="31">
        <v>5</v>
      </c>
      <c r="B137" s="20" t="s">
        <v>6</v>
      </c>
      <c r="C137" s="50">
        <v>1</v>
      </c>
    </row>
    <row r="138" spans="1:3" x14ac:dyDescent="0.3">
      <c r="A138" s="31">
        <v>6</v>
      </c>
      <c r="B138" s="6" t="s">
        <v>7</v>
      </c>
      <c r="C138" s="50">
        <v>1</v>
      </c>
    </row>
    <row r="139" spans="1:3" x14ac:dyDescent="0.3">
      <c r="A139" s="31">
        <v>7</v>
      </c>
      <c r="B139" s="21" t="s">
        <v>8</v>
      </c>
      <c r="C139" s="50">
        <v>1</v>
      </c>
    </row>
    <row r="140" spans="1:3" x14ac:dyDescent="0.3">
      <c r="A140" s="31">
        <v>8</v>
      </c>
      <c r="B140" s="6" t="s">
        <v>9</v>
      </c>
      <c r="C140" s="50">
        <v>1</v>
      </c>
    </row>
    <row r="141" spans="1:3" x14ac:dyDescent="0.3">
      <c r="A141" s="31">
        <v>9</v>
      </c>
      <c r="B141" s="21" t="s">
        <v>10</v>
      </c>
      <c r="C141" s="50">
        <v>1</v>
      </c>
    </row>
    <row r="142" spans="1:3" x14ac:dyDescent="0.3">
      <c r="A142" s="31">
        <v>10</v>
      </c>
      <c r="B142" s="9" t="s">
        <v>11</v>
      </c>
      <c r="C142" s="50">
        <v>1</v>
      </c>
    </row>
    <row r="143" spans="1:3" x14ac:dyDescent="0.3">
      <c r="A143" s="31">
        <v>11</v>
      </c>
      <c r="B143" s="20" t="s">
        <v>12</v>
      </c>
      <c r="C143" s="50">
        <v>1</v>
      </c>
    </row>
    <row r="144" spans="1:3" x14ac:dyDescent="0.3">
      <c r="A144" s="31">
        <v>12</v>
      </c>
      <c r="B144" s="14" t="s">
        <v>13</v>
      </c>
      <c r="C144" s="50">
        <v>1</v>
      </c>
    </row>
    <row r="145" spans="1:3" x14ac:dyDescent="0.3">
      <c r="A145" s="31">
        <v>13</v>
      </c>
      <c r="B145" s="6" t="s">
        <v>14</v>
      </c>
      <c r="C145" s="50">
        <v>1</v>
      </c>
    </row>
    <row r="146" spans="1:3" x14ac:dyDescent="0.3">
      <c r="A146" s="31">
        <v>14</v>
      </c>
      <c r="B146" s="12" t="s">
        <v>15</v>
      </c>
      <c r="C146" s="50">
        <v>1.5</v>
      </c>
    </row>
    <row r="147" spans="1:3" x14ac:dyDescent="0.3">
      <c r="A147" s="31">
        <v>15</v>
      </c>
      <c r="B147" s="6" t="s">
        <v>16</v>
      </c>
      <c r="C147" s="50">
        <v>1</v>
      </c>
    </row>
    <row r="148" spans="1:3" x14ac:dyDescent="0.3">
      <c r="A148" s="31">
        <v>16</v>
      </c>
      <c r="B148" s="21" t="s">
        <v>17</v>
      </c>
      <c r="C148" s="50">
        <v>1</v>
      </c>
    </row>
    <row r="149" spans="1:3" x14ac:dyDescent="0.3">
      <c r="A149" s="31">
        <v>17</v>
      </c>
      <c r="B149" s="9" t="s">
        <v>18</v>
      </c>
      <c r="C149" s="50">
        <v>1</v>
      </c>
    </row>
    <row r="150" spans="1:3" x14ac:dyDescent="0.3">
      <c r="A150" s="31">
        <v>18</v>
      </c>
      <c r="B150" s="14" t="s">
        <v>19</v>
      </c>
      <c r="C150" s="50">
        <v>1</v>
      </c>
    </row>
    <row r="151" spans="1:3" x14ac:dyDescent="0.3">
      <c r="A151" s="31">
        <v>19</v>
      </c>
      <c r="B151" s="12" t="s">
        <v>20</v>
      </c>
      <c r="C151" s="50">
        <v>1</v>
      </c>
    </row>
    <row r="152" spans="1:3" x14ac:dyDescent="0.3">
      <c r="A152" s="31">
        <v>20</v>
      </c>
      <c r="B152" s="20" t="s">
        <v>21</v>
      </c>
      <c r="C152" s="50">
        <v>1</v>
      </c>
    </row>
    <row r="153" spans="1:3" x14ac:dyDescent="0.3">
      <c r="A153" s="31">
        <v>21</v>
      </c>
      <c r="B153" s="12" t="s">
        <v>22</v>
      </c>
      <c r="C153" s="50">
        <v>1.5</v>
      </c>
    </row>
    <row r="154" spans="1:3" x14ac:dyDescent="0.3">
      <c r="A154" s="31">
        <v>22</v>
      </c>
      <c r="B154" s="20" t="s">
        <v>23</v>
      </c>
      <c r="C154" s="50">
        <v>1.5</v>
      </c>
    </row>
    <row r="155" spans="1:3" x14ac:dyDescent="0.3">
      <c r="A155" s="31">
        <v>23</v>
      </c>
      <c r="B155" s="9" t="s">
        <v>24</v>
      </c>
      <c r="C155" s="50">
        <v>1.5</v>
      </c>
    </row>
    <row r="156" spans="1:3" ht="14.5" thickBot="1" x14ac:dyDescent="0.35">
      <c r="A156" s="32">
        <v>24</v>
      </c>
      <c r="B156" s="33" t="s">
        <v>25</v>
      </c>
      <c r="C156" s="55">
        <v>1.5</v>
      </c>
    </row>
    <row r="159" spans="1:3" ht="14.5" thickBot="1" x14ac:dyDescent="0.35">
      <c r="A159" s="1" t="s">
        <v>36</v>
      </c>
      <c r="B159" s="18">
        <v>45287</v>
      </c>
    </row>
    <row r="160" spans="1:3" x14ac:dyDescent="0.3">
      <c r="A160" s="22" t="s">
        <v>27</v>
      </c>
      <c r="B160" s="30" t="s">
        <v>26</v>
      </c>
      <c r="C160" s="23" t="s">
        <v>28</v>
      </c>
    </row>
    <row r="161" spans="1:3" x14ac:dyDescent="0.3">
      <c r="A161" s="31">
        <v>1</v>
      </c>
      <c r="B161" s="9" t="s">
        <v>2</v>
      </c>
      <c r="C161" s="50">
        <v>3.5</v>
      </c>
    </row>
    <row r="162" spans="1:3" x14ac:dyDescent="0.3">
      <c r="A162" s="31">
        <v>2</v>
      </c>
      <c r="B162" s="14" t="s">
        <v>3</v>
      </c>
      <c r="C162" s="50">
        <v>3.5</v>
      </c>
    </row>
    <row r="163" spans="1:3" x14ac:dyDescent="0.3">
      <c r="A163" s="31">
        <v>3</v>
      </c>
      <c r="B163" s="12" t="s">
        <v>4</v>
      </c>
      <c r="C163" s="50">
        <v>1</v>
      </c>
    </row>
    <row r="164" spans="1:3" x14ac:dyDescent="0.3">
      <c r="A164" s="31">
        <v>4</v>
      </c>
      <c r="B164" s="14" t="s">
        <v>5</v>
      </c>
      <c r="C164" s="50">
        <v>1</v>
      </c>
    </row>
    <row r="165" spans="1:3" x14ac:dyDescent="0.3">
      <c r="A165" s="31">
        <v>5</v>
      </c>
      <c r="B165" s="20" t="s">
        <v>6</v>
      </c>
      <c r="C165" s="50">
        <v>3.5</v>
      </c>
    </row>
    <row r="166" spans="1:3" x14ac:dyDescent="0.3">
      <c r="A166" s="31">
        <v>6</v>
      </c>
      <c r="B166" s="6" t="s">
        <v>7</v>
      </c>
      <c r="C166" s="50">
        <v>1</v>
      </c>
    </row>
    <row r="167" spans="1:3" x14ac:dyDescent="0.3">
      <c r="A167" s="31">
        <v>7</v>
      </c>
      <c r="B167" s="21" t="s">
        <v>8</v>
      </c>
      <c r="C167" s="50">
        <v>3.5</v>
      </c>
    </row>
    <row r="168" spans="1:3" x14ac:dyDescent="0.3">
      <c r="A168" s="31">
        <v>8</v>
      </c>
      <c r="B168" s="6" t="s">
        <v>9</v>
      </c>
      <c r="C168" s="50">
        <v>1</v>
      </c>
    </row>
    <row r="169" spans="1:3" x14ac:dyDescent="0.3">
      <c r="A169" s="31">
        <v>9</v>
      </c>
      <c r="B169" s="21" t="s">
        <v>10</v>
      </c>
      <c r="C169" s="50">
        <v>3</v>
      </c>
    </row>
    <row r="170" spans="1:3" x14ac:dyDescent="0.3">
      <c r="A170" s="31">
        <v>10</v>
      </c>
      <c r="B170" s="9" t="s">
        <v>11</v>
      </c>
      <c r="C170" s="50">
        <v>1</v>
      </c>
    </row>
    <row r="171" spans="1:3" x14ac:dyDescent="0.3">
      <c r="A171" s="31">
        <v>11</v>
      </c>
      <c r="B171" s="20" t="s">
        <v>12</v>
      </c>
      <c r="C171" s="50">
        <v>1</v>
      </c>
    </row>
    <row r="172" spans="1:3" x14ac:dyDescent="0.3">
      <c r="A172" s="31">
        <v>12</v>
      </c>
      <c r="B172" s="14" t="s">
        <v>13</v>
      </c>
      <c r="C172" s="50">
        <v>1</v>
      </c>
    </row>
    <row r="173" spans="1:3" x14ac:dyDescent="0.3">
      <c r="A173" s="31">
        <v>13</v>
      </c>
      <c r="B173" s="6" t="s">
        <v>14</v>
      </c>
      <c r="C173" s="50">
        <v>1</v>
      </c>
    </row>
    <row r="174" spans="1:3" x14ac:dyDescent="0.3">
      <c r="A174" s="31">
        <v>14</v>
      </c>
      <c r="B174" s="12" t="s">
        <v>15</v>
      </c>
      <c r="C174" s="50">
        <v>3</v>
      </c>
    </row>
    <row r="175" spans="1:3" x14ac:dyDescent="0.3">
      <c r="A175" s="31">
        <v>15</v>
      </c>
      <c r="B175" s="6" t="s">
        <v>16</v>
      </c>
      <c r="C175" s="50">
        <v>3</v>
      </c>
    </row>
    <row r="176" spans="1:3" x14ac:dyDescent="0.3">
      <c r="A176" s="31">
        <v>16</v>
      </c>
      <c r="B176" s="21" t="s">
        <v>17</v>
      </c>
      <c r="C176" s="50">
        <v>3.5</v>
      </c>
    </row>
    <row r="177" spans="1:3" x14ac:dyDescent="0.3">
      <c r="A177" s="31">
        <v>17</v>
      </c>
      <c r="B177" s="9" t="s">
        <v>18</v>
      </c>
      <c r="C177" s="50">
        <v>1</v>
      </c>
    </row>
    <row r="178" spans="1:3" x14ac:dyDescent="0.3">
      <c r="A178" s="31">
        <v>18</v>
      </c>
      <c r="B178" s="14" t="s">
        <v>19</v>
      </c>
      <c r="C178" s="50">
        <v>3</v>
      </c>
    </row>
    <row r="179" spans="1:3" x14ac:dyDescent="0.3">
      <c r="A179" s="31">
        <v>19</v>
      </c>
      <c r="B179" s="12" t="s">
        <v>20</v>
      </c>
      <c r="C179" s="50">
        <v>3.5</v>
      </c>
    </row>
    <row r="180" spans="1:3" x14ac:dyDescent="0.3">
      <c r="A180" s="31">
        <v>20</v>
      </c>
      <c r="B180" s="20" t="s">
        <v>21</v>
      </c>
      <c r="C180" s="50">
        <v>3</v>
      </c>
    </row>
    <row r="181" spans="1:3" x14ac:dyDescent="0.3">
      <c r="A181" s="31">
        <v>21</v>
      </c>
      <c r="B181" s="12" t="s">
        <v>22</v>
      </c>
      <c r="C181" s="50">
        <v>3</v>
      </c>
    </row>
    <row r="182" spans="1:3" x14ac:dyDescent="0.3">
      <c r="A182" s="31">
        <v>22</v>
      </c>
      <c r="B182" s="20" t="s">
        <v>23</v>
      </c>
      <c r="C182" s="50">
        <v>3.5</v>
      </c>
    </row>
    <row r="183" spans="1:3" x14ac:dyDescent="0.3">
      <c r="A183" s="31">
        <v>23</v>
      </c>
      <c r="B183" s="9" t="s">
        <v>24</v>
      </c>
      <c r="C183" s="50">
        <v>1</v>
      </c>
    </row>
    <row r="184" spans="1:3" ht="14.5" thickBot="1" x14ac:dyDescent="0.35">
      <c r="A184" s="32">
        <v>24</v>
      </c>
      <c r="B184" s="33" t="s">
        <v>25</v>
      </c>
      <c r="C184" s="55">
        <v>3</v>
      </c>
    </row>
    <row r="186" spans="1:3" x14ac:dyDescent="0.3">
      <c r="A186" s="57">
        <v>45299</v>
      </c>
      <c r="B186" t="s">
        <v>61</v>
      </c>
    </row>
    <row r="187" spans="1:3" ht="14.5" thickBot="1" x14ac:dyDescent="0.35">
      <c r="A187" s="1" t="s">
        <v>36</v>
      </c>
      <c r="B187" s="18">
        <v>45313</v>
      </c>
    </row>
    <row r="188" spans="1:3" x14ac:dyDescent="0.3">
      <c r="A188" s="22" t="s">
        <v>27</v>
      </c>
      <c r="B188" s="30" t="s">
        <v>26</v>
      </c>
      <c r="C188" s="23" t="s">
        <v>28</v>
      </c>
    </row>
    <row r="189" spans="1:3" x14ac:dyDescent="0.3">
      <c r="A189" s="31">
        <v>1</v>
      </c>
      <c r="B189" s="9" t="s">
        <v>2</v>
      </c>
      <c r="C189" s="50">
        <v>3.5</v>
      </c>
    </row>
    <row r="190" spans="1:3" x14ac:dyDescent="0.3">
      <c r="A190" s="31">
        <v>2</v>
      </c>
      <c r="B190" s="14" t="s">
        <v>3</v>
      </c>
      <c r="C190" s="50">
        <v>3</v>
      </c>
    </row>
    <row r="191" spans="1:3" x14ac:dyDescent="0.3">
      <c r="A191" s="31">
        <v>3</v>
      </c>
      <c r="B191" s="12" t="s">
        <v>4</v>
      </c>
      <c r="C191" s="50">
        <v>1.5</v>
      </c>
    </row>
    <row r="192" spans="1:3" x14ac:dyDescent="0.3">
      <c r="A192" s="31">
        <v>4</v>
      </c>
      <c r="B192" s="14" t="s">
        <v>5</v>
      </c>
      <c r="C192" s="50">
        <v>1.5</v>
      </c>
    </row>
    <row r="193" spans="1:3" x14ac:dyDescent="0.3">
      <c r="A193" s="31">
        <v>5</v>
      </c>
      <c r="B193" s="20" t="s">
        <v>6</v>
      </c>
      <c r="C193" s="50">
        <v>3.5</v>
      </c>
    </row>
    <row r="194" spans="1:3" x14ac:dyDescent="0.3">
      <c r="A194" s="31">
        <v>6</v>
      </c>
      <c r="B194" s="6" t="s">
        <v>7</v>
      </c>
      <c r="C194" s="50">
        <v>1</v>
      </c>
    </row>
    <row r="195" spans="1:3" x14ac:dyDescent="0.3">
      <c r="A195" s="31">
        <v>7</v>
      </c>
      <c r="B195" s="21" t="s">
        <v>8</v>
      </c>
      <c r="C195" s="50">
        <v>2.5</v>
      </c>
    </row>
    <row r="196" spans="1:3" x14ac:dyDescent="0.3">
      <c r="A196" s="31">
        <v>8</v>
      </c>
      <c r="B196" s="6" t="s">
        <v>9</v>
      </c>
      <c r="C196" s="50">
        <v>1</v>
      </c>
    </row>
    <row r="197" spans="1:3" x14ac:dyDescent="0.3">
      <c r="A197" s="31">
        <v>9</v>
      </c>
      <c r="B197" s="21" t="s">
        <v>10</v>
      </c>
      <c r="C197" s="50">
        <v>2.5</v>
      </c>
    </row>
    <row r="198" spans="1:3" x14ac:dyDescent="0.3">
      <c r="A198" s="31">
        <v>10</v>
      </c>
      <c r="B198" s="9" t="s">
        <v>11</v>
      </c>
      <c r="C198" s="50">
        <v>1</v>
      </c>
    </row>
    <row r="199" spans="1:3" x14ac:dyDescent="0.3">
      <c r="A199" s="31">
        <v>11</v>
      </c>
      <c r="B199" s="20" t="s">
        <v>12</v>
      </c>
      <c r="C199" s="50">
        <v>1</v>
      </c>
    </row>
    <row r="200" spans="1:3" x14ac:dyDescent="0.3">
      <c r="A200" s="31">
        <v>12</v>
      </c>
      <c r="B200" s="14" t="s">
        <v>13</v>
      </c>
      <c r="C200" s="50">
        <v>1</v>
      </c>
    </row>
    <row r="201" spans="1:3" x14ac:dyDescent="0.3">
      <c r="A201" s="31">
        <v>13</v>
      </c>
      <c r="B201" s="6" t="s">
        <v>14</v>
      </c>
      <c r="C201" s="50">
        <v>1.5</v>
      </c>
    </row>
    <row r="202" spans="1:3" x14ac:dyDescent="0.3">
      <c r="A202" s="31">
        <v>14</v>
      </c>
      <c r="B202" s="12" t="s">
        <v>15</v>
      </c>
      <c r="C202" s="50">
        <v>3</v>
      </c>
    </row>
    <row r="203" spans="1:3" x14ac:dyDescent="0.3">
      <c r="A203" s="31">
        <v>15</v>
      </c>
      <c r="B203" s="6" t="s">
        <v>16</v>
      </c>
      <c r="C203" s="50">
        <v>3</v>
      </c>
    </row>
    <row r="204" spans="1:3" x14ac:dyDescent="0.3">
      <c r="A204" s="31">
        <v>16</v>
      </c>
      <c r="B204" s="21" t="s">
        <v>17</v>
      </c>
      <c r="C204" s="50">
        <v>3.5</v>
      </c>
    </row>
    <row r="205" spans="1:3" x14ac:dyDescent="0.3">
      <c r="A205" s="31">
        <v>17</v>
      </c>
      <c r="B205" s="9" t="s">
        <v>18</v>
      </c>
      <c r="C205" s="50">
        <v>1</v>
      </c>
    </row>
    <row r="206" spans="1:3" x14ac:dyDescent="0.3">
      <c r="A206" s="31">
        <v>18</v>
      </c>
      <c r="B206" s="14" t="s">
        <v>19</v>
      </c>
      <c r="C206" s="50">
        <v>1.5</v>
      </c>
    </row>
    <row r="207" spans="1:3" x14ac:dyDescent="0.3">
      <c r="A207" s="31">
        <v>19</v>
      </c>
      <c r="B207" s="12" t="s">
        <v>20</v>
      </c>
      <c r="C207" s="50">
        <v>3.5</v>
      </c>
    </row>
    <row r="208" spans="1:3" x14ac:dyDescent="0.3">
      <c r="A208" s="31">
        <v>20</v>
      </c>
      <c r="B208" s="20" t="s">
        <v>21</v>
      </c>
      <c r="C208" s="50">
        <v>1</v>
      </c>
    </row>
    <row r="209" spans="1:3" x14ac:dyDescent="0.3">
      <c r="A209" s="31">
        <v>21</v>
      </c>
      <c r="B209" s="12" t="s">
        <v>22</v>
      </c>
      <c r="C209" s="50">
        <v>2.5</v>
      </c>
    </row>
    <row r="210" spans="1:3" x14ac:dyDescent="0.3">
      <c r="A210" s="31">
        <v>22</v>
      </c>
      <c r="B210" s="20" t="s">
        <v>23</v>
      </c>
      <c r="C210" s="50">
        <v>3.5</v>
      </c>
    </row>
    <row r="211" spans="1:3" x14ac:dyDescent="0.3">
      <c r="A211" s="31">
        <v>23</v>
      </c>
      <c r="B211" s="9" t="s">
        <v>24</v>
      </c>
      <c r="C211" s="50">
        <v>1</v>
      </c>
    </row>
    <row r="212" spans="1:3" ht="14.5" thickBot="1" x14ac:dyDescent="0.35">
      <c r="A212" s="32">
        <v>24</v>
      </c>
      <c r="B212" s="33" t="s">
        <v>25</v>
      </c>
      <c r="C212" s="55">
        <v>1</v>
      </c>
    </row>
    <row r="215" spans="1:3" ht="14.5" thickBot="1" x14ac:dyDescent="0.35">
      <c r="A215" s="1" t="s">
        <v>36</v>
      </c>
      <c r="B215" s="18">
        <v>45327</v>
      </c>
    </row>
    <row r="216" spans="1:3" x14ac:dyDescent="0.3">
      <c r="A216" s="22" t="s">
        <v>27</v>
      </c>
      <c r="B216" s="30" t="s">
        <v>26</v>
      </c>
      <c r="C216" s="23" t="s">
        <v>28</v>
      </c>
    </row>
    <row r="217" spans="1:3" x14ac:dyDescent="0.3">
      <c r="A217" s="31">
        <v>1</v>
      </c>
      <c r="B217" s="9" t="s">
        <v>2</v>
      </c>
      <c r="C217" s="50">
        <v>3.5</v>
      </c>
    </row>
    <row r="218" spans="1:3" x14ac:dyDescent="0.3">
      <c r="A218" s="31">
        <v>2</v>
      </c>
      <c r="B218" s="14" t="s">
        <v>3</v>
      </c>
      <c r="C218" s="50">
        <v>2.5</v>
      </c>
    </row>
    <row r="219" spans="1:3" x14ac:dyDescent="0.3">
      <c r="A219" s="31">
        <v>3</v>
      </c>
      <c r="B219" s="12" t="s">
        <v>4</v>
      </c>
      <c r="C219" s="50">
        <v>2.5</v>
      </c>
    </row>
    <row r="220" spans="1:3" x14ac:dyDescent="0.3">
      <c r="A220" s="31">
        <v>4</v>
      </c>
      <c r="B220" s="14" t="s">
        <v>5</v>
      </c>
      <c r="C220" s="50">
        <v>2</v>
      </c>
    </row>
    <row r="221" spans="1:3" x14ac:dyDescent="0.3">
      <c r="A221" s="31">
        <v>5</v>
      </c>
      <c r="B221" s="20" t="s">
        <v>6</v>
      </c>
      <c r="C221" s="50">
        <v>3.5</v>
      </c>
    </row>
    <row r="222" spans="1:3" x14ac:dyDescent="0.3">
      <c r="A222" s="31">
        <v>6</v>
      </c>
      <c r="B222" s="6" t="s">
        <v>7</v>
      </c>
      <c r="C222" s="50">
        <v>1</v>
      </c>
    </row>
    <row r="223" spans="1:3" x14ac:dyDescent="0.3">
      <c r="A223" s="31">
        <v>7</v>
      </c>
      <c r="B223" s="21" t="s">
        <v>8</v>
      </c>
      <c r="C223" s="50">
        <v>2.5</v>
      </c>
    </row>
    <row r="224" spans="1:3" x14ac:dyDescent="0.3">
      <c r="A224" s="31">
        <v>8</v>
      </c>
      <c r="B224" s="6" t="s">
        <v>9</v>
      </c>
      <c r="C224" s="50">
        <v>1.5</v>
      </c>
    </row>
    <row r="225" spans="1:3" x14ac:dyDescent="0.3">
      <c r="A225" s="31">
        <v>9</v>
      </c>
      <c r="B225" s="21" t="s">
        <v>10</v>
      </c>
      <c r="C225" s="50">
        <v>2</v>
      </c>
    </row>
    <row r="226" spans="1:3" x14ac:dyDescent="0.3">
      <c r="A226" s="31">
        <v>10</v>
      </c>
      <c r="B226" s="9" t="s">
        <v>11</v>
      </c>
      <c r="C226" s="50">
        <v>1</v>
      </c>
    </row>
    <row r="227" spans="1:3" x14ac:dyDescent="0.3">
      <c r="A227" s="31">
        <v>11</v>
      </c>
      <c r="B227" s="20" t="s">
        <v>12</v>
      </c>
      <c r="C227" s="50">
        <v>1</v>
      </c>
    </row>
    <row r="228" spans="1:3" x14ac:dyDescent="0.3">
      <c r="A228" s="31">
        <v>12</v>
      </c>
      <c r="B228" s="14" t="s">
        <v>13</v>
      </c>
      <c r="C228" s="50">
        <v>1</v>
      </c>
    </row>
    <row r="229" spans="1:3" x14ac:dyDescent="0.3">
      <c r="A229" s="31">
        <v>13</v>
      </c>
      <c r="B229" s="6" t="s">
        <v>14</v>
      </c>
      <c r="C229" s="50">
        <v>1.5</v>
      </c>
    </row>
    <row r="230" spans="1:3" x14ac:dyDescent="0.3">
      <c r="A230" s="31">
        <v>14</v>
      </c>
      <c r="B230" s="12" t="s">
        <v>15</v>
      </c>
      <c r="C230" s="50">
        <v>3</v>
      </c>
    </row>
    <row r="231" spans="1:3" x14ac:dyDescent="0.3">
      <c r="A231" s="31">
        <v>15</v>
      </c>
      <c r="B231" s="6" t="s">
        <v>16</v>
      </c>
      <c r="C231" s="50">
        <v>3</v>
      </c>
    </row>
    <row r="232" spans="1:3" x14ac:dyDescent="0.3">
      <c r="A232" s="31">
        <v>16</v>
      </c>
      <c r="B232" s="21" t="s">
        <v>17</v>
      </c>
      <c r="C232" s="50">
        <v>3.5</v>
      </c>
    </row>
    <row r="233" spans="1:3" x14ac:dyDescent="0.3">
      <c r="A233" s="31">
        <v>17</v>
      </c>
      <c r="B233" s="9" t="s">
        <v>18</v>
      </c>
      <c r="C233" s="50">
        <v>1</v>
      </c>
    </row>
    <row r="234" spans="1:3" x14ac:dyDescent="0.3">
      <c r="A234" s="31">
        <v>18</v>
      </c>
      <c r="B234" s="14" t="s">
        <v>19</v>
      </c>
      <c r="C234" s="50">
        <v>1.5</v>
      </c>
    </row>
    <row r="235" spans="1:3" x14ac:dyDescent="0.3">
      <c r="A235" s="31">
        <v>19</v>
      </c>
      <c r="B235" s="12" t="s">
        <v>20</v>
      </c>
      <c r="C235" s="50">
        <v>4</v>
      </c>
    </row>
    <row r="236" spans="1:3" x14ac:dyDescent="0.3">
      <c r="A236" s="31">
        <v>20</v>
      </c>
      <c r="B236" s="20" t="s">
        <v>21</v>
      </c>
      <c r="C236" s="50">
        <v>1</v>
      </c>
    </row>
    <row r="237" spans="1:3" x14ac:dyDescent="0.3">
      <c r="A237" s="31">
        <v>21</v>
      </c>
      <c r="B237" s="12" t="s">
        <v>22</v>
      </c>
      <c r="C237" s="50">
        <v>2.5</v>
      </c>
    </row>
    <row r="238" spans="1:3" x14ac:dyDescent="0.3">
      <c r="A238" s="31">
        <v>22</v>
      </c>
      <c r="B238" s="20" t="s">
        <v>23</v>
      </c>
      <c r="C238" s="50">
        <v>3.5</v>
      </c>
    </row>
    <row r="239" spans="1:3" x14ac:dyDescent="0.3">
      <c r="A239" s="31">
        <v>23</v>
      </c>
      <c r="B239" s="9" t="s">
        <v>24</v>
      </c>
      <c r="C239" s="50">
        <v>1</v>
      </c>
    </row>
    <row r="240" spans="1:3" ht="14.5" thickBot="1" x14ac:dyDescent="0.35">
      <c r="A240" s="32">
        <v>24</v>
      </c>
      <c r="B240" s="33" t="s">
        <v>25</v>
      </c>
      <c r="C240" s="55">
        <v>1</v>
      </c>
    </row>
    <row r="243" spans="1:3" ht="14.5" thickBot="1" x14ac:dyDescent="0.35">
      <c r="A243" s="1" t="s">
        <v>36</v>
      </c>
      <c r="B243" s="18">
        <v>45341</v>
      </c>
    </row>
    <row r="244" spans="1:3" x14ac:dyDescent="0.3">
      <c r="A244" s="22" t="s">
        <v>27</v>
      </c>
      <c r="B244" s="30" t="s">
        <v>26</v>
      </c>
      <c r="C244" s="23" t="s">
        <v>28</v>
      </c>
    </row>
    <row r="245" spans="1:3" x14ac:dyDescent="0.3">
      <c r="A245" s="31">
        <v>1</v>
      </c>
      <c r="B245" s="9" t="s">
        <v>2</v>
      </c>
      <c r="C245" s="50">
        <v>3.5</v>
      </c>
    </row>
    <row r="246" spans="1:3" x14ac:dyDescent="0.3">
      <c r="A246" s="31">
        <v>2</v>
      </c>
      <c r="B246" s="14" t="s">
        <v>3</v>
      </c>
      <c r="C246" s="50">
        <v>3.5</v>
      </c>
    </row>
    <row r="247" spans="1:3" x14ac:dyDescent="0.3">
      <c r="A247" s="31">
        <v>3</v>
      </c>
      <c r="B247" s="12" t="s">
        <v>4</v>
      </c>
      <c r="C247" s="50">
        <v>3.5</v>
      </c>
    </row>
    <row r="248" spans="1:3" x14ac:dyDescent="0.3">
      <c r="A248" s="31">
        <v>4</v>
      </c>
      <c r="B248" s="14" t="s">
        <v>5</v>
      </c>
      <c r="C248" s="50">
        <v>3.5</v>
      </c>
    </row>
    <row r="249" spans="1:3" x14ac:dyDescent="0.3">
      <c r="A249" s="31">
        <v>5</v>
      </c>
      <c r="B249" s="20" t="s">
        <v>6</v>
      </c>
      <c r="C249" s="50">
        <v>4</v>
      </c>
    </row>
    <row r="250" spans="1:3" x14ac:dyDescent="0.3">
      <c r="A250" s="31">
        <v>6</v>
      </c>
      <c r="B250" s="6" t="s">
        <v>7</v>
      </c>
      <c r="C250" s="50">
        <v>3</v>
      </c>
    </row>
    <row r="251" spans="1:3" x14ac:dyDescent="0.3">
      <c r="A251" s="31">
        <v>7</v>
      </c>
      <c r="B251" s="21" t="s">
        <v>8</v>
      </c>
      <c r="C251" s="50">
        <v>2.5</v>
      </c>
    </row>
    <row r="252" spans="1:3" x14ac:dyDescent="0.3">
      <c r="A252" s="31">
        <v>8</v>
      </c>
      <c r="B252" s="6" t="s">
        <v>9</v>
      </c>
      <c r="C252" s="50">
        <v>2.5</v>
      </c>
    </row>
    <row r="253" spans="1:3" x14ac:dyDescent="0.3">
      <c r="A253" s="31">
        <v>9</v>
      </c>
      <c r="B253" s="21" t="s">
        <v>10</v>
      </c>
      <c r="C253" s="50">
        <v>2.5</v>
      </c>
    </row>
    <row r="254" spans="1:3" x14ac:dyDescent="0.3">
      <c r="A254" s="31">
        <v>10</v>
      </c>
      <c r="B254" s="9" t="s">
        <v>11</v>
      </c>
      <c r="C254" s="50">
        <v>2</v>
      </c>
    </row>
    <row r="255" spans="1:3" x14ac:dyDescent="0.3">
      <c r="A255" s="31">
        <v>11</v>
      </c>
      <c r="B255" s="20" t="s">
        <v>12</v>
      </c>
      <c r="C255" s="50">
        <v>1.5</v>
      </c>
    </row>
    <row r="256" spans="1:3" x14ac:dyDescent="0.3">
      <c r="A256" s="31">
        <v>12</v>
      </c>
      <c r="B256" s="14" t="s">
        <v>13</v>
      </c>
      <c r="C256" s="50">
        <v>2</v>
      </c>
    </row>
    <row r="257" spans="1:3" x14ac:dyDescent="0.3">
      <c r="A257" s="31">
        <v>13</v>
      </c>
      <c r="B257" s="6" t="s">
        <v>14</v>
      </c>
      <c r="C257" s="50">
        <v>2.5</v>
      </c>
    </row>
    <row r="258" spans="1:3" x14ac:dyDescent="0.3">
      <c r="A258" s="31">
        <v>14</v>
      </c>
      <c r="B258" s="12" t="s">
        <v>15</v>
      </c>
      <c r="C258" s="50">
        <v>3.5</v>
      </c>
    </row>
    <row r="259" spans="1:3" x14ac:dyDescent="0.3">
      <c r="A259" s="31">
        <v>15</v>
      </c>
      <c r="B259" s="6" t="s">
        <v>16</v>
      </c>
      <c r="C259" s="50">
        <v>2.5</v>
      </c>
    </row>
    <row r="260" spans="1:3" x14ac:dyDescent="0.3">
      <c r="A260" s="31">
        <v>16</v>
      </c>
      <c r="B260" s="21" t="s">
        <v>17</v>
      </c>
      <c r="C260" s="50">
        <v>4</v>
      </c>
    </row>
    <row r="261" spans="1:3" x14ac:dyDescent="0.3">
      <c r="A261" s="31">
        <v>17</v>
      </c>
      <c r="B261" s="9" t="s">
        <v>18</v>
      </c>
      <c r="C261" s="50">
        <v>2</v>
      </c>
    </row>
    <row r="262" spans="1:3" x14ac:dyDescent="0.3">
      <c r="A262" s="31">
        <v>18</v>
      </c>
      <c r="B262" s="14" t="s">
        <v>19</v>
      </c>
      <c r="C262" s="50">
        <v>2.5</v>
      </c>
    </row>
    <row r="263" spans="1:3" x14ac:dyDescent="0.3">
      <c r="A263" s="31">
        <v>19</v>
      </c>
      <c r="B263" s="12" t="s">
        <v>20</v>
      </c>
      <c r="C263" s="50">
        <v>4.5</v>
      </c>
    </row>
    <row r="264" spans="1:3" x14ac:dyDescent="0.3">
      <c r="A264" s="31">
        <v>20</v>
      </c>
      <c r="B264" s="20" t="s">
        <v>21</v>
      </c>
      <c r="C264" s="50">
        <v>1.5</v>
      </c>
    </row>
    <row r="265" spans="1:3" x14ac:dyDescent="0.3">
      <c r="A265" s="31">
        <v>21</v>
      </c>
      <c r="B265" s="12" t="s">
        <v>22</v>
      </c>
      <c r="C265" s="50">
        <v>3.5</v>
      </c>
    </row>
    <row r="266" spans="1:3" x14ac:dyDescent="0.3">
      <c r="A266" s="31">
        <v>22</v>
      </c>
      <c r="B266" s="20" t="s">
        <v>23</v>
      </c>
      <c r="C266" s="50">
        <v>4</v>
      </c>
    </row>
    <row r="267" spans="1:3" x14ac:dyDescent="0.3">
      <c r="A267" s="31">
        <v>23</v>
      </c>
      <c r="B267" s="9" t="s">
        <v>24</v>
      </c>
      <c r="C267" s="50">
        <v>1.5</v>
      </c>
    </row>
    <row r="268" spans="1:3" ht="14.5" thickBot="1" x14ac:dyDescent="0.35">
      <c r="A268" s="32">
        <v>24</v>
      </c>
      <c r="B268" s="33" t="s">
        <v>25</v>
      </c>
      <c r="C268" s="55">
        <v>3</v>
      </c>
    </row>
    <row r="271" spans="1:3" ht="14.5" thickBot="1" x14ac:dyDescent="0.35">
      <c r="A271" s="1" t="s">
        <v>36</v>
      </c>
      <c r="B271" s="18">
        <v>45356</v>
      </c>
    </row>
    <row r="272" spans="1:3" x14ac:dyDescent="0.3">
      <c r="A272" s="22" t="s">
        <v>27</v>
      </c>
      <c r="B272" s="30" t="s">
        <v>26</v>
      </c>
      <c r="C272" s="23" t="s">
        <v>28</v>
      </c>
    </row>
    <row r="273" spans="1:3" x14ac:dyDescent="0.3">
      <c r="A273" s="31">
        <v>1</v>
      </c>
      <c r="B273" s="9" t="s">
        <v>2</v>
      </c>
      <c r="C273" s="50">
        <v>3.5</v>
      </c>
    </row>
    <row r="274" spans="1:3" x14ac:dyDescent="0.3">
      <c r="A274" s="31">
        <v>2</v>
      </c>
      <c r="B274" s="14" t="s">
        <v>3</v>
      </c>
      <c r="C274" s="50">
        <v>3.5</v>
      </c>
    </row>
    <row r="275" spans="1:3" x14ac:dyDescent="0.3">
      <c r="A275" s="31">
        <v>3</v>
      </c>
      <c r="B275" s="12" t="s">
        <v>4</v>
      </c>
      <c r="C275" s="50">
        <v>3.5</v>
      </c>
    </row>
    <row r="276" spans="1:3" x14ac:dyDescent="0.3">
      <c r="A276" s="31">
        <v>4</v>
      </c>
      <c r="B276" s="14" t="s">
        <v>5</v>
      </c>
      <c r="C276" s="50">
        <v>3.5</v>
      </c>
    </row>
    <row r="277" spans="1:3" x14ac:dyDescent="0.3">
      <c r="A277" s="31">
        <v>5</v>
      </c>
      <c r="B277" s="20" t="s">
        <v>6</v>
      </c>
      <c r="C277" s="50">
        <v>4</v>
      </c>
    </row>
    <row r="278" spans="1:3" x14ac:dyDescent="0.3">
      <c r="A278" s="31">
        <v>6</v>
      </c>
      <c r="B278" s="6" t="s">
        <v>7</v>
      </c>
      <c r="C278" s="50">
        <v>2.5</v>
      </c>
    </row>
    <row r="279" spans="1:3" x14ac:dyDescent="0.3">
      <c r="A279" s="31">
        <v>7</v>
      </c>
      <c r="B279" s="21" t="s">
        <v>8</v>
      </c>
      <c r="C279" s="50">
        <v>1.5</v>
      </c>
    </row>
    <row r="280" spans="1:3" x14ac:dyDescent="0.3">
      <c r="A280" s="31">
        <v>8</v>
      </c>
      <c r="B280" s="6" t="s">
        <v>9</v>
      </c>
      <c r="C280" s="50">
        <v>3.5</v>
      </c>
    </row>
    <row r="281" spans="1:3" x14ac:dyDescent="0.3">
      <c r="A281" s="31">
        <v>9</v>
      </c>
      <c r="B281" s="21" t="s">
        <v>10</v>
      </c>
      <c r="C281" s="50">
        <v>2.5</v>
      </c>
    </row>
    <row r="282" spans="1:3" x14ac:dyDescent="0.3">
      <c r="A282" s="31">
        <v>10</v>
      </c>
      <c r="B282" s="9" t="s">
        <v>11</v>
      </c>
      <c r="C282" s="50">
        <v>2</v>
      </c>
    </row>
    <row r="283" spans="1:3" x14ac:dyDescent="0.3">
      <c r="A283" s="31">
        <v>11</v>
      </c>
      <c r="B283" s="20" t="s">
        <v>12</v>
      </c>
      <c r="C283" s="50">
        <v>2</v>
      </c>
    </row>
    <row r="284" spans="1:3" x14ac:dyDescent="0.3">
      <c r="A284" s="31">
        <v>12</v>
      </c>
      <c r="B284" s="14" t="s">
        <v>13</v>
      </c>
      <c r="C284" s="50">
        <v>3</v>
      </c>
    </row>
    <row r="285" spans="1:3" x14ac:dyDescent="0.3">
      <c r="A285" s="31">
        <v>13</v>
      </c>
      <c r="B285" s="6" t="s">
        <v>14</v>
      </c>
      <c r="C285" s="50">
        <v>3</v>
      </c>
    </row>
    <row r="286" spans="1:3" x14ac:dyDescent="0.3">
      <c r="A286" s="31">
        <v>14</v>
      </c>
      <c r="B286" s="12" t="s">
        <v>15</v>
      </c>
      <c r="C286" s="50">
        <v>4</v>
      </c>
    </row>
    <row r="287" spans="1:3" x14ac:dyDescent="0.3">
      <c r="A287" s="31">
        <v>15</v>
      </c>
      <c r="B287" s="6" t="s">
        <v>16</v>
      </c>
      <c r="C287" s="50">
        <v>2</v>
      </c>
    </row>
    <row r="288" spans="1:3" x14ac:dyDescent="0.3">
      <c r="A288" s="31">
        <v>16</v>
      </c>
      <c r="B288" s="21" t="s">
        <v>17</v>
      </c>
      <c r="C288" s="50">
        <v>4</v>
      </c>
    </row>
    <row r="289" spans="1:3" x14ac:dyDescent="0.3">
      <c r="A289" s="31">
        <v>17</v>
      </c>
      <c r="B289" s="9" t="s">
        <v>18</v>
      </c>
      <c r="C289" s="50">
        <v>2.5</v>
      </c>
    </row>
    <row r="290" spans="1:3" x14ac:dyDescent="0.3">
      <c r="A290" s="31">
        <v>18</v>
      </c>
      <c r="B290" s="14" t="s">
        <v>19</v>
      </c>
      <c r="C290" s="50">
        <v>3.5</v>
      </c>
    </row>
    <row r="291" spans="1:3" x14ac:dyDescent="0.3">
      <c r="A291" s="31">
        <v>19</v>
      </c>
      <c r="B291" s="12" t="s">
        <v>20</v>
      </c>
      <c r="C291" s="50">
        <v>4.5</v>
      </c>
    </row>
    <row r="292" spans="1:3" x14ac:dyDescent="0.3">
      <c r="A292" s="31">
        <v>20</v>
      </c>
      <c r="B292" s="20" t="s">
        <v>21</v>
      </c>
      <c r="C292" s="50">
        <v>1.5</v>
      </c>
    </row>
    <row r="293" spans="1:3" x14ac:dyDescent="0.3">
      <c r="A293" s="31">
        <v>21</v>
      </c>
      <c r="B293" s="12" t="s">
        <v>22</v>
      </c>
      <c r="C293" s="50">
        <v>4</v>
      </c>
    </row>
    <row r="294" spans="1:3" x14ac:dyDescent="0.3">
      <c r="A294" s="31">
        <v>22</v>
      </c>
      <c r="B294" s="20" t="s">
        <v>23</v>
      </c>
      <c r="C294" s="50">
        <v>4</v>
      </c>
    </row>
    <row r="295" spans="1:3" x14ac:dyDescent="0.3">
      <c r="A295" s="31">
        <v>23</v>
      </c>
      <c r="B295" s="9" t="s">
        <v>24</v>
      </c>
      <c r="C295" s="50">
        <v>2</v>
      </c>
    </row>
    <row r="296" spans="1:3" ht="14.5" thickBot="1" x14ac:dyDescent="0.35">
      <c r="A296" s="32">
        <v>24</v>
      </c>
      <c r="B296" s="33" t="s">
        <v>25</v>
      </c>
      <c r="C296" s="55">
        <v>3.5</v>
      </c>
    </row>
    <row r="299" spans="1:3" ht="14.5" thickBot="1" x14ac:dyDescent="0.35">
      <c r="A299" s="1" t="s">
        <v>36</v>
      </c>
      <c r="B299" s="18">
        <v>45369</v>
      </c>
    </row>
    <row r="300" spans="1:3" x14ac:dyDescent="0.3">
      <c r="A300" s="22" t="s">
        <v>27</v>
      </c>
      <c r="B300" s="30" t="s">
        <v>26</v>
      </c>
      <c r="C300" s="23" t="s">
        <v>28</v>
      </c>
    </row>
    <row r="301" spans="1:3" x14ac:dyDescent="0.3">
      <c r="A301" s="31">
        <v>1</v>
      </c>
      <c r="B301" s="9" t="s">
        <v>2</v>
      </c>
      <c r="C301" s="50">
        <v>3</v>
      </c>
    </row>
    <row r="302" spans="1:3" x14ac:dyDescent="0.3">
      <c r="A302" s="31">
        <v>2</v>
      </c>
      <c r="B302" s="14" t="s">
        <v>3</v>
      </c>
      <c r="C302" s="50">
        <v>3</v>
      </c>
    </row>
    <row r="303" spans="1:3" x14ac:dyDescent="0.3">
      <c r="A303" s="31">
        <v>3</v>
      </c>
      <c r="B303" s="12" t="s">
        <v>4</v>
      </c>
      <c r="C303" s="50">
        <v>2.5</v>
      </c>
    </row>
    <row r="304" spans="1:3" x14ac:dyDescent="0.3">
      <c r="A304" s="31">
        <v>4</v>
      </c>
      <c r="B304" s="14" t="s">
        <v>5</v>
      </c>
      <c r="C304" s="50">
        <v>2.5</v>
      </c>
    </row>
    <row r="305" spans="1:3" x14ac:dyDescent="0.3">
      <c r="A305" s="31">
        <v>5</v>
      </c>
      <c r="B305" s="20" t="s">
        <v>6</v>
      </c>
      <c r="C305" s="50">
        <v>4.5</v>
      </c>
    </row>
    <row r="306" spans="1:3" x14ac:dyDescent="0.3">
      <c r="A306" s="31">
        <v>6</v>
      </c>
      <c r="B306" s="6" t="s">
        <v>7</v>
      </c>
      <c r="C306" s="50">
        <v>3</v>
      </c>
    </row>
    <row r="307" spans="1:3" x14ac:dyDescent="0.3">
      <c r="A307" s="31">
        <v>7</v>
      </c>
      <c r="B307" s="21" t="s">
        <v>8</v>
      </c>
      <c r="C307" s="50">
        <v>1</v>
      </c>
    </row>
    <row r="308" spans="1:3" x14ac:dyDescent="0.3">
      <c r="A308" s="31">
        <v>8</v>
      </c>
      <c r="B308" s="6" t="s">
        <v>9</v>
      </c>
      <c r="C308" s="50">
        <v>2.5</v>
      </c>
    </row>
    <row r="309" spans="1:3" x14ac:dyDescent="0.3">
      <c r="A309" s="31">
        <v>9</v>
      </c>
      <c r="B309" s="21" t="s">
        <v>10</v>
      </c>
      <c r="C309" s="50">
        <v>2</v>
      </c>
    </row>
    <row r="310" spans="1:3" x14ac:dyDescent="0.3">
      <c r="A310" s="31">
        <v>10</v>
      </c>
      <c r="B310" s="9" t="s">
        <v>11</v>
      </c>
      <c r="C310" s="50">
        <v>2.5</v>
      </c>
    </row>
    <row r="311" spans="1:3" x14ac:dyDescent="0.3">
      <c r="A311" s="31">
        <v>11</v>
      </c>
      <c r="B311" s="20" t="s">
        <v>12</v>
      </c>
      <c r="C311" s="50">
        <v>1</v>
      </c>
    </row>
    <row r="312" spans="1:3" x14ac:dyDescent="0.3">
      <c r="A312" s="31">
        <v>12</v>
      </c>
      <c r="B312" s="14" t="s">
        <v>13</v>
      </c>
      <c r="C312" s="50">
        <v>3</v>
      </c>
    </row>
    <row r="313" spans="1:3" x14ac:dyDescent="0.3">
      <c r="A313" s="31">
        <v>13</v>
      </c>
      <c r="B313" s="6" t="s">
        <v>14</v>
      </c>
      <c r="C313" s="50">
        <v>1</v>
      </c>
    </row>
    <row r="314" spans="1:3" x14ac:dyDescent="0.3">
      <c r="A314" s="31">
        <v>14</v>
      </c>
      <c r="B314" s="12" t="s">
        <v>15</v>
      </c>
      <c r="C314" s="50">
        <v>3</v>
      </c>
    </row>
    <row r="315" spans="1:3" x14ac:dyDescent="0.3">
      <c r="A315" s="31">
        <v>15</v>
      </c>
      <c r="B315" s="6" t="s">
        <v>16</v>
      </c>
      <c r="C315" s="50">
        <v>1</v>
      </c>
    </row>
    <row r="316" spans="1:3" x14ac:dyDescent="0.3">
      <c r="A316" s="31">
        <v>16</v>
      </c>
      <c r="B316" s="21" t="s">
        <v>17</v>
      </c>
      <c r="C316" s="50">
        <v>3</v>
      </c>
    </row>
    <row r="317" spans="1:3" x14ac:dyDescent="0.3">
      <c r="A317" s="31">
        <v>17</v>
      </c>
      <c r="B317" s="9" t="s">
        <v>18</v>
      </c>
      <c r="C317" s="50">
        <v>1</v>
      </c>
    </row>
    <row r="318" spans="1:3" x14ac:dyDescent="0.3">
      <c r="A318" s="31">
        <v>18</v>
      </c>
      <c r="B318" s="14" t="s">
        <v>19</v>
      </c>
      <c r="C318" s="50">
        <v>1</v>
      </c>
    </row>
    <row r="319" spans="1:3" x14ac:dyDescent="0.3">
      <c r="A319" s="31">
        <v>19</v>
      </c>
      <c r="B319" s="12" t="s">
        <v>20</v>
      </c>
      <c r="C319" s="50">
        <v>3.5</v>
      </c>
    </row>
    <row r="320" spans="1:3" x14ac:dyDescent="0.3">
      <c r="A320" s="31">
        <v>20</v>
      </c>
      <c r="B320" s="20" t="s">
        <v>21</v>
      </c>
      <c r="C320" s="50">
        <v>1</v>
      </c>
    </row>
    <row r="321" spans="1:3" x14ac:dyDescent="0.3">
      <c r="A321" s="31">
        <v>21</v>
      </c>
      <c r="B321" s="12" t="s">
        <v>22</v>
      </c>
      <c r="C321" s="50">
        <v>4</v>
      </c>
    </row>
    <row r="322" spans="1:3" x14ac:dyDescent="0.3">
      <c r="A322" s="31">
        <v>22</v>
      </c>
      <c r="B322" s="20" t="s">
        <v>23</v>
      </c>
      <c r="C322" s="50">
        <v>4</v>
      </c>
    </row>
    <row r="323" spans="1:3" x14ac:dyDescent="0.3">
      <c r="A323" s="31">
        <v>23</v>
      </c>
      <c r="B323" s="9" t="s">
        <v>24</v>
      </c>
      <c r="C323" s="50">
        <v>2</v>
      </c>
    </row>
    <row r="324" spans="1:3" ht="14.5" thickBot="1" x14ac:dyDescent="0.35">
      <c r="A324" s="32">
        <v>24</v>
      </c>
      <c r="B324" s="33" t="s">
        <v>25</v>
      </c>
      <c r="C324" s="55">
        <v>2</v>
      </c>
    </row>
    <row r="327" spans="1:3" ht="14.5" thickBot="1" x14ac:dyDescent="0.35">
      <c r="A327" s="1" t="s">
        <v>36</v>
      </c>
      <c r="B327" s="18">
        <v>45384</v>
      </c>
    </row>
    <row r="328" spans="1:3" x14ac:dyDescent="0.3">
      <c r="A328" s="22" t="s">
        <v>27</v>
      </c>
      <c r="B328" s="30" t="s">
        <v>26</v>
      </c>
      <c r="C328" s="23" t="s">
        <v>28</v>
      </c>
    </row>
    <row r="329" spans="1:3" x14ac:dyDescent="0.3">
      <c r="A329" s="31">
        <v>1</v>
      </c>
      <c r="B329" s="9" t="s">
        <v>2</v>
      </c>
      <c r="C329" s="50">
        <v>1</v>
      </c>
    </row>
    <row r="330" spans="1:3" x14ac:dyDescent="0.3">
      <c r="A330" s="31">
        <v>2</v>
      </c>
      <c r="B330" s="14" t="s">
        <v>3</v>
      </c>
      <c r="C330" s="50">
        <v>1</v>
      </c>
    </row>
    <row r="331" spans="1:3" x14ac:dyDescent="0.3">
      <c r="A331" s="31">
        <v>3</v>
      </c>
      <c r="B331" s="12" t="s">
        <v>4</v>
      </c>
      <c r="C331" s="50">
        <v>2</v>
      </c>
    </row>
    <row r="332" spans="1:3" x14ac:dyDescent="0.3">
      <c r="A332" s="31">
        <v>4</v>
      </c>
      <c r="B332" s="14" t="s">
        <v>5</v>
      </c>
      <c r="C332" s="50">
        <v>1</v>
      </c>
    </row>
    <row r="333" spans="1:3" x14ac:dyDescent="0.3">
      <c r="A333" s="31">
        <v>5</v>
      </c>
      <c r="B333" s="20" t="s">
        <v>6</v>
      </c>
      <c r="C333" s="50">
        <v>4</v>
      </c>
    </row>
    <row r="334" spans="1:3" x14ac:dyDescent="0.3">
      <c r="A334" s="31">
        <v>6</v>
      </c>
      <c r="B334" s="6" t="s">
        <v>7</v>
      </c>
      <c r="C334" s="50">
        <v>3</v>
      </c>
    </row>
    <row r="335" spans="1:3" x14ac:dyDescent="0.3">
      <c r="A335" s="31">
        <v>7</v>
      </c>
      <c r="B335" s="21" t="s">
        <v>8</v>
      </c>
      <c r="C335" s="50">
        <v>1</v>
      </c>
    </row>
    <row r="336" spans="1:3" x14ac:dyDescent="0.3">
      <c r="A336" s="31">
        <v>8</v>
      </c>
      <c r="B336" s="6" t="s">
        <v>9</v>
      </c>
      <c r="C336" s="50">
        <v>1</v>
      </c>
    </row>
    <row r="337" spans="1:3" x14ac:dyDescent="0.3">
      <c r="A337" s="31">
        <v>9</v>
      </c>
      <c r="B337" s="21" t="s">
        <v>10</v>
      </c>
      <c r="C337" s="50">
        <v>1</v>
      </c>
    </row>
    <row r="338" spans="1:3" x14ac:dyDescent="0.3">
      <c r="A338" s="31">
        <v>10</v>
      </c>
      <c r="B338" s="9" t="s">
        <v>11</v>
      </c>
      <c r="C338" s="50">
        <v>2.5</v>
      </c>
    </row>
    <row r="339" spans="1:3" x14ac:dyDescent="0.3">
      <c r="A339" s="31">
        <v>11</v>
      </c>
      <c r="B339" s="20" t="s">
        <v>12</v>
      </c>
      <c r="C339" s="50">
        <v>1</v>
      </c>
    </row>
    <row r="340" spans="1:3" x14ac:dyDescent="0.3">
      <c r="A340" s="31">
        <v>12</v>
      </c>
      <c r="B340" s="14" t="s">
        <v>13</v>
      </c>
      <c r="C340" s="50">
        <v>1</v>
      </c>
    </row>
    <row r="341" spans="1:3" x14ac:dyDescent="0.3">
      <c r="A341" s="31">
        <v>13</v>
      </c>
      <c r="B341" s="6" t="s">
        <v>14</v>
      </c>
      <c r="C341" s="50">
        <v>1</v>
      </c>
    </row>
    <row r="342" spans="1:3" x14ac:dyDescent="0.3">
      <c r="A342" s="31">
        <v>14</v>
      </c>
      <c r="B342" s="12" t="s">
        <v>15</v>
      </c>
      <c r="C342" s="50">
        <v>1</v>
      </c>
    </row>
    <row r="343" spans="1:3" x14ac:dyDescent="0.3">
      <c r="A343" s="31">
        <v>15</v>
      </c>
      <c r="B343" s="6" t="s">
        <v>16</v>
      </c>
      <c r="C343" s="50">
        <v>1</v>
      </c>
    </row>
    <row r="344" spans="1:3" x14ac:dyDescent="0.3">
      <c r="A344" s="31">
        <v>16</v>
      </c>
      <c r="B344" s="21" t="s">
        <v>17</v>
      </c>
      <c r="C344" s="50">
        <v>1</v>
      </c>
    </row>
    <row r="345" spans="1:3" x14ac:dyDescent="0.3">
      <c r="A345" s="31">
        <v>17</v>
      </c>
      <c r="B345" s="9" t="s">
        <v>18</v>
      </c>
      <c r="C345" s="50">
        <v>1</v>
      </c>
    </row>
    <row r="346" spans="1:3" x14ac:dyDescent="0.3">
      <c r="A346" s="31">
        <v>18</v>
      </c>
      <c r="B346" s="14" t="s">
        <v>19</v>
      </c>
      <c r="C346" s="50">
        <v>1</v>
      </c>
    </row>
    <row r="347" spans="1:3" x14ac:dyDescent="0.3">
      <c r="A347" s="31">
        <v>19</v>
      </c>
      <c r="B347" s="12" t="s">
        <v>20</v>
      </c>
      <c r="C347" s="50">
        <v>1</v>
      </c>
    </row>
    <row r="348" spans="1:3" x14ac:dyDescent="0.3">
      <c r="A348" s="31">
        <v>20</v>
      </c>
      <c r="B348" s="20" t="s">
        <v>21</v>
      </c>
      <c r="C348" s="50">
        <v>1</v>
      </c>
    </row>
    <row r="349" spans="1:3" x14ac:dyDescent="0.3">
      <c r="A349" s="31">
        <v>21</v>
      </c>
      <c r="B349" s="12" t="s">
        <v>22</v>
      </c>
      <c r="C349" s="50">
        <v>1</v>
      </c>
    </row>
    <row r="350" spans="1:3" x14ac:dyDescent="0.3">
      <c r="A350" s="31">
        <v>22</v>
      </c>
      <c r="B350" s="20" t="s">
        <v>23</v>
      </c>
      <c r="C350" s="50">
        <v>2</v>
      </c>
    </row>
    <row r="351" spans="1:3" x14ac:dyDescent="0.3">
      <c r="A351" s="31">
        <v>23</v>
      </c>
      <c r="B351" s="9" t="s">
        <v>24</v>
      </c>
      <c r="C351" s="50">
        <v>1</v>
      </c>
    </row>
    <row r="352" spans="1:3" ht="14.5" thickBot="1" x14ac:dyDescent="0.35">
      <c r="A352" s="32">
        <v>24</v>
      </c>
      <c r="B352" s="33" t="s">
        <v>25</v>
      </c>
      <c r="C352" s="55">
        <v>1</v>
      </c>
    </row>
    <row r="355" spans="1:3" ht="14.5" thickBot="1" x14ac:dyDescent="0.35">
      <c r="A355" s="1" t="s">
        <v>36</v>
      </c>
      <c r="B355" s="18">
        <v>45399</v>
      </c>
    </row>
    <row r="356" spans="1:3" x14ac:dyDescent="0.3">
      <c r="A356" s="22" t="s">
        <v>27</v>
      </c>
      <c r="B356" s="30" t="s">
        <v>26</v>
      </c>
      <c r="C356" s="23" t="s">
        <v>28</v>
      </c>
    </row>
    <row r="357" spans="1:3" x14ac:dyDescent="0.3">
      <c r="A357" s="31">
        <v>1</v>
      </c>
      <c r="B357" s="9" t="s">
        <v>2</v>
      </c>
      <c r="C357" s="50">
        <v>1</v>
      </c>
    </row>
    <row r="358" spans="1:3" x14ac:dyDescent="0.3">
      <c r="A358" s="31">
        <v>2</v>
      </c>
      <c r="B358" s="14" t="s">
        <v>3</v>
      </c>
      <c r="C358" s="50">
        <v>1</v>
      </c>
    </row>
    <row r="359" spans="1:3" x14ac:dyDescent="0.3">
      <c r="A359" s="31">
        <v>3</v>
      </c>
      <c r="B359" s="12" t="s">
        <v>4</v>
      </c>
      <c r="C359" s="50">
        <v>1</v>
      </c>
    </row>
    <row r="360" spans="1:3" x14ac:dyDescent="0.3">
      <c r="A360" s="31">
        <v>4</v>
      </c>
      <c r="B360" s="14" t="s">
        <v>5</v>
      </c>
      <c r="C360" s="50">
        <v>1</v>
      </c>
    </row>
    <row r="361" spans="1:3" x14ac:dyDescent="0.3">
      <c r="A361" s="31">
        <v>5</v>
      </c>
      <c r="B361" s="20" t="s">
        <v>6</v>
      </c>
      <c r="C361" s="50">
        <v>1</v>
      </c>
    </row>
    <row r="362" spans="1:3" x14ac:dyDescent="0.3">
      <c r="A362" s="31">
        <v>6</v>
      </c>
      <c r="B362" s="6" t="s">
        <v>7</v>
      </c>
      <c r="C362" s="50">
        <v>1</v>
      </c>
    </row>
    <row r="363" spans="1:3" x14ac:dyDescent="0.3">
      <c r="A363" s="31">
        <v>7</v>
      </c>
      <c r="B363" s="21" t="s">
        <v>8</v>
      </c>
      <c r="C363" s="50">
        <v>1</v>
      </c>
    </row>
    <row r="364" spans="1:3" x14ac:dyDescent="0.3">
      <c r="A364" s="31">
        <v>8</v>
      </c>
      <c r="B364" s="6" t="s">
        <v>9</v>
      </c>
      <c r="C364" s="50">
        <v>1</v>
      </c>
    </row>
    <row r="365" spans="1:3" x14ac:dyDescent="0.3">
      <c r="A365" s="31">
        <v>9</v>
      </c>
      <c r="B365" s="21" t="s">
        <v>10</v>
      </c>
      <c r="C365" s="50">
        <v>1</v>
      </c>
    </row>
    <row r="366" spans="1:3" x14ac:dyDescent="0.3">
      <c r="A366" s="31">
        <v>10</v>
      </c>
      <c r="B366" s="9" t="s">
        <v>11</v>
      </c>
      <c r="C366" s="50">
        <v>1</v>
      </c>
    </row>
    <row r="367" spans="1:3" x14ac:dyDescent="0.3">
      <c r="A367" s="31">
        <v>11</v>
      </c>
      <c r="B367" s="20" t="s">
        <v>12</v>
      </c>
      <c r="C367" s="50">
        <v>1</v>
      </c>
    </row>
    <row r="368" spans="1:3" x14ac:dyDescent="0.3">
      <c r="A368" s="31">
        <v>12</v>
      </c>
      <c r="B368" s="14" t="s">
        <v>13</v>
      </c>
      <c r="C368" s="50">
        <v>1</v>
      </c>
    </row>
    <row r="369" spans="1:3" x14ac:dyDescent="0.3">
      <c r="A369" s="31">
        <v>13</v>
      </c>
      <c r="B369" s="6" t="s">
        <v>14</v>
      </c>
      <c r="C369" s="50">
        <v>1</v>
      </c>
    </row>
    <row r="370" spans="1:3" x14ac:dyDescent="0.3">
      <c r="A370" s="31">
        <v>14</v>
      </c>
      <c r="B370" s="12" t="s">
        <v>15</v>
      </c>
      <c r="C370" s="50">
        <v>1</v>
      </c>
    </row>
    <row r="371" spans="1:3" x14ac:dyDescent="0.3">
      <c r="A371" s="31">
        <v>15</v>
      </c>
      <c r="B371" s="6" t="s">
        <v>16</v>
      </c>
      <c r="C371" s="50">
        <v>1</v>
      </c>
    </row>
    <row r="372" spans="1:3" x14ac:dyDescent="0.3">
      <c r="A372" s="31">
        <v>16</v>
      </c>
      <c r="B372" s="21" t="s">
        <v>17</v>
      </c>
      <c r="C372" s="50">
        <v>1</v>
      </c>
    </row>
    <row r="373" spans="1:3" x14ac:dyDescent="0.3">
      <c r="A373" s="31">
        <v>17</v>
      </c>
      <c r="B373" s="9" t="s">
        <v>18</v>
      </c>
      <c r="C373" s="50">
        <v>1</v>
      </c>
    </row>
    <row r="374" spans="1:3" x14ac:dyDescent="0.3">
      <c r="A374" s="31">
        <v>18</v>
      </c>
      <c r="B374" s="14" t="s">
        <v>19</v>
      </c>
      <c r="C374" s="50">
        <v>1</v>
      </c>
    </row>
    <row r="375" spans="1:3" x14ac:dyDescent="0.3">
      <c r="A375" s="31">
        <v>19</v>
      </c>
      <c r="B375" s="12" t="s">
        <v>20</v>
      </c>
      <c r="C375" s="50">
        <v>1</v>
      </c>
    </row>
    <row r="376" spans="1:3" x14ac:dyDescent="0.3">
      <c r="A376" s="31">
        <v>20</v>
      </c>
      <c r="B376" s="20" t="s">
        <v>21</v>
      </c>
      <c r="C376" s="50">
        <v>1</v>
      </c>
    </row>
    <row r="377" spans="1:3" x14ac:dyDescent="0.3">
      <c r="A377" s="31">
        <v>21</v>
      </c>
      <c r="B377" s="12" t="s">
        <v>22</v>
      </c>
      <c r="C377" s="50">
        <v>1</v>
      </c>
    </row>
    <row r="378" spans="1:3" x14ac:dyDescent="0.3">
      <c r="A378" s="31">
        <v>22</v>
      </c>
      <c r="B378" s="20" t="s">
        <v>23</v>
      </c>
      <c r="C378" s="50">
        <v>1</v>
      </c>
    </row>
    <row r="379" spans="1:3" x14ac:dyDescent="0.3">
      <c r="A379" s="31">
        <v>23</v>
      </c>
      <c r="B379" s="9" t="s">
        <v>24</v>
      </c>
      <c r="C379" s="50">
        <v>1</v>
      </c>
    </row>
    <row r="380" spans="1:3" ht="14.5" thickBot="1" x14ac:dyDescent="0.35">
      <c r="A380" s="32">
        <v>24</v>
      </c>
      <c r="B380" s="33" t="s">
        <v>25</v>
      </c>
      <c r="C380" s="50">
        <v>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4416-42F7-4545-983D-79A09C960F0E}">
  <dimension ref="A1:O380"/>
  <sheetViews>
    <sheetView topLeftCell="C1" workbookViewId="0">
      <selection activeCell="E47" sqref="E47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37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 t="s">
        <v>33</v>
      </c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47">
        <f>AVERAGE(C27,C36,C29,C44)</f>
        <v>3.3750000000000002E-2</v>
      </c>
      <c r="H4" s="47">
        <f>AVERAGE(C21,C30,C37,C43)</f>
        <v>3.875E-2</v>
      </c>
      <c r="I4" s="47">
        <f>AVERAGE(C26,C28,C33,C35)</f>
        <v>8.7500000000000008E-3</v>
      </c>
      <c r="J4" s="47">
        <f>AVERAGE(C22,C24,C32,C38)</f>
        <v>2.5000000000000001E-3</v>
      </c>
      <c r="K4" s="47">
        <f>AVERAGE(C39,C41,C23,C34)</f>
        <v>3.2500000000000001E-2</v>
      </c>
      <c r="L4" s="46">
        <f>AVERAGE(C42,C40,C31,C25)</f>
        <v>0.02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47">
        <f>AVERAGE(C72,C57,C55,C64)</f>
        <v>2.6249999999999999E-2</v>
      </c>
      <c r="H5" s="47">
        <f>AVERAGE(C49,C58,C71,C65)</f>
        <v>2.4999999999999998E-2</v>
      </c>
      <c r="I5" s="47">
        <f>AVERAGE(C54,C56,C61,C63)</f>
        <v>7.4999999999999997E-3</v>
      </c>
      <c r="J5" s="54">
        <f>AVERAGE(C66,C60,C52,C50)</f>
        <v>5.0000000000000001E-3</v>
      </c>
      <c r="K5" s="47">
        <f>AVERAGE(C51,C62,C67,C69)</f>
        <v>2.75E-2</v>
      </c>
      <c r="L5" s="46">
        <f>AVERAGE(C53,C59,C68,C70)</f>
        <v>1.4999999999999999E-2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47">
        <f>AVERAGE(C83,C85,C92,C100)</f>
        <v>2.5000000000000001E-3</v>
      </c>
      <c r="H6" s="47">
        <f>AVERAGE(C77,C86,C93,C99)</f>
        <v>0.01</v>
      </c>
      <c r="I6" s="47">
        <f>AVERAGE(C82,C84,C89,C91)</f>
        <v>0</v>
      </c>
      <c r="J6" s="47">
        <f>AVERAGE(C88,C94,C80,C78)</f>
        <v>0</v>
      </c>
      <c r="K6" s="47">
        <f>AVERAGE(C90,C95,C97,C79)</f>
        <v>1.7500000000000002E-2</v>
      </c>
      <c r="L6" s="46">
        <f>AVERAGE(C81,C87,C96,C98)</f>
        <v>5.0000000000000001E-3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7">
        <f>AVERAGE(C111,C113,C120,C128)</f>
        <v>2.5000000000000001E-3</v>
      </c>
      <c r="H7" s="47">
        <f>AVERAGE(C105,C114,C121,C127)</f>
        <v>2.5000000000000001E-3</v>
      </c>
      <c r="I7" s="47">
        <f>AVERAGE(C110,C112,C117,C119)</f>
        <v>0</v>
      </c>
      <c r="J7" s="47">
        <f>AVERAGE(C106,C108,C116,C122)</f>
        <v>0</v>
      </c>
      <c r="K7" s="47">
        <f>AVERAGE(C107,C118,C123,C125)</f>
        <v>1.2500000000000001E-2</v>
      </c>
      <c r="L7" s="47">
        <f>AVERAGE(C109,C124,C115,C126)</f>
        <v>5.0000000000000001E-3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7">
        <f>AVERAGE(C139,C141,C148,C156)</f>
        <v>2.5000000000000001E-3</v>
      </c>
      <c r="H8" s="47">
        <f>AVERAGE(C155,C149,C142,C133)</f>
        <v>2.5000000000000001E-3</v>
      </c>
      <c r="I8" s="47">
        <f>AVERAGE(C138,C140,C145,C147)</f>
        <v>0</v>
      </c>
      <c r="J8" s="47">
        <f>AVERAGE(C134,C136,C144,C150)</f>
        <v>0</v>
      </c>
      <c r="K8" s="47">
        <f>AVERAGE(C135,C146,C151,C153)</f>
        <v>0.01</v>
      </c>
      <c r="L8" s="46">
        <f>AVERAGE(C154,C152,C143,C137)</f>
        <v>5.0000000000000001E-3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7">
        <f>AVERAGE(C167,C169,C176,C184)</f>
        <v>3.7499999999999999E-2</v>
      </c>
      <c r="H9" s="47">
        <f>AVERAGE(C161,C170,C177,C183)</f>
        <v>1.7500000000000002E-2</v>
      </c>
      <c r="I9" s="47">
        <f>AVERAGE(C166,C168,C173,C175)</f>
        <v>1.2500000000000001E-2</v>
      </c>
      <c r="J9" s="47">
        <f>AVERAGE(C162,C164,C172,C178)</f>
        <v>0.02</v>
      </c>
      <c r="K9" s="47">
        <f>AVERAGE(C163,C179,C181,C174)</f>
        <v>2.75E-2</v>
      </c>
      <c r="L9" s="47">
        <f>AVERAGE(C165,C171,C180,C182)</f>
        <v>3.5000000000000003E-2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7">
        <f>AVERAGE(C195,C197,C204,C212)</f>
        <v>0.03</v>
      </c>
      <c r="H10" s="47">
        <f>AVERAGE(C189,C198,C205,C211)</f>
        <v>1.7500000000000002E-2</v>
      </c>
      <c r="I10" s="47">
        <f>AVERAGE(C201,C194,C196,C203)</f>
        <v>1.7500000000000002E-2</v>
      </c>
      <c r="J10" s="47">
        <f>AVERAGE(C200,C206,C192,C190)</f>
        <v>1.4999999999999999E-2</v>
      </c>
      <c r="K10" s="47">
        <f>AVERAGE(C191,C202,C207,C209)</f>
        <v>3.2500000000000001E-2</v>
      </c>
      <c r="L10" s="47">
        <f>AVERAGE(C193,C199,C208,C210)</f>
        <v>3.0000000000000002E-2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7">
        <f>AVERAGE(C240,C232,C225,C223)</f>
        <v>2.5000000000000001E-2</v>
      </c>
      <c r="H11" s="47">
        <f>AVERAGE(C239,C233,C226,C217)</f>
        <v>1.7500000000000002E-2</v>
      </c>
      <c r="I11" s="47">
        <f>AVERAGE(C231,C229,C224,C222)</f>
        <v>1.7500000000000002E-2</v>
      </c>
      <c r="J11" s="47">
        <f>AVERAGE(C234,C228,C220,C218)</f>
        <v>1.7500000000000002E-2</v>
      </c>
      <c r="K11" s="47">
        <f>AVERAGE(C237,C235,C230,C219)</f>
        <v>3.7499999999999999E-2</v>
      </c>
      <c r="L11" s="47">
        <f>AVERAGE(C238,C236,C227,C221)</f>
        <v>3.2500000000000001E-2</v>
      </c>
    </row>
    <row r="12" spans="1:15" x14ac:dyDescent="0.3">
      <c r="A12" s="34"/>
      <c r="B12" s="34"/>
      <c r="C12" s="34"/>
      <c r="D12" s="34"/>
      <c r="E12" s="25">
        <v>9</v>
      </c>
      <c r="F12" s="39">
        <v>45344</v>
      </c>
      <c r="G12" s="47">
        <f>AVERAGE(C251,C253,C260,C268)</f>
        <v>3.3750000000000002E-2</v>
      </c>
      <c r="H12" s="47">
        <f>AVERAGE(C245,C254,C261,C267)</f>
        <v>2.6250000000000002E-2</v>
      </c>
      <c r="I12" s="47">
        <f>AVERAGE(C250,C252,C259,C257)</f>
        <v>3.2500000000000001E-2</v>
      </c>
      <c r="J12" s="47">
        <f>AVERAGE(C246,C248,C256,C262)</f>
        <v>3.4999999999999996E-2</v>
      </c>
      <c r="K12" s="47">
        <f>AVERAGE(C247,C258,C263,C265)</f>
        <v>5.7499999999999996E-2</v>
      </c>
      <c r="L12" s="47">
        <f>AVERAGE(C249,C255,C264,C266)</f>
        <v>4.3750000000000004E-2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7">
        <f>AVERAGE(C279,C281,C288,C296)</f>
        <v>3.7500000000000006E-2</v>
      </c>
      <c r="H13" s="47">
        <f>AVERAGE(C273,C282,C289,C295)</f>
        <v>3.125E-2</v>
      </c>
      <c r="I13" s="47">
        <f>AVERAGE(C278,C280,C285,C287)</f>
        <v>3.2500000000000001E-2</v>
      </c>
      <c r="J13" s="47">
        <f>AVERAGE(C274,C276,C284,C290)</f>
        <v>4.4999999999999998E-2</v>
      </c>
      <c r="K13" s="47">
        <f>AVERAGE(C293,C291,C275,C286)</f>
        <v>7.4999999999999997E-2</v>
      </c>
      <c r="L13" s="47">
        <f>AVERAGE(C277,C283,C292,C294)</f>
        <v>4.6249999999999999E-2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7">
        <f>AVERAGE(C307,C316,C324,C309)</f>
        <v>0.02</v>
      </c>
      <c r="H14" s="47">
        <f>AVERAGE(C301,C317,C323,C310)</f>
        <v>2.1249999999999998E-2</v>
      </c>
      <c r="I14" s="47">
        <f>AVERAGE(C306,C315,C308,C313)</f>
        <v>1.8749999999999999E-2</v>
      </c>
      <c r="J14" s="47">
        <f>AVERAGE(C304,C312,C318,C302)</f>
        <v>2.375E-2</v>
      </c>
      <c r="K14" s="47">
        <f>AVERAGE(C303,C319,C321,C314)</f>
        <v>4.7500000000000007E-2</v>
      </c>
      <c r="L14" s="47">
        <f>AVERAGE(C305,C320,C322,C311)</f>
        <v>0.05</v>
      </c>
    </row>
    <row r="15" spans="1:15" x14ac:dyDescent="0.3">
      <c r="A15" s="34"/>
      <c r="B15" s="34"/>
      <c r="C15" s="34"/>
      <c r="D15" s="34"/>
      <c r="E15" s="25">
        <v>12</v>
      </c>
      <c r="F15" s="39">
        <v>45384</v>
      </c>
      <c r="G15" s="47">
        <f>AVERAGE(C335,C344,C352,C337)</f>
        <v>5.0000000000000001E-3</v>
      </c>
      <c r="H15" s="47">
        <f>AVERAGE(C329,C351,C345,C338)</f>
        <v>1.375E-2</v>
      </c>
      <c r="I15" s="47">
        <f>AVERAGE(C334,C341,C343,C336)</f>
        <v>0.01</v>
      </c>
      <c r="J15" s="47">
        <f>AVERAGE(C330,C340,C346,C332)</f>
        <v>5.0000000000000001E-3</v>
      </c>
      <c r="K15" s="47">
        <f>AVERAGE(C331,C347,C349,C342)</f>
        <v>0.01</v>
      </c>
      <c r="L15" s="47">
        <f>AVERAGE(C333,C348,C350,C339)</f>
        <v>2.5000000000000001E-2</v>
      </c>
    </row>
    <row r="16" spans="1:15" x14ac:dyDescent="0.3">
      <c r="A16" s="34"/>
      <c r="B16" s="34"/>
      <c r="C16" s="34"/>
      <c r="D16" s="34"/>
      <c r="E16" s="25">
        <v>13</v>
      </c>
      <c r="F16" s="39">
        <v>45400</v>
      </c>
      <c r="G16" s="47">
        <f>AVERAGE(C380,C372,C365,C363)</f>
        <v>0</v>
      </c>
      <c r="H16" s="47">
        <f>AVERAGE(C379,C373,C366,C357)</f>
        <v>0</v>
      </c>
      <c r="I16" s="47">
        <f>AVERAGE(C371,C369,C364,C362)</f>
        <v>0</v>
      </c>
      <c r="J16" s="47">
        <f>AVERAGE(C374,C368,C360,C358)</f>
        <v>0</v>
      </c>
      <c r="K16" s="47">
        <f>AVERAGE(C377,C375,C370,C359)</f>
        <v>0</v>
      </c>
      <c r="L16" s="47">
        <f>AVERAGE(C378,C376,C367,C361)</f>
        <v>0</v>
      </c>
    </row>
    <row r="19" spans="1:3" ht="14.5" thickBot="1" x14ac:dyDescent="0.35">
      <c r="A19" s="1" t="s">
        <v>36</v>
      </c>
      <c r="B19" s="18">
        <v>45216</v>
      </c>
      <c r="C19" t="s">
        <v>44</v>
      </c>
    </row>
    <row r="20" spans="1:3" x14ac:dyDescent="0.3">
      <c r="A20" s="22" t="s">
        <v>27</v>
      </c>
      <c r="B20" s="30" t="s">
        <v>26</v>
      </c>
      <c r="C20" s="23" t="s">
        <v>30</v>
      </c>
    </row>
    <row r="21" spans="1:3" x14ac:dyDescent="0.3">
      <c r="A21" s="31">
        <v>1</v>
      </c>
      <c r="B21" s="9" t="s">
        <v>2</v>
      </c>
      <c r="C21" s="46">
        <v>0</v>
      </c>
    </row>
    <row r="22" spans="1:3" x14ac:dyDescent="0.3">
      <c r="A22" s="31">
        <v>2</v>
      </c>
      <c r="B22" s="14" t="s">
        <v>3</v>
      </c>
      <c r="C22" s="46">
        <v>0</v>
      </c>
    </row>
    <row r="23" spans="1:3" x14ac:dyDescent="0.3">
      <c r="A23" s="31">
        <v>3</v>
      </c>
      <c r="B23" s="12" t="s">
        <v>4</v>
      </c>
      <c r="C23" s="46">
        <v>0</v>
      </c>
    </row>
    <row r="24" spans="1:3" x14ac:dyDescent="0.3">
      <c r="A24" s="31">
        <v>4</v>
      </c>
      <c r="B24" s="14" t="s">
        <v>5</v>
      </c>
      <c r="C24" s="46">
        <v>0</v>
      </c>
    </row>
    <row r="25" spans="1:3" x14ac:dyDescent="0.3">
      <c r="A25" s="31">
        <v>5</v>
      </c>
      <c r="B25" s="20" t="s">
        <v>6</v>
      </c>
      <c r="C25" s="46">
        <v>0.02</v>
      </c>
    </row>
    <row r="26" spans="1:3" x14ac:dyDescent="0.3">
      <c r="A26" s="31">
        <v>6</v>
      </c>
      <c r="B26" s="6" t="s">
        <v>7</v>
      </c>
      <c r="C26" s="46">
        <v>0.01</v>
      </c>
    </row>
    <row r="27" spans="1:3" x14ac:dyDescent="0.3">
      <c r="A27" s="31">
        <v>7</v>
      </c>
      <c r="B27" s="21" t="s">
        <v>8</v>
      </c>
      <c r="C27" s="46">
        <v>0.01</v>
      </c>
    </row>
    <row r="28" spans="1:3" x14ac:dyDescent="0.3">
      <c r="A28" s="31">
        <v>8</v>
      </c>
      <c r="B28" s="6" t="s">
        <v>9</v>
      </c>
      <c r="C28" s="46">
        <v>5.0000000000000001E-3</v>
      </c>
    </row>
    <row r="29" spans="1:3" x14ac:dyDescent="0.3">
      <c r="A29" s="31">
        <v>9</v>
      </c>
      <c r="B29" s="21" t="s">
        <v>10</v>
      </c>
      <c r="C29" s="46">
        <v>0</v>
      </c>
    </row>
    <row r="30" spans="1:3" x14ac:dyDescent="0.3">
      <c r="A30" s="31">
        <v>10</v>
      </c>
      <c r="B30" s="9" t="s">
        <v>11</v>
      </c>
      <c r="C30" s="46">
        <v>0.01</v>
      </c>
    </row>
    <row r="31" spans="1:3" x14ac:dyDescent="0.3">
      <c r="A31" s="31">
        <v>11</v>
      </c>
      <c r="B31" s="20" t="s">
        <v>12</v>
      </c>
      <c r="C31" s="46">
        <v>0</v>
      </c>
    </row>
    <row r="32" spans="1:3" x14ac:dyDescent="0.3">
      <c r="A32" s="31">
        <v>12</v>
      </c>
      <c r="B32" s="14" t="s">
        <v>13</v>
      </c>
      <c r="C32" s="46">
        <v>0</v>
      </c>
    </row>
    <row r="33" spans="1:3" x14ac:dyDescent="0.3">
      <c r="A33" s="31">
        <v>13</v>
      </c>
      <c r="B33" s="6" t="s">
        <v>14</v>
      </c>
      <c r="C33" s="46">
        <v>0.02</v>
      </c>
    </row>
    <row r="34" spans="1:3" x14ac:dyDescent="0.3">
      <c r="A34" s="31">
        <v>14</v>
      </c>
      <c r="B34" s="12" t="s">
        <v>15</v>
      </c>
      <c r="C34" s="46">
        <v>2.5000000000000001E-2</v>
      </c>
    </row>
    <row r="35" spans="1:3" x14ac:dyDescent="0.3">
      <c r="A35" s="31">
        <v>15</v>
      </c>
      <c r="B35" s="6" t="s">
        <v>16</v>
      </c>
      <c r="C35" s="46">
        <v>0</v>
      </c>
    </row>
    <row r="36" spans="1:3" x14ac:dyDescent="0.3">
      <c r="A36" s="31">
        <v>16</v>
      </c>
      <c r="B36" s="21" t="s">
        <v>17</v>
      </c>
      <c r="C36" s="46">
        <v>2.5000000000000001E-2</v>
      </c>
    </row>
    <row r="37" spans="1:3" x14ac:dyDescent="0.3">
      <c r="A37" s="31">
        <v>17</v>
      </c>
      <c r="B37" s="9" t="s">
        <v>18</v>
      </c>
      <c r="C37" s="46">
        <v>2.5000000000000001E-2</v>
      </c>
    </row>
    <row r="38" spans="1:3" x14ac:dyDescent="0.3">
      <c r="A38" s="31">
        <v>18</v>
      </c>
      <c r="B38" s="14" t="s">
        <v>19</v>
      </c>
      <c r="C38" s="46">
        <v>0.01</v>
      </c>
    </row>
    <row r="39" spans="1:3" x14ac:dyDescent="0.3">
      <c r="A39" s="31">
        <v>19</v>
      </c>
      <c r="B39" s="12" t="s">
        <v>20</v>
      </c>
      <c r="C39" s="46">
        <v>5.0000000000000001E-3</v>
      </c>
    </row>
    <row r="40" spans="1:3" x14ac:dyDescent="0.3">
      <c r="A40" s="31">
        <v>20</v>
      </c>
      <c r="B40" s="20" t="s">
        <v>21</v>
      </c>
      <c r="C40" s="46">
        <v>0.01</v>
      </c>
    </row>
    <row r="41" spans="1:3" x14ac:dyDescent="0.3">
      <c r="A41" s="31">
        <v>21</v>
      </c>
      <c r="B41" s="12" t="s">
        <v>22</v>
      </c>
      <c r="C41" s="46">
        <v>0.1</v>
      </c>
    </row>
    <row r="42" spans="1:3" x14ac:dyDescent="0.3">
      <c r="A42" s="31">
        <v>22</v>
      </c>
      <c r="B42" s="20" t="s">
        <v>23</v>
      </c>
      <c r="C42" s="46">
        <v>0.05</v>
      </c>
    </row>
    <row r="43" spans="1:3" x14ac:dyDescent="0.3">
      <c r="A43" s="31">
        <v>23</v>
      </c>
      <c r="B43" s="9" t="s">
        <v>24</v>
      </c>
      <c r="C43" s="46">
        <v>0.12</v>
      </c>
    </row>
    <row r="44" spans="1:3" ht="14.5" thickBot="1" x14ac:dyDescent="0.35">
      <c r="A44" s="32">
        <v>24</v>
      </c>
      <c r="B44" s="33" t="s">
        <v>25</v>
      </c>
      <c r="C44" s="46">
        <v>0.1</v>
      </c>
    </row>
    <row r="47" spans="1:3" ht="14.5" thickBot="1" x14ac:dyDescent="0.35">
      <c r="A47" s="1" t="s">
        <v>36</v>
      </c>
      <c r="B47" s="18">
        <v>45229</v>
      </c>
    </row>
    <row r="48" spans="1:3" x14ac:dyDescent="0.3">
      <c r="A48" s="22" t="s">
        <v>27</v>
      </c>
      <c r="B48" s="30" t="s">
        <v>26</v>
      </c>
      <c r="C48" s="23" t="s">
        <v>30</v>
      </c>
    </row>
    <row r="49" spans="1:3" x14ac:dyDescent="0.3">
      <c r="A49" s="31">
        <v>1</v>
      </c>
      <c r="B49" s="9" t="s">
        <v>2</v>
      </c>
      <c r="C49" s="46">
        <v>0</v>
      </c>
    </row>
    <row r="50" spans="1:3" x14ac:dyDescent="0.3">
      <c r="A50" s="31">
        <v>2</v>
      </c>
      <c r="B50" s="14" t="s">
        <v>3</v>
      </c>
      <c r="C50" s="46">
        <v>0</v>
      </c>
    </row>
    <row r="51" spans="1:3" x14ac:dyDescent="0.3">
      <c r="A51" s="31">
        <v>3</v>
      </c>
      <c r="B51" s="12" t="s">
        <v>4</v>
      </c>
      <c r="C51" s="46">
        <v>0</v>
      </c>
    </row>
    <row r="52" spans="1:3" x14ac:dyDescent="0.3">
      <c r="A52" s="31">
        <v>4</v>
      </c>
      <c r="B52" s="14" t="s">
        <v>5</v>
      </c>
      <c r="C52" s="46">
        <v>0</v>
      </c>
    </row>
    <row r="53" spans="1:3" x14ac:dyDescent="0.3">
      <c r="A53" s="31">
        <v>5</v>
      </c>
      <c r="B53" s="20" t="s">
        <v>6</v>
      </c>
      <c r="C53" s="46">
        <v>0.01</v>
      </c>
    </row>
    <row r="54" spans="1:3" x14ac:dyDescent="0.3">
      <c r="A54" s="31">
        <v>6</v>
      </c>
      <c r="B54" s="6" t="s">
        <v>7</v>
      </c>
      <c r="C54" s="46">
        <v>0.01</v>
      </c>
    </row>
    <row r="55" spans="1:3" x14ac:dyDescent="0.3">
      <c r="A55" s="31">
        <v>7</v>
      </c>
      <c r="B55" s="21" t="s">
        <v>8</v>
      </c>
      <c r="C55" s="46">
        <v>0.01</v>
      </c>
    </row>
    <row r="56" spans="1:3" x14ac:dyDescent="0.3">
      <c r="A56" s="31">
        <v>8</v>
      </c>
      <c r="B56" s="6" t="s">
        <v>9</v>
      </c>
      <c r="C56" s="46">
        <v>0</v>
      </c>
    </row>
    <row r="57" spans="1:3" x14ac:dyDescent="0.3">
      <c r="A57" s="31">
        <v>9</v>
      </c>
      <c r="B57" s="21" t="s">
        <v>10</v>
      </c>
      <c r="C57" s="46">
        <v>0.01</v>
      </c>
    </row>
    <row r="58" spans="1:3" x14ac:dyDescent="0.3">
      <c r="A58" s="31">
        <v>10</v>
      </c>
      <c r="B58" s="9" t="s">
        <v>11</v>
      </c>
      <c r="C58" s="46">
        <v>0.01</v>
      </c>
    </row>
    <row r="59" spans="1:3" x14ac:dyDescent="0.3">
      <c r="A59" s="31">
        <v>11</v>
      </c>
      <c r="B59" s="20" t="s">
        <v>12</v>
      </c>
      <c r="C59" s="46">
        <v>0</v>
      </c>
    </row>
    <row r="60" spans="1:3" x14ac:dyDescent="0.3">
      <c r="A60" s="31">
        <v>12</v>
      </c>
      <c r="B60" s="14" t="s">
        <v>13</v>
      </c>
      <c r="C60" s="46">
        <v>0.01</v>
      </c>
    </row>
    <row r="61" spans="1:3" x14ac:dyDescent="0.3">
      <c r="A61" s="31">
        <v>13</v>
      </c>
      <c r="B61" s="6" t="s">
        <v>14</v>
      </c>
      <c r="C61" s="46">
        <v>0.01</v>
      </c>
    </row>
    <row r="62" spans="1:3" x14ac:dyDescent="0.3">
      <c r="A62" s="31">
        <v>14</v>
      </c>
      <c r="B62" s="12" t="s">
        <v>15</v>
      </c>
      <c r="C62" s="46">
        <v>0.02</v>
      </c>
    </row>
    <row r="63" spans="1:3" x14ac:dyDescent="0.3">
      <c r="A63" s="31">
        <v>15</v>
      </c>
      <c r="B63" s="6" t="s">
        <v>16</v>
      </c>
      <c r="C63" s="46">
        <v>0.01</v>
      </c>
    </row>
    <row r="64" spans="1:3" x14ac:dyDescent="0.3">
      <c r="A64" s="31">
        <v>16</v>
      </c>
      <c r="B64" s="21" t="s">
        <v>17</v>
      </c>
      <c r="C64" s="46">
        <v>1.4999999999999999E-2</v>
      </c>
    </row>
    <row r="65" spans="1:3" x14ac:dyDescent="0.3">
      <c r="A65" s="31">
        <v>17</v>
      </c>
      <c r="B65" s="9" t="s">
        <v>18</v>
      </c>
      <c r="C65" s="46">
        <v>0.01</v>
      </c>
    </row>
    <row r="66" spans="1:3" x14ac:dyDescent="0.3">
      <c r="A66" s="31">
        <v>18</v>
      </c>
      <c r="B66" s="14" t="s">
        <v>19</v>
      </c>
      <c r="C66" s="46">
        <v>0.01</v>
      </c>
    </row>
    <row r="67" spans="1:3" x14ac:dyDescent="0.3">
      <c r="A67" s="31">
        <v>19</v>
      </c>
      <c r="B67" s="12" t="s">
        <v>20</v>
      </c>
      <c r="C67" s="46">
        <v>0.01</v>
      </c>
    </row>
    <row r="68" spans="1:3" x14ac:dyDescent="0.3">
      <c r="A68" s="31">
        <v>20</v>
      </c>
      <c r="B68" s="20" t="s">
        <v>21</v>
      </c>
      <c r="C68" s="46">
        <v>0.01</v>
      </c>
    </row>
    <row r="69" spans="1:3" x14ac:dyDescent="0.3">
      <c r="A69" s="31">
        <v>21</v>
      </c>
      <c r="B69" s="12" t="s">
        <v>22</v>
      </c>
      <c r="C69" s="46">
        <v>0.08</v>
      </c>
    </row>
    <row r="70" spans="1:3" x14ac:dyDescent="0.3">
      <c r="A70" s="31">
        <v>22</v>
      </c>
      <c r="B70" s="20" t="s">
        <v>23</v>
      </c>
      <c r="C70" s="46">
        <v>0.04</v>
      </c>
    </row>
    <row r="71" spans="1:3" x14ac:dyDescent="0.3">
      <c r="A71" s="31">
        <v>23</v>
      </c>
      <c r="B71" s="9" t="s">
        <v>24</v>
      </c>
      <c r="C71" s="46">
        <v>0.08</v>
      </c>
    </row>
    <row r="72" spans="1:3" ht="14.5" thickBot="1" x14ac:dyDescent="0.35">
      <c r="A72" s="32">
        <v>24</v>
      </c>
      <c r="B72" s="33" t="s">
        <v>25</v>
      </c>
      <c r="C72" s="46">
        <v>7.0000000000000007E-2</v>
      </c>
    </row>
    <row r="75" spans="1:3" ht="14.5" thickBot="1" x14ac:dyDescent="0.35">
      <c r="A75" s="1" t="s">
        <v>36</v>
      </c>
      <c r="B75" s="18">
        <v>45243</v>
      </c>
    </row>
    <row r="76" spans="1:3" x14ac:dyDescent="0.3">
      <c r="A76" s="22" t="s">
        <v>27</v>
      </c>
      <c r="B76" s="30" t="s">
        <v>26</v>
      </c>
      <c r="C76" s="23" t="s">
        <v>30</v>
      </c>
    </row>
    <row r="77" spans="1:3" x14ac:dyDescent="0.3">
      <c r="A77" s="31">
        <v>1</v>
      </c>
      <c r="B77" s="9" t="s">
        <v>2</v>
      </c>
      <c r="C77" s="46">
        <v>0</v>
      </c>
    </row>
    <row r="78" spans="1:3" x14ac:dyDescent="0.3">
      <c r="A78" s="31">
        <v>2</v>
      </c>
      <c r="B78" s="14" t="s">
        <v>3</v>
      </c>
      <c r="C78" s="46">
        <v>0</v>
      </c>
    </row>
    <row r="79" spans="1:3" x14ac:dyDescent="0.3">
      <c r="A79" s="31">
        <v>3</v>
      </c>
      <c r="B79" s="12" t="s">
        <v>4</v>
      </c>
      <c r="C79" s="46">
        <v>0</v>
      </c>
    </row>
    <row r="80" spans="1:3" x14ac:dyDescent="0.3">
      <c r="A80" s="31">
        <v>4</v>
      </c>
      <c r="B80" s="14" t="s">
        <v>5</v>
      </c>
      <c r="C80" s="46">
        <v>0</v>
      </c>
    </row>
    <row r="81" spans="1:3" x14ac:dyDescent="0.3">
      <c r="A81" s="31">
        <v>5</v>
      </c>
      <c r="B81" s="20" t="s">
        <v>6</v>
      </c>
      <c r="C81" s="46">
        <v>0</v>
      </c>
    </row>
    <row r="82" spans="1:3" x14ac:dyDescent="0.3">
      <c r="A82" s="31">
        <v>6</v>
      </c>
      <c r="B82" s="6" t="s">
        <v>7</v>
      </c>
      <c r="C82" s="46">
        <v>0</v>
      </c>
    </row>
    <row r="83" spans="1:3" x14ac:dyDescent="0.3">
      <c r="A83" s="31">
        <v>7</v>
      </c>
      <c r="B83" s="21" t="s">
        <v>8</v>
      </c>
      <c r="C83" s="46">
        <v>0</v>
      </c>
    </row>
    <row r="84" spans="1:3" x14ac:dyDescent="0.3">
      <c r="A84" s="31">
        <v>8</v>
      </c>
      <c r="B84" s="6" t="s">
        <v>9</v>
      </c>
      <c r="C84" s="46">
        <v>0</v>
      </c>
    </row>
    <row r="85" spans="1:3" x14ac:dyDescent="0.3">
      <c r="A85" s="31">
        <v>9</v>
      </c>
      <c r="B85" s="21" t="s">
        <v>10</v>
      </c>
      <c r="C85" s="46">
        <v>0</v>
      </c>
    </row>
    <row r="86" spans="1:3" x14ac:dyDescent="0.3">
      <c r="A86" s="31">
        <v>10</v>
      </c>
      <c r="B86" s="9" t="s">
        <v>11</v>
      </c>
      <c r="C86" s="46">
        <v>0</v>
      </c>
    </row>
    <row r="87" spans="1:3" x14ac:dyDescent="0.3">
      <c r="A87" s="31">
        <v>11</v>
      </c>
      <c r="B87" s="20" t="s">
        <v>12</v>
      </c>
      <c r="C87" s="46">
        <v>0</v>
      </c>
    </row>
    <row r="88" spans="1:3" x14ac:dyDescent="0.3">
      <c r="A88" s="31">
        <v>12</v>
      </c>
      <c r="B88" s="14" t="s">
        <v>13</v>
      </c>
      <c r="C88" s="46">
        <v>0</v>
      </c>
    </row>
    <row r="89" spans="1:3" x14ac:dyDescent="0.3">
      <c r="A89" s="31">
        <v>13</v>
      </c>
      <c r="B89" s="6" t="s">
        <v>14</v>
      </c>
      <c r="C89" s="46">
        <v>0</v>
      </c>
    </row>
    <row r="90" spans="1:3" x14ac:dyDescent="0.3">
      <c r="A90" s="31">
        <v>14</v>
      </c>
      <c r="B90" s="12" t="s">
        <v>15</v>
      </c>
      <c r="C90" s="46">
        <v>0</v>
      </c>
    </row>
    <row r="91" spans="1:3" x14ac:dyDescent="0.3">
      <c r="A91" s="31">
        <v>15</v>
      </c>
      <c r="B91" s="6" t="s">
        <v>16</v>
      </c>
      <c r="C91" s="46">
        <v>0</v>
      </c>
    </row>
    <row r="92" spans="1:3" x14ac:dyDescent="0.3">
      <c r="A92" s="31">
        <v>16</v>
      </c>
      <c r="B92" s="21" t="s">
        <v>17</v>
      </c>
      <c r="C92" s="46">
        <v>0</v>
      </c>
    </row>
    <row r="93" spans="1:3" x14ac:dyDescent="0.3">
      <c r="A93" s="31">
        <v>17</v>
      </c>
      <c r="B93" s="9" t="s">
        <v>18</v>
      </c>
      <c r="C93" s="46">
        <v>0.01</v>
      </c>
    </row>
    <row r="94" spans="1:3" x14ac:dyDescent="0.3">
      <c r="A94" s="31">
        <v>18</v>
      </c>
      <c r="B94" s="14" t="s">
        <v>19</v>
      </c>
      <c r="C94" s="46">
        <v>0</v>
      </c>
    </row>
    <row r="95" spans="1:3" x14ac:dyDescent="0.3">
      <c r="A95" s="31">
        <v>19</v>
      </c>
      <c r="B95" s="12" t="s">
        <v>20</v>
      </c>
      <c r="C95" s="46">
        <v>0.02</v>
      </c>
    </row>
    <row r="96" spans="1:3" x14ac:dyDescent="0.3">
      <c r="A96" s="31">
        <v>20</v>
      </c>
      <c r="B96" s="20" t="s">
        <v>21</v>
      </c>
      <c r="C96" s="46">
        <v>0</v>
      </c>
    </row>
    <row r="97" spans="1:3" x14ac:dyDescent="0.3">
      <c r="A97" s="31">
        <v>21</v>
      </c>
      <c r="B97" s="12" t="s">
        <v>22</v>
      </c>
      <c r="C97" s="46">
        <v>0.05</v>
      </c>
    </row>
    <row r="98" spans="1:3" x14ac:dyDescent="0.3">
      <c r="A98" s="31">
        <v>22</v>
      </c>
      <c r="B98" s="20" t="s">
        <v>23</v>
      </c>
      <c r="C98" s="46">
        <v>0.02</v>
      </c>
    </row>
    <row r="99" spans="1:3" x14ac:dyDescent="0.3">
      <c r="A99" s="31">
        <v>23</v>
      </c>
      <c r="B99" s="9" t="s">
        <v>24</v>
      </c>
      <c r="C99" s="46">
        <v>0.03</v>
      </c>
    </row>
    <row r="100" spans="1:3" ht="14.5" thickBot="1" x14ac:dyDescent="0.35">
      <c r="A100" s="32">
        <v>24</v>
      </c>
      <c r="B100" s="33" t="s">
        <v>25</v>
      </c>
      <c r="C100" s="48">
        <v>0.01</v>
      </c>
    </row>
    <row r="103" spans="1:3" ht="14.5" thickBot="1" x14ac:dyDescent="0.35">
      <c r="A103" s="1" t="s">
        <v>36</v>
      </c>
      <c r="B103" s="18">
        <v>45257</v>
      </c>
    </row>
    <row r="104" spans="1:3" x14ac:dyDescent="0.3">
      <c r="A104" s="22" t="s">
        <v>27</v>
      </c>
      <c r="B104" s="30" t="s">
        <v>26</v>
      </c>
      <c r="C104" s="23" t="s">
        <v>30</v>
      </c>
    </row>
    <row r="105" spans="1:3" x14ac:dyDescent="0.3">
      <c r="A105" s="31">
        <v>1</v>
      </c>
      <c r="B105" s="9" t="s">
        <v>2</v>
      </c>
      <c r="C105" s="46">
        <v>0</v>
      </c>
    </row>
    <row r="106" spans="1:3" x14ac:dyDescent="0.3">
      <c r="A106" s="31">
        <v>2</v>
      </c>
      <c r="B106" s="14" t="s">
        <v>3</v>
      </c>
      <c r="C106" s="46">
        <v>0</v>
      </c>
    </row>
    <row r="107" spans="1:3" x14ac:dyDescent="0.3">
      <c r="A107" s="31">
        <v>3</v>
      </c>
      <c r="B107" s="12" t="s">
        <v>4</v>
      </c>
      <c r="C107" s="46">
        <v>0</v>
      </c>
    </row>
    <row r="108" spans="1:3" x14ac:dyDescent="0.3">
      <c r="A108" s="31">
        <v>4</v>
      </c>
      <c r="B108" s="14" t="s">
        <v>5</v>
      </c>
      <c r="C108" s="46">
        <v>0</v>
      </c>
    </row>
    <row r="109" spans="1:3" x14ac:dyDescent="0.3">
      <c r="A109" s="31">
        <v>5</v>
      </c>
      <c r="B109" s="20" t="s">
        <v>6</v>
      </c>
      <c r="C109" s="46">
        <v>0</v>
      </c>
    </row>
    <row r="110" spans="1:3" x14ac:dyDescent="0.3">
      <c r="A110" s="31">
        <v>6</v>
      </c>
      <c r="B110" s="6" t="s">
        <v>7</v>
      </c>
      <c r="C110" s="46">
        <v>0</v>
      </c>
    </row>
    <row r="111" spans="1:3" x14ac:dyDescent="0.3">
      <c r="A111" s="31">
        <v>7</v>
      </c>
      <c r="B111" s="21" t="s">
        <v>8</v>
      </c>
      <c r="C111" s="46">
        <v>0</v>
      </c>
    </row>
    <row r="112" spans="1:3" x14ac:dyDescent="0.3">
      <c r="A112" s="31">
        <v>8</v>
      </c>
      <c r="B112" s="6" t="s">
        <v>9</v>
      </c>
      <c r="C112" s="46">
        <v>0</v>
      </c>
    </row>
    <row r="113" spans="1:3" x14ac:dyDescent="0.3">
      <c r="A113" s="31">
        <v>9</v>
      </c>
      <c r="B113" s="21" t="s">
        <v>10</v>
      </c>
      <c r="C113" s="46">
        <v>0</v>
      </c>
    </row>
    <row r="114" spans="1:3" x14ac:dyDescent="0.3">
      <c r="A114" s="31">
        <v>10</v>
      </c>
      <c r="B114" s="9" t="s">
        <v>11</v>
      </c>
      <c r="C114" s="46">
        <v>0</v>
      </c>
    </row>
    <row r="115" spans="1:3" x14ac:dyDescent="0.3">
      <c r="A115" s="31">
        <v>11</v>
      </c>
      <c r="B115" s="20" t="s">
        <v>12</v>
      </c>
      <c r="C115" s="46">
        <v>0</v>
      </c>
    </row>
    <row r="116" spans="1:3" x14ac:dyDescent="0.3">
      <c r="A116" s="31">
        <v>12</v>
      </c>
      <c r="B116" s="14" t="s">
        <v>13</v>
      </c>
      <c r="C116" s="46">
        <v>0</v>
      </c>
    </row>
    <row r="117" spans="1:3" x14ac:dyDescent="0.3">
      <c r="A117" s="31">
        <v>13</v>
      </c>
      <c r="B117" s="6" t="s">
        <v>14</v>
      </c>
      <c r="C117" s="46">
        <v>0</v>
      </c>
    </row>
    <row r="118" spans="1:3" x14ac:dyDescent="0.3">
      <c r="A118" s="31">
        <v>14</v>
      </c>
      <c r="B118" s="12" t="s">
        <v>15</v>
      </c>
      <c r="C118" s="46">
        <v>0.01</v>
      </c>
    </row>
    <row r="119" spans="1:3" x14ac:dyDescent="0.3">
      <c r="A119" s="31">
        <v>15</v>
      </c>
      <c r="B119" s="6" t="s">
        <v>16</v>
      </c>
      <c r="C119" s="46">
        <v>0</v>
      </c>
    </row>
    <row r="120" spans="1:3" x14ac:dyDescent="0.3">
      <c r="A120" s="31">
        <v>16</v>
      </c>
      <c r="B120" s="21" t="s">
        <v>17</v>
      </c>
      <c r="C120" s="46">
        <v>0</v>
      </c>
    </row>
    <row r="121" spans="1:3" x14ac:dyDescent="0.3">
      <c r="A121" s="31">
        <v>17</v>
      </c>
      <c r="B121" s="9" t="s">
        <v>18</v>
      </c>
      <c r="C121" s="46">
        <v>0</v>
      </c>
    </row>
    <row r="122" spans="1:3" x14ac:dyDescent="0.3">
      <c r="A122" s="31">
        <v>18</v>
      </c>
      <c r="B122" s="14" t="s">
        <v>19</v>
      </c>
      <c r="C122" s="46">
        <v>0</v>
      </c>
    </row>
    <row r="123" spans="1:3" x14ac:dyDescent="0.3">
      <c r="A123" s="31">
        <v>19</v>
      </c>
      <c r="B123" s="12" t="s">
        <v>20</v>
      </c>
      <c r="C123" s="46">
        <v>0</v>
      </c>
    </row>
    <row r="124" spans="1:3" x14ac:dyDescent="0.3">
      <c r="A124" s="31">
        <v>20</v>
      </c>
      <c r="B124" s="20" t="s">
        <v>21</v>
      </c>
      <c r="C124" s="46">
        <v>0</v>
      </c>
    </row>
    <row r="125" spans="1:3" x14ac:dyDescent="0.3">
      <c r="A125" s="31">
        <v>21</v>
      </c>
      <c r="B125" s="12" t="s">
        <v>22</v>
      </c>
      <c r="C125" s="46">
        <v>0.04</v>
      </c>
    </row>
    <row r="126" spans="1:3" x14ac:dyDescent="0.3">
      <c r="A126" s="31">
        <v>22</v>
      </c>
      <c r="B126" s="20" t="s">
        <v>23</v>
      </c>
      <c r="C126" s="46">
        <v>0.02</v>
      </c>
    </row>
    <row r="127" spans="1:3" x14ac:dyDescent="0.3">
      <c r="A127" s="31">
        <v>23</v>
      </c>
      <c r="B127" s="9" t="s">
        <v>24</v>
      </c>
      <c r="C127" s="46">
        <v>0.01</v>
      </c>
    </row>
    <row r="128" spans="1:3" ht="14.5" thickBot="1" x14ac:dyDescent="0.35">
      <c r="A128" s="32">
        <v>24</v>
      </c>
      <c r="B128" s="33" t="s">
        <v>25</v>
      </c>
      <c r="C128" s="48">
        <v>0.01</v>
      </c>
    </row>
    <row r="131" spans="1:3" ht="14.5" thickBot="1" x14ac:dyDescent="0.35">
      <c r="A131" s="1" t="s">
        <v>36</v>
      </c>
      <c r="B131" s="18">
        <v>45271</v>
      </c>
    </row>
    <row r="132" spans="1:3" x14ac:dyDescent="0.3">
      <c r="A132" s="22" t="s">
        <v>27</v>
      </c>
      <c r="B132" s="30" t="s">
        <v>26</v>
      </c>
      <c r="C132" s="23" t="s">
        <v>30</v>
      </c>
    </row>
    <row r="133" spans="1:3" x14ac:dyDescent="0.3">
      <c r="A133" s="31">
        <v>1</v>
      </c>
      <c r="B133" s="9" t="s">
        <v>2</v>
      </c>
      <c r="C133" s="46">
        <v>0</v>
      </c>
    </row>
    <row r="134" spans="1:3" x14ac:dyDescent="0.3">
      <c r="A134" s="31">
        <v>2</v>
      </c>
      <c r="B134" s="14" t="s">
        <v>3</v>
      </c>
      <c r="C134" s="46">
        <v>0</v>
      </c>
    </row>
    <row r="135" spans="1:3" x14ac:dyDescent="0.3">
      <c r="A135" s="31">
        <v>3</v>
      </c>
      <c r="B135" s="12" t="s">
        <v>4</v>
      </c>
      <c r="C135" s="46">
        <v>0</v>
      </c>
    </row>
    <row r="136" spans="1:3" x14ac:dyDescent="0.3">
      <c r="A136" s="31">
        <v>4</v>
      </c>
      <c r="B136" s="14" t="s">
        <v>5</v>
      </c>
      <c r="C136" s="46">
        <v>0</v>
      </c>
    </row>
    <row r="137" spans="1:3" x14ac:dyDescent="0.3">
      <c r="A137" s="31">
        <v>5</v>
      </c>
      <c r="B137" s="20" t="s">
        <v>6</v>
      </c>
      <c r="C137" s="46">
        <v>0</v>
      </c>
    </row>
    <row r="138" spans="1:3" x14ac:dyDescent="0.3">
      <c r="A138" s="31">
        <v>6</v>
      </c>
      <c r="B138" s="6" t="s">
        <v>7</v>
      </c>
      <c r="C138" s="46">
        <v>0</v>
      </c>
    </row>
    <row r="139" spans="1:3" x14ac:dyDescent="0.3">
      <c r="A139" s="31">
        <v>7</v>
      </c>
      <c r="B139" s="21" t="s">
        <v>8</v>
      </c>
      <c r="C139" s="46">
        <v>0</v>
      </c>
    </row>
    <row r="140" spans="1:3" x14ac:dyDescent="0.3">
      <c r="A140" s="31">
        <v>8</v>
      </c>
      <c r="B140" s="6" t="s">
        <v>9</v>
      </c>
      <c r="C140" s="46">
        <v>0</v>
      </c>
    </row>
    <row r="141" spans="1:3" x14ac:dyDescent="0.3">
      <c r="A141" s="31">
        <v>9</v>
      </c>
      <c r="B141" s="21" t="s">
        <v>10</v>
      </c>
      <c r="C141" s="46">
        <v>0</v>
      </c>
    </row>
    <row r="142" spans="1:3" x14ac:dyDescent="0.3">
      <c r="A142" s="31">
        <v>10</v>
      </c>
      <c r="B142" s="9" t="s">
        <v>11</v>
      </c>
      <c r="C142" s="46">
        <v>0</v>
      </c>
    </row>
    <row r="143" spans="1:3" x14ac:dyDescent="0.3">
      <c r="A143" s="31">
        <v>11</v>
      </c>
      <c r="B143" s="20" t="s">
        <v>12</v>
      </c>
      <c r="C143" s="46">
        <v>0</v>
      </c>
    </row>
    <row r="144" spans="1:3" x14ac:dyDescent="0.3">
      <c r="A144" s="31">
        <v>12</v>
      </c>
      <c r="B144" s="14" t="s">
        <v>13</v>
      </c>
      <c r="C144" s="46">
        <v>0</v>
      </c>
    </row>
    <row r="145" spans="1:3" x14ac:dyDescent="0.3">
      <c r="A145" s="31">
        <v>13</v>
      </c>
      <c r="B145" s="6" t="s">
        <v>14</v>
      </c>
      <c r="C145" s="46">
        <v>0</v>
      </c>
    </row>
    <row r="146" spans="1:3" x14ac:dyDescent="0.3">
      <c r="A146" s="31">
        <v>14</v>
      </c>
      <c r="B146" s="12" t="s">
        <v>15</v>
      </c>
      <c r="C146" s="46">
        <v>0.01</v>
      </c>
    </row>
    <row r="147" spans="1:3" x14ac:dyDescent="0.3">
      <c r="A147" s="31">
        <v>15</v>
      </c>
      <c r="B147" s="6" t="s">
        <v>16</v>
      </c>
      <c r="C147" s="46">
        <v>0</v>
      </c>
    </row>
    <row r="148" spans="1:3" x14ac:dyDescent="0.3">
      <c r="A148" s="31">
        <v>16</v>
      </c>
      <c r="B148" s="21" t="s">
        <v>17</v>
      </c>
      <c r="C148" s="46">
        <v>0</v>
      </c>
    </row>
    <row r="149" spans="1:3" x14ac:dyDescent="0.3">
      <c r="A149" s="31">
        <v>17</v>
      </c>
      <c r="B149" s="9" t="s">
        <v>18</v>
      </c>
      <c r="C149" s="46">
        <v>0</v>
      </c>
    </row>
    <row r="150" spans="1:3" x14ac:dyDescent="0.3">
      <c r="A150" s="31">
        <v>18</v>
      </c>
      <c r="B150" s="14" t="s">
        <v>19</v>
      </c>
      <c r="C150" s="46">
        <v>0</v>
      </c>
    </row>
    <row r="151" spans="1:3" x14ac:dyDescent="0.3">
      <c r="A151" s="31">
        <v>19</v>
      </c>
      <c r="B151" s="12" t="s">
        <v>20</v>
      </c>
      <c r="C151" s="46">
        <v>0</v>
      </c>
    </row>
    <row r="152" spans="1:3" x14ac:dyDescent="0.3">
      <c r="A152" s="31">
        <v>20</v>
      </c>
      <c r="B152" s="20" t="s">
        <v>21</v>
      </c>
      <c r="C152" s="46">
        <v>0</v>
      </c>
    </row>
    <row r="153" spans="1:3" x14ac:dyDescent="0.3">
      <c r="A153" s="31">
        <v>21</v>
      </c>
      <c r="B153" s="12" t="s">
        <v>22</v>
      </c>
      <c r="C153" s="46">
        <v>0.03</v>
      </c>
    </row>
    <row r="154" spans="1:3" x14ac:dyDescent="0.3">
      <c r="A154" s="31">
        <v>22</v>
      </c>
      <c r="B154" s="20" t="s">
        <v>23</v>
      </c>
      <c r="C154" s="46">
        <v>0.02</v>
      </c>
    </row>
    <row r="155" spans="1:3" x14ac:dyDescent="0.3">
      <c r="A155" s="31">
        <v>23</v>
      </c>
      <c r="B155" s="9" t="s">
        <v>24</v>
      </c>
      <c r="C155" s="46">
        <v>0.01</v>
      </c>
    </row>
    <row r="156" spans="1:3" ht="14.5" thickBot="1" x14ac:dyDescent="0.35">
      <c r="A156" s="32">
        <v>24</v>
      </c>
      <c r="B156" s="33" t="s">
        <v>25</v>
      </c>
      <c r="C156" s="48">
        <v>0.01</v>
      </c>
    </row>
    <row r="159" spans="1:3" ht="14.5" thickBot="1" x14ac:dyDescent="0.35">
      <c r="A159" s="1" t="s">
        <v>36</v>
      </c>
      <c r="B159" s="18">
        <v>45287</v>
      </c>
    </row>
    <row r="160" spans="1:3" x14ac:dyDescent="0.3">
      <c r="A160" s="22" t="s">
        <v>27</v>
      </c>
      <c r="B160" s="30" t="s">
        <v>26</v>
      </c>
      <c r="C160" s="23" t="s">
        <v>30</v>
      </c>
    </row>
    <row r="161" spans="1:3" x14ac:dyDescent="0.3">
      <c r="A161" s="31">
        <v>1</v>
      </c>
      <c r="B161" s="9" t="s">
        <v>2</v>
      </c>
      <c r="C161" s="46">
        <v>0.05</v>
      </c>
    </row>
    <row r="162" spans="1:3" x14ac:dyDescent="0.3">
      <c r="A162" s="31">
        <v>2</v>
      </c>
      <c r="B162" s="14" t="s">
        <v>3</v>
      </c>
      <c r="C162" s="46">
        <v>0.05</v>
      </c>
    </row>
    <row r="163" spans="1:3" x14ac:dyDescent="0.3">
      <c r="A163" s="31">
        <v>3</v>
      </c>
      <c r="B163" s="12" t="s">
        <v>4</v>
      </c>
      <c r="C163" s="46">
        <v>0.01</v>
      </c>
    </row>
    <row r="164" spans="1:3" x14ac:dyDescent="0.3">
      <c r="A164" s="31">
        <v>4</v>
      </c>
      <c r="B164" s="14" t="s">
        <v>5</v>
      </c>
      <c r="C164" s="46">
        <v>0</v>
      </c>
    </row>
    <row r="165" spans="1:3" x14ac:dyDescent="0.3">
      <c r="A165" s="31">
        <v>5</v>
      </c>
      <c r="B165" s="20" t="s">
        <v>6</v>
      </c>
      <c r="C165" s="46">
        <v>0.05</v>
      </c>
    </row>
    <row r="166" spans="1:3" x14ac:dyDescent="0.3">
      <c r="A166" s="31">
        <v>6</v>
      </c>
      <c r="B166" s="6" t="s">
        <v>7</v>
      </c>
      <c r="C166" s="46">
        <v>0.01</v>
      </c>
    </row>
    <row r="167" spans="1:3" x14ac:dyDescent="0.3">
      <c r="A167" s="31">
        <v>7</v>
      </c>
      <c r="B167" s="21" t="s">
        <v>8</v>
      </c>
      <c r="C167" s="46">
        <v>0.05</v>
      </c>
    </row>
    <row r="168" spans="1:3" x14ac:dyDescent="0.3">
      <c r="A168" s="31">
        <v>8</v>
      </c>
      <c r="B168" s="6" t="s">
        <v>9</v>
      </c>
      <c r="C168" s="46">
        <v>0</v>
      </c>
    </row>
    <row r="169" spans="1:3" x14ac:dyDescent="0.3">
      <c r="A169" s="31">
        <v>9</v>
      </c>
      <c r="B169" s="21" t="s">
        <v>10</v>
      </c>
      <c r="C169" s="46">
        <v>0.03</v>
      </c>
    </row>
    <row r="170" spans="1:3" x14ac:dyDescent="0.3">
      <c r="A170" s="31">
        <v>10</v>
      </c>
      <c r="B170" s="9" t="s">
        <v>11</v>
      </c>
      <c r="C170" s="46">
        <v>0</v>
      </c>
    </row>
    <row r="171" spans="1:3" x14ac:dyDescent="0.3">
      <c r="A171" s="31">
        <v>11</v>
      </c>
      <c r="B171" s="20" t="s">
        <v>12</v>
      </c>
      <c r="C171" s="46">
        <v>0.01</v>
      </c>
    </row>
    <row r="172" spans="1:3" x14ac:dyDescent="0.3">
      <c r="A172" s="31">
        <v>12</v>
      </c>
      <c r="B172" s="14" t="s">
        <v>13</v>
      </c>
      <c r="C172" s="46">
        <v>0.01</v>
      </c>
    </row>
    <row r="173" spans="1:3" x14ac:dyDescent="0.3">
      <c r="A173" s="31">
        <v>13</v>
      </c>
      <c r="B173" s="6" t="s">
        <v>14</v>
      </c>
      <c r="C173" s="46">
        <v>0.01</v>
      </c>
    </row>
    <row r="174" spans="1:3" x14ac:dyDescent="0.3">
      <c r="A174" s="31">
        <v>14</v>
      </c>
      <c r="B174" s="12" t="s">
        <v>15</v>
      </c>
      <c r="C174" s="46">
        <v>0.03</v>
      </c>
    </row>
    <row r="175" spans="1:3" x14ac:dyDescent="0.3">
      <c r="A175" s="31">
        <v>15</v>
      </c>
      <c r="B175" s="6" t="s">
        <v>16</v>
      </c>
      <c r="C175" s="46">
        <v>0.03</v>
      </c>
    </row>
    <row r="176" spans="1:3" x14ac:dyDescent="0.3">
      <c r="A176" s="31">
        <v>16</v>
      </c>
      <c r="B176" s="21" t="s">
        <v>17</v>
      </c>
      <c r="C176" s="46">
        <v>0.05</v>
      </c>
    </row>
    <row r="177" spans="1:3" x14ac:dyDescent="0.3">
      <c r="A177" s="31">
        <v>17</v>
      </c>
      <c r="B177" s="9" t="s">
        <v>18</v>
      </c>
      <c r="C177" s="46">
        <v>0.01</v>
      </c>
    </row>
    <row r="178" spans="1:3" x14ac:dyDescent="0.3">
      <c r="A178" s="31">
        <v>18</v>
      </c>
      <c r="B178" s="14" t="s">
        <v>19</v>
      </c>
      <c r="C178" s="46">
        <v>0.02</v>
      </c>
    </row>
    <row r="179" spans="1:3" x14ac:dyDescent="0.3">
      <c r="A179" s="31">
        <v>19</v>
      </c>
      <c r="B179" s="12" t="s">
        <v>20</v>
      </c>
      <c r="C179" s="46">
        <v>0.05</v>
      </c>
    </row>
    <row r="180" spans="1:3" x14ac:dyDescent="0.3">
      <c r="A180" s="31">
        <v>20</v>
      </c>
      <c r="B180" s="20" t="s">
        <v>21</v>
      </c>
      <c r="C180" s="46">
        <v>0.03</v>
      </c>
    </row>
    <row r="181" spans="1:3" x14ac:dyDescent="0.3">
      <c r="A181" s="31">
        <v>21</v>
      </c>
      <c r="B181" s="12" t="s">
        <v>22</v>
      </c>
      <c r="C181" s="46">
        <v>0.02</v>
      </c>
    </row>
    <row r="182" spans="1:3" x14ac:dyDescent="0.3">
      <c r="A182" s="31">
        <v>22</v>
      </c>
      <c r="B182" s="20" t="s">
        <v>23</v>
      </c>
      <c r="C182" s="46">
        <v>0.05</v>
      </c>
    </row>
    <row r="183" spans="1:3" x14ac:dyDescent="0.3">
      <c r="A183" s="31">
        <v>23</v>
      </c>
      <c r="B183" s="9" t="s">
        <v>24</v>
      </c>
      <c r="C183" s="46">
        <v>0.01</v>
      </c>
    </row>
    <row r="184" spans="1:3" ht="14.5" thickBot="1" x14ac:dyDescent="0.35">
      <c r="A184" s="32">
        <v>24</v>
      </c>
      <c r="B184" s="33" t="s">
        <v>25</v>
      </c>
      <c r="C184" s="48">
        <v>0.02</v>
      </c>
    </row>
    <row r="186" spans="1:3" x14ac:dyDescent="0.3">
      <c r="A186" s="57">
        <v>45299</v>
      </c>
      <c r="B186" t="s">
        <v>61</v>
      </c>
    </row>
    <row r="187" spans="1:3" ht="14.5" thickBot="1" x14ac:dyDescent="0.35">
      <c r="A187" s="1" t="s">
        <v>36</v>
      </c>
      <c r="B187" s="18">
        <v>45313</v>
      </c>
    </row>
    <row r="188" spans="1:3" x14ac:dyDescent="0.3">
      <c r="A188" s="22" t="s">
        <v>27</v>
      </c>
      <c r="B188" s="30" t="s">
        <v>26</v>
      </c>
      <c r="C188" s="23" t="s">
        <v>30</v>
      </c>
    </row>
    <row r="189" spans="1:3" x14ac:dyDescent="0.3">
      <c r="A189" s="31">
        <v>1</v>
      </c>
      <c r="B189" s="9" t="s">
        <v>2</v>
      </c>
      <c r="C189" s="46">
        <v>0.05</v>
      </c>
    </row>
    <row r="190" spans="1:3" x14ac:dyDescent="0.3">
      <c r="A190" s="31">
        <v>2</v>
      </c>
      <c r="B190" s="14" t="s">
        <v>3</v>
      </c>
      <c r="C190" s="46">
        <v>0.03</v>
      </c>
    </row>
    <row r="191" spans="1:3" x14ac:dyDescent="0.3">
      <c r="A191" s="31">
        <v>3</v>
      </c>
      <c r="B191" s="12" t="s">
        <v>4</v>
      </c>
      <c r="C191" s="46">
        <v>0.02</v>
      </c>
    </row>
    <row r="192" spans="1:3" x14ac:dyDescent="0.3">
      <c r="A192" s="31">
        <v>4</v>
      </c>
      <c r="B192" s="14" t="s">
        <v>5</v>
      </c>
      <c r="C192" s="46">
        <v>0.01</v>
      </c>
    </row>
    <row r="193" spans="1:3" x14ac:dyDescent="0.3">
      <c r="A193" s="31">
        <v>5</v>
      </c>
      <c r="B193" s="20" t="s">
        <v>6</v>
      </c>
      <c r="C193" s="46">
        <v>0.05</v>
      </c>
    </row>
    <row r="194" spans="1:3" x14ac:dyDescent="0.3">
      <c r="A194" s="31">
        <v>6</v>
      </c>
      <c r="B194" s="6" t="s">
        <v>7</v>
      </c>
      <c r="C194" s="46">
        <v>0.01</v>
      </c>
    </row>
    <row r="195" spans="1:3" x14ac:dyDescent="0.3">
      <c r="A195" s="31">
        <v>7</v>
      </c>
      <c r="B195" s="21" t="s">
        <v>8</v>
      </c>
      <c r="C195" s="46">
        <v>0.03</v>
      </c>
    </row>
    <row r="196" spans="1:3" x14ac:dyDescent="0.3">
      <c r="A196" s="31">
        <v>8</v>
      </c>
      <c r="B196" s="6" t="s">
        <v>9</v>
      </c>
      <c r="C196" s="46">
        <v>0.01</v>
      </c>
    </row>
    <row r="197" spans="1:3" x14ac:dyDescent="0.3">
      <c r="A197" s="31">
        <v>9</v>
      </c>
      <c r="B197" s="21" t="s">
        <v>10</v>
      </c>
      <c r="C197" s="46">
        <v>0.03</v>
      </c>
    </row>
    <row r="198" spans="1:3" x14ac:dyDescent="0.3">
      <c r="A198" s="31">
        <v>10</v>
      </c>
      <c r="B198" s="9" t="s">
        <v>11</v>
      </c>
      <c r="C198" s="46">
        <v>0</v>
      </c>
    </row>
    <row r="199" spans="1:3" x14ac:dyDescent="0.3">
      <c r="A199" s="31">
        <v>11</v>
      </c>
      <c r="B199" s="20" t="s">
        <v>12</v>
      </c>
      <c r="C199" s="46">
        <v>0.01</v>
      </c>
    </row>
    <row r="200" spans="1:3" x14ac:dyDescent="0.3">
      <c r="A200" s="31">
        <v>12</v>
      </c>
      <c r="B200" s="14" t="s">
        <v>13</v>
      </c>
      <c r="C200" s="46">
        <v>0.01</v>
      </c>
    </row>
    <row r="201" spans="1:3" x14ac:dyDescent="0.3">
      <c r="A201" s="31">
        <v>13</v>
      </c>
      <c r="B201" s="6" t="s">
        <v>14</v>
      </c>
      <c r="C201" s="46">
        <v>0.02</v>
      </c>
    </row>
    <row r="202" spans="1:3" x14ac:dyDescent="0.3">
      <c r="A202" s="31">
        <v>14</v>
      </c>
      <c r="B202" s="12" t="s">
        <v>15</v>
      </c>
      <c r="C202" s="46">
        <v>0.03</v>
      </c>
    </row>
    <row r="203" spans="1:3" x14ac:dyDescent="0.3">
      <c r="A203" s="31">
        <v>15</v>
      </c>
      <c r="B203" s="6" t="s">
        <v>16</v>
      </c>
      <c r="C203" s="46">
        <v>0.03</v>
      </c>
    </row>
    <row r="204" spans="1:3" x14ac:dyDescent="0.3">
      <c r="A204" s="31">
        <v>16</v>
      </c>
      <c r="B204" s="21" t="s">
        <v>17</v>
      </c>
      <c r="C204" s="46">
        <v>0.05</v>
      </c>
    </row>
    <row r="205" spans="1:3" x14ac:dyDescent="0.3">
      <c r="A205" s="31">
        <v>17</v>
      </c>
      <c r="B205" s="9" t="s">
        <v>18</v>
      </c>
      <c r="C205" s="46">
        <v>0.01</v>
      </c>
    </row>
    <row r="206" spans="1:3" x14ac:dyDescent="0.3">
      <c r="A206" s="31">
        <v>18</v>
      </c>
      <c r="B206" s="14" t="s">
        <v>19</v>
      </c>
      <c r="C206" s="46">
        <v>0.01</v>
      </c>
    </row>
    <row r="207" spans="1:3" x14ac:dyDescent="0.3">
      <c r="A207" s="31">
        <v>19</v>
      </c>
      <c r="B207" s="12" t="s">
        <v>20</v>
      </c>
      <c r="C207" s="46">
        <v>0.05</v>
      </c>
    </row>
    <row r="208" spans="1:3" x14ac:dyDescent="0.3">
      <c r="A208" s="31">
        <v>20</v>
      </c>
      <c r="B208" s="20" t="s">
        <v>21</v>
      </c>
      <c r="C208" s="46">
        <v>0.01</v>
      </c>
    </row>
    <row r="209" spans="1:3" x14ac:dyDescent="0.3">
      <c r="A209" s="31">
        <v>21</v>
      </c>
      <c r="B209" s="12" t="s">
        <v>22</v>
      </c>
      <c r="C209" s="46">
        <v>0.03</v>
      </c>
    </row>
    <row r="210" spans="1:3" x14ac:dyDescent="0.3">
      <c r="A210" s="31">
        <v>22</v>
      </c>
      <c r="B210" s="20" t="s">
        <v>23</v>
      </c>
      <c r="C210" s="46">
        <v>0.05</v>
      </c>
    </row>
    <row r="211" spans="1:3" x14ac:dyDescent="0.3">
      <c r="A211" s="31">
        <v>23</v>
      </c>
      <c r="B211" s="9" t="s">
        <v>24</v>
      </c>
      <c r="C211" s="46">
        <v>0.01</v>
      </c>
    </row>
    <row r="212" spans="1:3" ht="14.5" thickBot="1" x14ac:dyDescent="0.35">
      <c r="A212" s="32">
        <v>24</v>
      </c>
      <c r="B212" s="33" t="s">
        <v>25</v>
      </c>
      <c r="C212" s="48">
        <v>0.01</v>
      </c>
    </row>
    <row r="215" spans="1:3" ht="14.5" thickBot="1" x14ac:dyDescent="0.35">
      <c r="A215" s="1" t="s">
        <v>36</v>
      </c>
      <c r="B215" s="18">
        <v>45327</v>
      </c>
    </row>
    <row r="216" spans="1:3" x14ac:dyDescent="0.3">
      <c r="A216" s="22" t="s">
        <v>27</v>
      </c>
      <c r="B216" s="30" t="s">
        <v>26</v>
      </c>
      <c r="C216" s="23" t="s">
        <v>30</v>
      </c>
    </row>
    <row r="217" spans="1:3" x14ac:dyDescent="0.3">
      <c r="A217" s="31">
        <v>1</v>
      </c>
      <c r="B217" s="9" t="s">
        <v>2</v>
      </c>
      <c r="C217" s="46">
        <v>0.05</v>
      </c>
    </row>
    <row r="218" spans="1:3" x14ac:dyDescent="0.3">
      <c r="A218" s="31">
        <v>2</v>
      </c>
      <c r="B218" s="14" t="s">
        <v>3</v>
      </c>
      <c r="C218" s="46">
        <v>0.03</v>
      </c>
    </row>
    <row r="219" spans="1:3" x14ac:dyDescent="0.3">
      <c r="A219" s="31">
        <v>3</v>
      </c>
      <c r="B219" s="12" t="s">
        <v>4</v>
      </c>
      <c r="C219" s="46">
        <v>0.03</v>
      </c>
    </row>
    <row r="220" spans="1:3" x14ac:dyDescent="0.3">
      <c r="A220" s="31">
        <v>4</v>
      </c>
      <c r="B220" s="14" t="s">
        <v>5</v>
      </c>
      <c r="C220" s="46">
        <v>0.02</v>
      </c>
    </row>
    <row r="221" spans="1:3" x14ac:dyDescent="0.3">
      <c r="A221" s="31">
        <v>5</v>
      </c>
      <c r="B221" s="20" t="s">
        <v>6</v>
      </c>
      <c r="C221" s="46">
        <v>0.05</v>
      </c>
    </row>
    <row r="222" spans="1:3" x14ac:dyDescent="0.3">
      <c r="A222" s="31">
        <v>6</v>
      </c>
      <c r="B222" s="6" t="s">
        <v>7</v>
      </c>
      <c r="C222" s="46">
        <v>0.01</v>
      </c>
    </row>
    <row r="223" spans="1:3" x14ac:dyDescent="0.3">
      <c r="A223" s="31">
        <v>7</v>
      </c>
      <c r="B223" s="21" t="s">
        <v>8</v>
      </c>
      <c r="C223" s="46">
        <v>0.03</v>
      </c>
    </row>
    <row r="224" spans="1:3" x14ac:dyDescent="0.3">
      <c r="A224" s="31">
        <v>8</v>
      </c>
      <c r="B224" s="6" t="s">
        <v>9</v>
      </c>
      <c r="C224" s="46">
        <v>0.01</v>
      </c>
    </row>
    <row r="225" spans="1:3" x14ac:dyDescent="0.3">
      <c r="A225" s="31">
        <v>9</v>
      </c>
      <c r="B225" s="21" t="s">
        <v>10</v>
      </c>
      <c r="C225" s="46">
        <v>0.01</v>
      </c>
    </row>
    <row r="226" spans="1:3" x14ac:dyDescent="0.3">
      <c r="A226" s="31">
        <v>10</v>
      </c>
      <c r="B226" s="9" t="s">
        <v>11</v>
      </c>
      <c r="C226" s="46">
        <v>0</v>
      </c>
    </row>
    <row r="227" spans="1:3" x14ac:dyDescent="0.3">
      <c r="A227" s="31">
        <v>11</v>
      </c>
      <c r="B227" s="20" t="s">
        <v>12</v>
      </c>
      <c r="C227" s="46">
        <v>0.01</v>
      </c>
    </row>
    <row r="228" spans="1:3" x14ac:dyDescent="0.3">
      <c r="A228" s="31">
        <v>12</v>
      </c>
      <c r="B228" s="14" t="s">
        <v>13</v>
      </c>
      <c r="C228" s="46">
        <v>0.01</v>
      </c>
    </row>
    <row r="229" spans="1:3" x14ac:dyDescent="0.3">
      <c r="A229" s="31">
        <v>13</v>
      </c>
      <c r="B229" s="6" t="s">
        <v>14</v>
      </c>
      <c r="C229" s="46">
        <v>0.02</v>
      </c>
    </row>
    <row r="230" spans="1:3" x14ac:dyDescent="0.3">
      <c r="A230" s="31">
        <v>14</v>
      </c>
      <c r="B230" s="12" t="s">
        <v>15</v>
      </c>
      <c r="C230" s="46">
        <v>0.03</v>
      </c>
    </row>
    <row r="231" spans="1:3" x14ac:dyDescent="0.3">
      <c r="A231" s="31">
        <v>15</v>
      </c>
      <c r="B231" s="6" t="s">
        <v>16</v>
      </c>
      <c r="C231" s="46">
        <v>0.03</v>
      </c>
    </row>
    <row r="232" spans="1:3" x14ac:dyDescent="0.3">
      <c r="A232" s="31">
        <v>16</v>
      </c>
      <c r="B232" s="21" t="s">
        <v>17</v>
      </c>
      <c r="C232" s="46">
        <v>0.05</v>
      </c>
    </row>
    <row r="233" spans="1:3" x14ac:dyDescent="0.3">
      <c r="A233" s="31">
        <v>17</v>
      </c>
      <c r="B233" s="9" t="s">
        <v>18</v>
      </c>
      <c r="C233" s="46">
        <v>0.01</v>
      </c>
    </row>
    <row r="234" spans="1:3" x14ac:dyDescent="0.3">
      <c r="A234" s="31">
        <v>18</v>
      </c>
      <c r="B234" s="14" t="s">
        <v>19</v>
      </c>
      <c r="C234" s="46">
        <v>0.01</v>
      </c>
    </row>
    <row r="235" spans="1:3" x14ac:dyDescent="0.3">
      <c r="A235" s="31">
        <v>19</v>
      </c>
      <c r="B235" s="12" t="s">
        <v>20</v>
      </c>
      <c r="C235" s="46">
        <v>0.06</v>
      </c>
    </row>
    <row r="236" spans="1:3" x14ac:dyDescent="0.3">
      <c r="A236" s="31">
        <v>20</v>
      </c>
      <c r="B236" s="20" t="s">
        <v>21</v>
      </c>
      <c r="C236" s="46">
        <v>0.01</v>
      </c>
    </row>
    <row r="237" spans="1:3" x14ac:dyDescent="0.3">
      <c r="A237" s="31">
        <v>21</v>
      </c>
      <c r="B237" s="12" t="s">
        <v>22</v>
      </c>
      <c r="C237" s="46">
        <v>0.03</v>
      </c>
    </row>
    <row r="238" spans="1:3" x14ac:dyDescent="0.3">
      <c r="A238" s="31">
        <v>22</v>
      </c>
      <c r="B238" s="20" t="s">
        <v>23</v>
      </c>
      <c r="C238" s="46">
        <v>0.06</v>
      </c>
    </row>
    <row r="239" spans="1:3" x14ac:dyDescent="0.3">
      <c r="A239" s="31">
        <v>23</v>
      </c>
      <c r="B239" s="9" t="s">
        <v>24</v>
      </c>
      <c r="C239" s="46">
        <v>0.01</v>
      </c>
    </row>
    <row r="240" spans="1:3" ht="14.5" thickBot="1" x14ac:dyDescent="0.35">
      <c r="A240" s="32">
        <v>24</v>
      </c>
      <c r="B240" s="33" t="s">
        <v>25</v>
      </c>
      <c r="C240" s="48">
        <v>0.01</v>
      </c>
    </row>
    <row r="243" spans="1:3" ht="14.5" thickBot="1" x14ac:dyDescent="0.35">
      <c r="A243" s="1" t="s">
        <v>36</v>
      </c>
      <c r="B243" s="18">
        <v>45341</v>
      </c>
    </row>
    <row r="244" spans="1:3" x14ac:dyDescent="0.3">
      <c r="A244" s="22" t="s">
        <v>27</v>
      </c>
      <c r="B244" s="30" t="s">
        <v>26</v>
      </c>
      <c r="C244" s="23" t="s">
        <v>30</v>
      </c>
    </row>
    <row r="245" spans="1:3" x14ac:dyDescent="0.3">
      <c r="A245" s="31">
        <v>1</v>
      </c>
      <c r="B245" s="9" t="s">
        <v>2</v>
      </c>
      <c r="C245" s="46">
        <v>0.05</v>
      </c>
    </row>
    <row r="246" spans="1:3" x14ac:dyDescent="0.3">
      <c r="A246" s="31">
        <v>2</v>
      </c>
      <c r="B246" s="14" t="s">
        <v>3</v>
      </c>
      <c r="C246" s="46">
        <v>0.05</v>
      </c>
    </row>
    <row r="247" spans="1:3" x14ac:dyDescent="0.3">
      <c r="A247" s="31">
        <v>3</v>
      </c>
      <c r="B247" s="12" t="s">
        <v>4</v>
      </c>
      <c r="C247" s="46">
        <v>0.05</v>
      </c>
    </row>
    <row r="248" spans="1:3" x14ac:dyDescent="0.3">
      <c r="A248" s="31">
        <v>4</v>
      </c>
      <c r="B248" s="14" t="s">
        <v>5</v>
      </c>
      <c r="C248" s="46">
        <v>0.04</v>
      </c>
    </row>
    <row r="249" spans="1:3" x14ac:dyDescent="0.3">
      <c r="A249" s="31">
        <v>5</v>
      </c>
      <c r="B249" s="20" t="s">
        <v>6</v>
      </c>
      <c r="C249" s="46">
        <v>7.0000000000000007E-2</v>
      </c>
    </row>
    <row r="250" spans="1:3" x14ac:dyDescent="0.3">
      <c r="A250" s="31">
        <v>6</v>
      </c>
      <c r="B250" s="6" t="s">
        <v>7</v>
      </c>
      <c r="C250" s="46">
        <v>0.04</v>
      </c>
    </row>
    <row r="251" spans="1:3" x14ac:dyDescent="0.3">
      <c r="A251" s="31">
        <v>7</v>
      </c>
      <c r="B251" s="21" t="s">
        <v>8</v>
      </c>
      <c r="C251" s="46">
        <v>0.02</v>
      </c>
    </row>
    <row r="252" spans="1:3" x14ac:dyDescent="0.3">
      <c r="A252" s="31">
        <v>8</v>
      </c>
      <c r="B252" s="6" t="s">
        <v>9</v>
      </c>
      <c r="C252" s="46">
        <v>0.04</v>
      </c>
    </row>
    <row r="253" spans="1:3" x14ac:dyDescent="0.3">
      <c r="A253" s="31">
        <v>9</v>
      </c>
      <c r="B253" s="21" t="s">
        <v>10</v>
      </c>
      <c r="C253" s="46">
        <v>0.02</v>
      </c>
    </row>
    <row r="254" spans="1:3" x14ac:dyDescent="0.3">
      <c r="A254" s="31">
        <v>10</v>
      </c>
      <c r="B254" s="9" t="s">
        <v>11</v>
      </c>
      <c r="C254" s="46">
        <v>0.02</v>
      </c>
    </row>
    <row r="255" spans="1:3" x14ac:dyDescent="0.3">
      <c r="A255" s="31">
        <v>11</v>
      </c>
      <c r="B255" s="20" t="s">
        <v>12</v>
      </c>
      <c r="C255" s="46">
        <v>0.02</v>
      </c>
    </row>
    <row r="256" spans="1:3" x14ac:dyDescent="0.3">
      <c r="A256" s="31">
        <v>12</v>
      </c>
      <c r="B256" s="14" t="s">
        <v>13</v>
      </c>
      <c r="C256" s="46">
        <v>2.5000000000000001E-2</v>
      </c>
    </row>
    <row r="257" spans="1:3" x14ac:dyDescent="0.3">
      <c r="A257" s="31">
        <v>13</v>
      </c>
      <c r="B257" s="6" t="s">
        <v>14</v>
      </c>
      <c r="C257" s="46">
        <v>0.03</v>
      </c>
    </row>
    <row r="258" spans="1:3" x14ac:dyDescent="0.3">
      <c r="A258" s="31">
        <v>14</v>
      </c>
      <c r="B258" s="12" t="s">
        <v>15</v>
      </c>
      <c r="C258" s="46">
        <v>0.05</v>
      </c>
    </row>
    <row r="259" spans="1:3" x14ac:dyDescent="0.3">
      <c r="A259" s="31">
        <v>15</v>
      </c>
      <c r="B259" s="6" t="s">
        <v>16</v>
      </c>
      <c r="C259" s="46">
        <v>0.02</v>
      </c>
    </row>
    <row r="260" spans="1:3" x14ac:dyDescent="0.3">
      <c r="A260" s="31">
        <v>16</v>
      </c>
      <c r="B260" s="21" t="s">
        <v>17</v>
      </c>
      <c r="C260" s="46">
        <v>0.06</v>
      </c>
    </row>
    <row r="261" spans="1:3" x14ac:dyDescent="0.3">
      <c r="A261" s="31">
        <v>17</v>
      </c>
      <c r="B261" s="9" t="s">
        <v>18</v>
      </c>
      <c r="C261" s="46">
        <v>0.02</v>
      </c>
    </row>
    <row r="262" spans="1:3" x14ac:dyDescent="0.3">
      <c r="A262" s="31">
        <v>18</v>
      </c>
      <c r="B262" s="14" t="s">
        <v>19</v>
      </c>
      <c r="C262" s="46">
        <v>2.5000000000000001E-2</v>
      </c>
    </row>
    <row r="263" spans="1:3" x14ac:dyDescent="0.3">
      <c r="A263" s="31">
        <v>19</v>
      </c>
      <c r="B263" s="12" t="s">
        <v>20</v>
      </c>
      <c r="C263" s="46">
        <v>0.08</v>
      </c>
    </row>
    <row r="264" spans="1:3" x14ac:dyDescent="0.3">
      <c r="A264" s="31">
        <v>20</v>
      </c>
      <c r="B264" s="20" t="s">
        <v>21</v>
      </c>
      <c r="C264" s="46">
        <v>1.4999999999999999E-2</v>
      </c>
    </row>
    <row r="265" spans="1:3" x14ac:dyDescent="0.3">
      <c r="A265" s="31">
        <v>21</v>
      </c>
      <c r="B265" s="12" t="s">
        <v>22</v>
      </c>
      <c r="C265" s="46">
        <v>0.05</v>
      </c>
    </row>
    <row r="266" spans="1:3" x14ac:dyDescent="0.3">
      <c r="A266" s="31">
        <v>22</v>
      </c>
      <c r="B266" s="20" t="s">
        <v>23</v>
      </c>
      <c r="C266" s="46">
        <v>7.0000000000000007E-2</v>
      </c>
    </row>
    <row r="267" spans="1:3" x14ac:dyDescent="0.3">
      <c r="A267" s="31">
        <v>23</v>
      </c>
      <c r="B267" s="9" t="s">
        <v>24</v>
      </c>
      <c r="C267" s="46">
        <v>1.4999999999999999E-2</v>
      </c>
    </row>
    <row r="268" spans="1:3" ht="14.5" thickBot="1" x14ac:dyDescent="0.35">
      <c r="A268" s="32">
        <v>24</v>
      </c>
      <c r="B268" s="33" t="s">
        <v>25</v>
      </c>
      <c r="C268" s="48">
        <v>3.5000000000000003E-2</v>
      </c>
    </row>
    <row r="271" spans="1:3" ht="14.5" thickBot="1" x14ac:dyDescent="0.35">
      <c r="A271" s="1" t="s">
        <v>36</v>
      </c>
      <c r="B271" s="18">
        <v>45356</v>
      </c>
    </row>
    <row r="272" spans="1:3" x14ac:dyDescent="0.3">
      <c r="A272" s="22" t="s">
        <v>27</v>
      </c>
      <c r="B272" s="30" t="s">
        <v>26</v>
      </c>
      <c r="C272" s="23" t="s">
        <v>30</v>
      </c>
    </row>
    <row r="273" spans="1:3" x14ac:dyDescent="0.3">
      <c r="A273" s="31">
        <v>1</v>
      </c>
      <c r="B273" s="9" t="s">
        <v>2</v>
      </c>
      <c r="C273" s="46">
        <v>0.05</v>
      </c>
    </row>
    <row r="274" spans="1:3" x14ac:dyDescent="0.3">
      <c r="A274" s="31">
        <v>2</v>
      </c>
      <c r="B274" s="14" t="s">
        <v>3</v>
      </c>
      <c r="C274" s="46">
        <v>0.05</v>
      </c>
    </row>
    <row r="275" spans="1:3" x14ac:dyDescent="0.3">
      <c r="A275" s="31">
        <v>3</v>
      </c>
      <c r="B275" s="12" t="s">
        <v>4</v>
      </c>
      <c r="C275" s="46">
        <v>0.05</v>
      </c>
    </row>
    <row r="276" spans="1:3" x14ac:dyDescent="0.3">
      <c r="A276" s="31">
        <v>4</v>
      </c>
      <c r="B276" s="14" t="s">
        <v>5</v>
      </c>
      <c r="C276" s="46">
        <v>4.4999999999999998E-2</v>
      </c>
    </row>
    <row r="277" spans="1:3" x14ac:dyDescent="0.3">
      <c r="A277" s="31">
        <v>5</v>
      </c>
      <c r="B277" s="20" t="s">
        <v>6</v>
      </c>
      <c r="C277" s="46">
        <v>7.0000000000000007E-2</v>
      </c>
    </row>
    <row r="278" spans="1:3" x14ac:dyDescent="0.3">
      <c r="A278" s="31">
        <v>6</v>
      </c>
      <c r="B278" s="6" t="s">
        <v>7</v>
      </c>
      <c r="C278" s="46">
        <v>0.03</v>
      </c>
    </row>
    <row r="279" spans="1:3" x14ac:dyDescent="0.3">
      <c r="A279" s="31">
        <v>7</v>
      </c>
      <c r="B279" s="21" t="s">
        <v>8</v>
      </c>
      <c r="C279" s="46">
        <v>0.01</v>
      </c>
    </row>
    <row r="280" spans="1:3" x14ac:dyDescent="0.3">
      <c r="A280" s="31">
        <v>8</v>
      </c>
      <c r="B280" s="6" t="s">
        <v>9</v>
      </c>
      <c r="C280" s="46">
        <v>0.05</v>
      </c>
    </row>
    <row r="281" spans="1:3" x14ac:dyDescent="0.3">
      <c r="A281" s="31">
        <v>9</v>
      </c>
      <c r="B281" s="21" t="s">
        <v>10</v>
      </c>
      <c r="C281" s="46">
        <v>0.02</v>
      </c>
    </row>
    <row r="282" spans="1:3" x14ac:dyDescent="0.3">
      <c r="A282" s="31">
        <v>10</v>
      </c>
      <c r="B282" s="9" t="s">
        <v>11</v>
      </c>
      <c r="C282" s="46">
        <v>0.02</v>
      </c>
    </row>
    <row r="283" spans="1:3" x14ac:dyDescent="0.3">
      <c r="A283" s="31">
        <v>11</v>
      </c>
      <c r="B283" s="20" t="s">
        <v>12</v>
      </c>
      <c r="C283" s="46">
        <v>0.02</v>
      </c>
    </row>
    <row r="284" spans="1:3" x14ac:dyDescent="0.3">
      <c r="A284" s="31">
        <v>12</v>
      </c>
      <c r="B284" s="14" t="s">
        <v>13</v>
      </c>
      <c r="C284" s="46">
        <v>3.5000000000000003E-2</v>
      </c>
    </row>
    <row r="285" spans="1:3" x14ac:dyDescent="0.3">
      <c r="A285" s="31">
        <v>13</v>
      </c>
      <c r="B285" s="6" t="s">
        <v>14</v>
      </c>
      <c r="C285" s="46">
        <v>0.03</v>
      </c>
    </row>
    <row r="286" spans="1:3" x14ac:dyDescent="0.3">
      <c r="A286" s="31">
        <v>14</v>
      </c>
      <c r="B286" s="12" t="s">
        <v>15</v>
      </c>
      <c r="C286" s="46">
        <v>7.0000000000000007E-2</v>
      </c>
    </row>
    <row r="287" spans="1:3" x14ac:dyDescent="0.3">
      <c r="A287" s="31">
        <v>15</v>
      </c>
      <c r="B287" s="6" t="s">
        <v>16</v>
      </c>
      <c r="C287" s="46">
        <v>0.02</v>
      </c>
    </row>
    <row r="288" spans="1:3" x14ac:dyDescent="0.3">
      <c r="A288" s="31">
        <v>16</v>
      </c>
      <c r="B288" s="21" t="s">
        <v>17</v>
      </c>
      <c r="C288" s="46">
        <v>7.0000000000000007E-2</v>
      </c>
    </row>
    <row r="289" spans="1:3" x14ac:dyDescent="0.3">
      <c r="A289" s="31">
        <v>17</v>
      </c>
      <c r="B289" s="9" t="s">
        <v>18</v>
      </c>
      <c r="C289" s="46">
        <v>0.03</v>
      </c>
    </row>
    <row r="290" spans="1:3" x14ac:dyDescent="0.3">
      <c r="A290" s="31">
        <v>18</v>
      </c>
      <c r="B290" s="14" t="s">
        <v>19</v>
      </c>
      <c r="C290" s="46">
        <v>0.05</v>
      </c>
    </row>
    <row r="291" spans="1:3" x14ac:dyDescent="0.3">
      <c r="A291" s="31">
        <v>19</v>
      </c>
      <c r="B291" s="12" t="s">
        <v>20</v>
      </c>
      <c r="C291" s="46">
        <v>0.1</v>
      </c>
    </row>
    <row r="292" spans="1:3" x14ac:dyDescent="0.3">
      <c r="A292" s="31">
        <v>20</v>
      </c>
      <c r="B292" s="20" t="s">
        <v>21</v>
      </c>
      <c r="C292" s="46">
        <v>1.4999999999999999E-2</v>
      </c>
    </row>
    <row r="293" spans="1:3" x14ac:dyDescent="0.3">
      <c r="A293" s="31">
        <v>21</v>
      </c>
      <c r="B293" s="12" t="s">
        <v>22</v>
      </c>
      <c r="C293" s="46">
        <v>0.08</v>
      </c>
    </row>
    <row r="294" spans="1:3" x14ac:dyDescent="0.3">
      <c r="A294" s="31">
        <v>22</v>
      </c>
      <c r="B294" s="20" t="s">
        <v>23</v>
      </c>
      <c r="C294" s="46">
        <v>0.08</v>
      </c>
    </row>
    <row r="295" spans="1:3" x14ac:dyDescent="0.3">
      <c r="A295" s="31">
        <v>23</v>
      </c>
      <c r="B295" s="9" t="s">
        <v>24</v>
      </c>
      <c r="C295" s="46">
        <v>2.5000000000000001E-2</v>
      </c>
    </row>
    <row r="296" spans="1:3" ht="14.5" thickBot="1" x14ac:dyDescent="0.35">
      <c r="A296" s="32">
        <v>24</v>
      </c>
      <c r="B296" s="33" t="s">
        <v>25</v>
      </c>
      <c r="C296" s="48">
        <v>0.05</v>
      </c>
    </row>
    <row r="299" spans="1:3" ht="14.5" thickBot="1" x14ac:dyDescent="0.35">
      <c r="A299" s="1" t="s">
        <v>36</v>
      </c>
      <c r="B299" s="18">
        <v>45369</v>
      </c>
    </row>
    <row r="300" spans="1:3" x14ac:dyDescent="0.3">
      <c r="A300" s="22" t="s">
        <v>27</v>
      </c>
      <c r="B300" s="30" t="s">
        <v>26</v>
      </c>
      <c r="C300" s="23" t="s">
        <v>30</v>
      </c>
    </row>
    <row r="301" spans="1:3" x14ac:dyDescent="0.3">
      <c r="A301" s="31">
        <v>1</v>
      </c>
      <c r="B301" s="9" t="s">
        <v>2</v>
      </c>
      <c r="C301" s="46">
        <v>0.03</v>
      </c>
    </row>
    <row r="302" spans="1:3" x14ac:dyDescent="0.3">
      <c r="A302" s="31">
        <v>2</v>
      </c>
      <c r="B302" s="14" t="s">
        <v>3</v>
      </c>
      <c r="C302" s="46">
        <v>0.03</v>
      </c>
    </row>
    <row r="303" spans="1:3" x14ac:dyDescent="0.3">
      <c r="A303" s="31">
        <v>3</v>
      </c>
      <c r="B303" s="12" t="s">
        <v>4</v>
      </c>
      <c r="C303" s="46">
        <v>2.5000000000000001E-2</v>
      </c>
    </row>
    <row r="304" spans="1:3" x14ac:dyDescent="0.3">
      <c r="A304" s="31">
        <v>4</v>
      </c>
      <c r="B304" s="14" t="s">
        <v>5</v>
      </c>
      <c r="C304" s="46">
        <v>2.5000000000000001E-2</v>
      </c>
    </row>
    <row r="305" spans="1:3" x14ac:dyDescent="0.3">
      <c r="A305" s="31">
        <v>5</v>
      </c>
      <c r="B305" s="20" t="s">
        <v>6</v>
      </c>
      <c r="C305" s="46">
        <v>0.1</v>
      </c>
    </row>
    <row r="306" spans="1:3" x14ac:dyDescent="0.3">
      <c r="A306" s="31">
        <v>6</v>
      </c>
      <c r="B306" s="6" t="s">
        <v>7</v>
      </c>
      <c r="C306" s="46">
        <v>0.03</v>
      </c>
    </row>
    <row r="307" spans="1:3" x14ac:dyDescent="0.3">
      <c r="A307" s="31">
        <v>7</v>
      </c>
      <c r="B307" s="21" t="s">
        <v>8</v>
      </c>
      <c r="C307" s="46">
        <v>0.01</v>
      </c>
    </row>
    <row r="308" spans="1:3" x14ac:dyDescent="0.3">
      <c r="A308" s="31">
        <v>8</v>
      </c>
      <c r="B308" s="6" t="s">
        <v>9</v>
      </c>
      <c r="C308" s="46">
        <v>2.5000000000000001E-2</v>
      </c>
    </row>
    <row r="309" spans="1:3" x14ac:dyDescent="0.3">
      <c r="A309" s="31">
        <v>9</v>
      </c>
      <c r="B309" s="21" t="s">
        <v>10</v>
      </c>
      <c r="C309" s="46">
        <v>0.02</v>
      </c>
    </row>
    <row r="310" spans="1:3" x14ac:dyDescent="0.3">
      <c r="A310" s="31">
        <v>10</v>
      </c>
      <c r="B310" s="9" t="s">
        <v>11</v>
      </c>
      <c r="C310" s="46">
        <v>2.5000000000000001E-2</v>
      </c>
    </row>
    <row r="311" spans="1:3" x14ac:dyDescent="0.3">
      <c r="A311" s="31">
        <v>11</v>
      </c>
      <c r="B311" s="20" t="s">
        <v>12</v>
      </c>
      <c r="C311" s="46">
        <v>0.01</v>
      </c>
    </row>
    <row r="312" spans="1:3" x14ac:dyDescent="0.3">
      <c r="A312" s="31">
        <v>12</v>
      </c>
      <c r="B312" s="14" t="s">
        <v>13</v>
      </c>
      <c r="C312" s="46">
        <v>0.03</v>
      </c>
    </row>
    <row r="313" spans="1:3" x14ac:dyDescent="0.3">
      <c r="A313" s="31">
        <v>13</v>
      </c>
      <c r="B313" s="6" t="s">
        <v>14</v>
      </c>
      <c r="C313" s="46">
        <v>0.01</v>
      </c>
    </row>
    <row r="314" spans="1:3" x14ac:dyDescent="0.3">
      <c r="A314" s="31">
        <v>14</v>
      </c>
      <c r="B314" s="12" t="s">
        <v>15</v>
      </c>
      <c r="C314" s="46">
        <v>3.5000000000000003E-2</v>
      </c>
    </row>
    <row r="315" spans="1:3" x14ac:dyDescent="0.3">
      <c r="A315" s="31">
        <v>15</v>
      </c>
      <c r="B315" s="6" t="s">
        <v>16</v>
      </c>
      <c r="C315" s="46">
        <v>0.01</v>
      </c>
    </row>
    <row r="316" spans="1:3" x14ac:dyDescent="0.3">
      <c r="A316" s="31">
        <v>16</v>
      </c>
      <c r="B316" s="21" t="s">
        <v>17</v>
      </c>
      <c r="C316" s="46">
        <v>0.03</v>
      </c>
    </row>
    <row r="317" spans="1:3" x14ac:dyDescent="0.3">
      <c r="A317" s="31">
        <v>17</v>
      </c>
      <c r="B317" s="9" t="s">
        <v>18</v>
      </c>
      <c r="C317" s="46">
        <v>0.01</v>
      </c>
    </row>
    <row r="318" spans="1:3" x14ac:dyDescent="0.3">
      <c r="A318" s="31">
        <v>18</v>
      </c>
      <c r="B318" s="14" t="s">
        <v>19</v>
      </c>
      <c r="C318" s="46">
        <v>0.01</v>
      </c>
    </row>
    <row r="319" spans="1:3" x14ac:dyDescent="0.3">
      <c r="A319" s="31">
        <v>19</v>
      </c>
      <c r="B319" s="12" t="s">
        <v>20</v>
      </c>
      <c r="C319" s="46">
        <v>0.05</v>
      </c>
    </row>
    <row r="320" spans="1:3" x14ac:dyDescent="0.3">
      <c r="A320" s="31">
        <v>20</v>
      </c>
      <c r="B320" s="20" t="s">
        <v>21</v>
      </c>
      <c r="C320" s="46">
        <v>0.01</v>
      </c>
    </row>
    <row r="321" spans="1:3" x14ac:dyDescent="0.3">
      <c r="A321" s="31">
        <v>21</v>
      </c>
      <c r="B321" s="12" t="s">
        <v>22</v>
      </c>
      <c r="C321" s="46">
        <v>0.08</v>
      </c>
    </row>
    <row r="322" spans="1:3" x14ac:dyDescent="0.3">
      <c r="A322" s="31">
        <v>22</v>
      </c>
      <c r="B322" s="20" t="s">
        <v>23</v>
      </c>
      <c r="C322" s="46">
        <v>0.08</v>
      </c>
    </row>
    <row r="323" spans="1:3" x14ac:dyDescent="0.3">
      <c r="A323" s="31">
        <v>23</v>
      </c>
      <c r="B323" s="9" t="s">
        <v>24</v>
      </c>
      <c r="C323" s="46">
        <v>0.02</v>
      </c>
    </row>
    <row r="324" spans="1:3" ht="14.5" thickBot="1" x14ac:dyDescent="0.35">
      <c r="A324" s="32">
        <v>24</v>
      </c>
      <c r="B324" s="33" t="s">
        <v>25</v>
      </c>
      <c r="C324" s="48">
        <v>0.02</v>
      </c>
    </row>
    <row r="327" spans="1:3" ht="14.5" thickBot="1" x14ac:dyDescent="0.35">
      <c r="A327" s="1" t="s">
        <v>36</v>
      </c>
      <c r="B327" s="18">
        <v>45384</v>
      </c>
    </row>
    <row r="328" spans="1:3" x14ac:dyDescent="0.3">
      <c r="A328" s="22" t="s">
        <v>27</v>
      </c>
      <c r="B328" s="30" t="s">
        <v>26</v>
      </c>
      <c r="C328" s="23" t="s">
        <v>30</v>
      </c>
    </row>
    <row r="329" spans="1:3" x14ac:dyDescent="0.3">
      <c r="A329" s="31">
        <v>1</v>
      </c>
      <c r="B329" s="9" t="s">
        <v>2</v>
      </c>
      <c r="C329" s="46">
        <v>0.01</v>
      </c>
    </row>
    <row r="330" spans="1:3" x14ac:dyDescent="0.3">
      <c r="A330" s="31">
        <v>2</v>
      </c>
      <c r="B330" s="14" t="s">
        <v>3</v>
      </c>
      <c r="C330" s="46">
        <v>0.01</v>
      </c>
    </row>
    <row r="331" spans="1:3" x14ac:dyDescent="0.3">
      <c r="A331" s="31">
        <v>3</v>
      </c>
      <c r="B331" s="12" t="s">
        <v>4</v>
      </c>
      <c r="C331" s="46">
        <v>0.02</v>
      </c>
    </row>
    <row r="332" spans="1:3" x14ac:dyDescent="0.3">
      <c r="A332" s="31">
        <v>4</v>
      </c>
      <c r="B332" s="14" t="s">
        <v>5</v>
      </c>
      <c r="C332" s="46">
        <v>0.01</v>
      </c>
    </row>
    <row r="333" spans="1:3" x14ac:dyDescent="0.3">
      <c r="A333" s="31">
        <v>5</v>
      </c>
      <c r="B333" s="20" t="s">
        <v>6</v>
      </c>
      <c r="C333" s="46">
        <v>7.0000000000000007E-2</v>
      </c>
    </row>
    <row r="334" spans="1:3" x14ac:dyDescent="0.3">
      <c r="A334" s="31">
        <v>6</v>
      </c>
      <c r="B334" s="6" t="s">
        <v>7</v>
      </c>
      <c r="C334" s="46">
        <v>0.03</v>
      </c>
    </row>
    <row r="335" spans="1:3" x14ac:dyDescent="0.3">
      <c r="A335" s="31">
        <v>7</v>
      </c>
      <c r="B335" s="21" t="s">
        <v>8</v>
      </c>
      <c r="C335" s="46">
        <v>0</v>
      </c>
    </row>
    <row r="336" spans="1:3" x14ac:dyDescent="0.3">
      <c r="A336" s="31">
        <v>8</v>
      </c>
      <c r="B336" s="6" t="s">
        <v>9</v>
      </c>
      <c r="C336" s="46">
        <v>0.01</v>
      </c>
    </row>
    <row r="337" spans="1:3" x14ac:dyDescent="0.3">
      <c r="A337" s="31">
        <v>9</v>
      </c>
      <c r="B337" s="21" t="s">
        <v>10</v>
      </c>
      <c r="C337" s="46">
        <v>0.01</v>
      </c>
    </row>
    <row r="338" spans="1:3" x14ac:dyDescent="0.3">
      <c r="A338" s="31">
        <v>10</v>
      </c>
      <c r="B338" s="9" t="s">
        <v>11</v>
      </c>
      <c r="C338" s="46">
        <v>2.5000000000000001E-2</v>
      </c>
    </row>
    <row r="339" spans="1:3" x14ac:dyDescent="0.3">
      <c r="A339" s="31">
        <v>11</v>
      </c>
      <c r="B339" s="20" t="s">
        <v>12</v>
      </c>
      <c r="C339" s="46">
        <v>0.01</v>
      </c>
    </row>
    <row r="340" spans="1:3" x14ac:dyDescent="0.3">
      <c r="A340" s="31">
        <v>12</v>
      </c>
      <c r="B340" s="14" t="s">
        <v>13</v>
      </c>
      <c r="C340" s="46">
        <v>0</v>
      </c>
    </row>
    <row r="341" spans="1:3" x14ac:dyDescent="0.3">
      <c r="A341" s="31">
        <v>13</v>
      </c>
      <c r="B341" s="6" t="s">
        <v>14</v>
      </c>
      <c r="C341" s="46">
        <v>0</v>
      </c>
    </row>
    <row r="342" spans="1:3" x14ac:dyDescent="0.3">
      <c r="A342" s="31">
        <v>14</v>
      </c>
      <c r="B342" s="12" t="s">
        <v>15</v>
      </c>
      <c r="C342" s="46">
        <v>0.01</v>
      </c>
    </row>
    <row r="343" spans="1:3" x14ac:dyDescent="0.3">
      <c r="A343" s="31">
        <v>15</v>
      </c>
      <c r="B343" s="6" t="s">
        <v>16</v>
      </c>
      <c r="C343" s="46">
        <v>0</v>
      </c>
    </row>
    <row r="344" spans="1:3" x14ac:dyDescent="0.3">
      <c r="A344" s="31">
        <v>16</v>
      </c>
      <c r="B344" s="21" t="s">
        <v>17</v>
      </c>
      <c r="C344" s="46">
        <v>0</v>
      </c>
    </row>
    <row r="345" spans="1:3" x14ac:dyDescent="0.3">
      <c r="A345" s="31">
        <v>17</v>
      </c>
      <c r="B345" s="9" t="s">
        <v>18</v>
      </c>
      <c r="C345" s="46">
        <v>0.01</v>
      </c>
    </row>
    <row r="346" spans="1:3" x14ac:dyDescent="0.3">
      <c r="A346" s="31">
        <v>18</v>
      </c>
      <c r="B346" s="14" t="s">
        <v>19</v>
      </c>
      <c r="C346" s="46">
        <v>0</v>
      </c>
    </row>
    <row r="347" spans="1:3" x14ac:dyDescent="0.3">
      <c r="A347" s="31">
        <v>19</v>
      </c>
      <c r="B347" s="12" t="s">
        <v>20</v>
      </c>
      <c r="C347" s="46">
        <v>0</v>
      </c>
    </row>
    <row r="348" spans="1:3" x14ac:dyDescent="0.3">
      <c r="A348" s="31">
        <v>20</v>
      </c>
      <c r="B348" s="20" t="s">
        <v>21</v>
      </c>
      <c r="C348" s="46">
        <v>0</v>
      </c>
    </row>
    <row r="349" spans="1:3" x14ac:dyDescent="0.3">
      <c r="A349" s="31">
        <v>21</v>
      </c>
      <c r="B349" s="12" t="s">
        <v>22</v>
      </c>
      <c r="C349" s="46">
        <v>0.01</v>
      </c>
    </row>
    <row r="350" spans="1:3" x14ac:dyDescent="0.3">
      <c r="A350" s="31">
        <v>22</v>
      </c>
      <c r="B350" s="20" t="s">
        <v>23</v>
      </c>
      <c r="C350" s="46">
        <v>0.02</v>
      </c>
    </row>
    <row r="351" spans="1:3" x14ac:dyDescent="0.3">
      <c r="A351" s="31">
        <v>23</v>
      </c>
      <c r="B351" s="9" t="s">
        <v>24</v>
      </c>
      <c r="C351" s="46">
        <v>0.01</v>
      </c>
    </row>
    <row r="352" spans="1:3" ht="14.5" thickBot="1" x14ac:dyDescent="0.35">
      <c r="A352" s="32">
        <v>24</v>
      </c>
      <c r="B352" s="33" t="s">
        <v>25</v>
      </c>
      <c r="C352" s="48">
        <v>0.01</v>
      </c>
    </row>
    <row r="355" spans="1:3" ht="14.5" thickBot="1" x14ac:dyDescent="0.35">
      <c r="A355" s="1" t="s">
        <v>36</v>
      </c>
      <c r="B355" s="18">
        <v>45399</v>
      </c>
    </row>
    <row r="356" spans="1:3" x14ac:dyDescent="0.3">
      <c r="A356" s="22" t="s">
        <v>27</v>
      </c>
      <c r="B356" s="30" t="s">
        <v>26</v>
      </c>
      <c r="C356" s="23" t="s">
        <v>30</v>
      </c>
    </row>
    <row r="357" spans="1:3" x14ac:dyDescent="0.3">
      <c r="A357" s="31">
        <v>1</v>
      </c>
      <c r="B357" s="9" t="s">
        <v>2</v>
      </c>
      <c r="C357" s="46">
        <v>0</v>
      </c>
    </row>
    <row r="358" spans="1:3" x14ac:dyDescent="0.3">
      <c r="A358" s="31">
        <v>2</v>
      </c>
      <c r="B358" s="14" t="s">
        <v>3</v>
      </c>
      <c r="C358" s="46">
        <v>0</v>
      </c>
    </row>
    <row r="359" spans="1:3" x14ac:dyDescent="0.3">
      <c r="A359" s="31">
        <v>3</v>
      </c>
      <c r="B359" s="12" t="s">
        <v>4</v>
      </c>
      <c r="C359" s="46">
        <v>0</v>
      </c>
    </row>
    <row r="360" spans="1:3" x14ac:dyDescent="0.3">
      <c r="A360" s="31">
        <v>4</v>
      </c>
      <c r="B360" s="14" t="s">
        <v>5</v>
      </c>
      <c r="C360" s="46">
        <v>0</v>
      </c>
    </row>
    <row r="361" spans="1:3" x14ac:dyDescent="0.3">
      <c r="A361" s="31">
        <v>5</v>
      </c>
      <c r="B361" s="20" t="s">
        <v>6</v>
      </c>
      <c r="C361" s="46">
        <v>0</v>
      </c>
    </row>
    <row r="362" spans="1:3" x14ac:dyDescent="0.3">
      <c r="A362" s="31">
        <v>6</v>
      </c>
      <c r="B362" s="6" t="s">
        <v>7</v>
      </c>
      <c r="C362" s="46">
        <v>0</v>
      </c>
    </row>
    <row r="363" spans="1:3" x14ac:dyDescent="0.3">
      <c r="A363" s="31">
        <v>7</v>
      </c>
      <c r="B363" s="21" t="s">
        <v>8</v>
      </c>
      <c r="C363" s="46">
        <v>0</v>
      </c>
    </row>
    <row r="364" spans="1:3" x14ac:dyDescent="0.3">
      <c r="A364" s="31">
        <v>8</v>
      </c>
      <c r="B364" s="6" t="s">
        <v>9</v>
      </c>
      <c r="C364" s="46">
        <v>0</v>
      </c>
    </row>
    <row r="365" spans="1:3" x14ac:dyDescent="0.3">
      <c r="A365" s="31">
        <v>9</v>
      </c>
      <c r="B365" s="21" t="s">
        <v>10</v>
      </c>
      <c r="C365" s="46">
        <v>0</v>
      </c>
    </row>
    <row r="366" spans="1:3" x14ac:dyDescent="0.3">
      <c r="A366" s="31">
        <v>10</v>
      </c>
      <c r="B366" s="9" t="s">
        <v>11</v>
      </c>
      <c r="C366" s="46">
        <v>0</v>
      </c>
    </row>
    <row r="367" spans="1:3" x14ac:dyDescent="0.3">
      <c r="A367" s="31">
        <v>11</v>
      </c>
      <c r="B367" s="20" t="s">
        <v>12</v>
      </c>
      <c r="C367" s="46">
        <v>0</v>
      </c>
    </row>
    <row r="368" spans="1:3" x14ac:dyDescent="0.3">
      <c r="A368" s="31">
        <v>12</v>
      </c>
      <c r="B368" s="14" t="s">
        <v>13</v>
      </c>
      <c r="C368" s="46">
        <v>0</v>
      </c>
    </row>
    <row r="369" spans="1:3" x14ac:dyDescent="0.3">
      <c r="A369" s="31">
        <v>13</v>
      </c>
      <c r="B369" s="6" t="s">
        <v>14</v>
      </c>
      <c r="C369" s="46">
        <v>0</v>
      </c>
    </row>
    <row r="370" spans="1:3" x14ac:dyDescent="0.3">
      <c r="A370" s="31">
        <v>14</v>
      </c>
      <c r="B370" s="12" t="s">
        <v>15</v>
      </c>
      <c r="C370" s="46">
        <v>0</v>
      </c>
    </row>
    <row r="371" spans="1:3" x14ac:dyDescent="0.3">
      <c r="A371" s="31">
        <v>15</v>
      </c>
      <c r="B371" s="6" t="s">
        <v>16</v>
      </c>
      <c r="C371" s="46">
        <v>0</v>
      </c>
    </row>
    <row r="372" spans="1:3" x14ac:dyDescent="0.3">
      <c r="A372" s="31">
        <v>16</v>
      </c>
      <c r="B372" s="21" t="s">
        <v>17</v>
      </c>
      <c r="C372" s="46">
        <v>0</v>
      </c>
    </row>
    <row r="373" spans="1:3" x14ac:dyDescent="0.3">
      <c r="A373" s="31">
        <v>17</v>
      </c>
      <c r="B373" s="9" t="s">
        <v>18</v>
      </c>
      <c r="C373" s="46">
        <v>0</v>
      </c>
    </row>
    <row r="374" spans="1:3" x14ac:dyDescent="0.3">
      <c r="A374" s="31">
        <v>18</v>
      </c>
      <c r="B374" s="14" t="s">
        <v>19</v>
      </c>
      <c r="C374" s="46">
        <v>0</v>
      </c>
    </row>
    <row r="375" spans="1:3" x14ac:dyDescent="0.3">
      <c r="A375" s="31">
        <v>19</v>
      </c>
      <c r="B375" s="12" t="s">
        <v>20</v>
      </c>
      <c r="C375" s="46">
        <v>0</v>
      </c>
    </row>
    <row r="376" spans="1:3" x14ac:dyDescent="0.3">
      <c r="A376" s="31">
        <v>20</v>
      </c>
      <c r="B376" s="20" t="s">
        <v>21</v>
      </c>
      <c r="C376" s="46">
        <v>0</v>
      </c>
    </row>
    <row r="377" spans="1:3" x14ac:dyDescent="0.3">
      <c r="A377" s="31">
        <v>21</v>
      </c>
      <c r="B377" s="12" t="s">
        <v>22</v>
      </c>
      <c r="C377" s="46">
        <v>0</v>
      </c>
    </row>
    <row r="378" spans="1:3" x14ac:dyDescent="0.3">
      <c r="A378" s="31">
        <v>22</v>
      </c>
      <c r="B378" s="20" t="s">
        <v>23</v>
      </c>
      <c r="C378" s="46">
        <v>0</v>
      </c>
    </row>
    <row r="379" spans="1:3" x14ac:dyDescent="0.3">
      <c r="A379" s="31">
        <v>23</v>
      </c>
      <c r="B379" s="9" t="s">
        <v>24</v>
      </c>
      <c r="C379" s="46">
        <v>0</v>
      </c>
    </row>
    <row r="380" spans="1:3" ht="14.5" thickBot="1" x14ac:dyDescent="0.35">
      <c r="A380" s="32">
        <v>24</v>
      </c>
      <c r="B380" s="33" t="s">
        <v>25</v>
      </c>
      <c r="C380" s="46"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C632-9E75-4294-B1DC-67853B40489D}">
  <dimension ref="A1:O380"/>
  <sheetViews>
    <sheetView tabSelected="1" workbookViewId="0">
      <pane xSplit="3" ySplit="17" topLeftCell="D18" activePane="bottomRight" state="frozen"/>
      <selection pane="topRight" activeCell="D1" sqref="D1"/>
      <selection pane="bottomLeft" activeCell="A19" sqref="A19"/>
      <selection pane="bottomRight" activeCell="O3" sqref="O3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31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47">
        <f>AVERAGE(C27,C36,C29,C44)</f>
        <v>0.96</v>
      </c>
      <c r="H4" s="47">
        <f>AVERAGE(C21,C30,C37,C43)</f>
        <v>0.95</v>
      </c>
      <c r="I4" s="47">
        <f>AVERAGE(C26,C28,C33,C35)</f>
        <v>0.97749999999999992</v>
      </c>
      <c r="J4" s="47">
        <f>AVERAGE(C22,C24,C32,C38)</f>
        <v>0.98499999999999999</v>
      </c>
      <c r="K4" s="47">
        <f>AVERAGE(C39,C41,C23,C34)</f>
        <v>0.96</v>
      </c>
      <c r="L4" s="46">
        <f>AVERAGE(C42,C40,C31,C25)</f>
        <v>0.96750000000000003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47">
        <f>AVERAGE(C72,C57,C55,C64)</f>
        <v>0.96500000000000008</v>
      </c>
      <c r="H5" s="47">
        <f>AVERAGE(C49,C58,C71,C65)</f>
        <v>0.96</v>
      </c>
      <c r="I5" s="47">
        <f>AVERAGE(C54,C56,C61,C63)</f>
        <v>0.97749999999999992</v>
      </c>
      <c r="J5" s="54">
        <f>AVERAGE(C66,C60,C52,C50)</f>
        <v>0.98499999999999999</v>
      </c>
      <c r="K5" s="47">
        <f>AVERAGE(C51,C62,C67,C69)</f>
        <v>0.96249999999999991</v>
      </c>
      <c r="L5" s="46">
        <f>AVERAGE(C53,C59,C68,C70)</f>
        <v>0.97750000000000004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47">
        <f>AVERAGE(C83,C85,C92,C100)</f>
        <v>0.97</v>
      </c>
      <c r="H6" s="47">
        <f>AVERAGE(C77,C86,C93,C99)</f>
        <v>0.96750000000000003</v>
      </c>
      <c r="I6" s="47">
        <f>AVERAGE(C82,C84,C89,C91)</f>
        <v>0.97749999999999992</v>
      </c>
      <c r="J6" s="47">
        <f>AVERAGE(C88,C94,C80,C78)</f>
        <v>0.98250000000000004</v>
      </c>
      <c r="K6" s="47">
        <f>AVERAGE(C90,C95,C97,C79)</f>
        <v>0.96749999999999992</v>
      </c>
      <c r="L6" s="46">
        <f>AVERAGE(C81,C87,C96,C98)</f>
        <v>0.97750000000000004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7">
        <f>AVERAGE(C111,C113,C120,C128)</f>
        <v>0.97249999999999992</v>
      </c>
      <c r="H7" s="47">
        <f>AVERAGE(C105,C114,C121,C127)</f>
        <v>0.97249999999999992</v>
      </c>
      <c r="I7" s="47">
        <f>AVERAGE(C110,C112,C117,C119)</f>
        <v>0.97249999999999992</v>
      </c>
      <c r="J7" s="47">
        <f>AVERAGE(C106,C108,C116,C122)</f>
        <v>0.98</v>
      </c>
      <c r="K7" s="47">
        <f>AVERAGE(C107,C118,C123,C125)</f>
        <v>0.97</v>
      </c>
      <c r="L7" s="47">
        <f>AVERAGE(C109,C124,C115,C126)</f>
        <v>0.97750000000000004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7">
        <f>AVERAGE(C139,C141,C148,C156)</f>
        <v>0.97499999999999998</v>
      </c>
      <c r="H8" s="47">
        <f>AVERAGE(C155,C149,C142,C133)</f>
        <v>0.97499999999999998</v>
      </c>
      <c r="I8" s="47">
        <f>AVERAGE(C138,C140,C145,C147)</f>
        <v>0.97249999999999992</v>
      </c>
      <c r="J8" s="47">
        <f>AVERAGE(C134,C136,C144,C150)</f>
        <v>0.98</v>
      </c>
      <c r="K8" s="47">
        <f>AVERAGE(C135,C146,C151,C153)</f>
        <v>0.97249999999999992</v>
      </c>
      <c r="L8" s="46">
        <f>AVERAGE(C154,C152,C143,C137)</f>
        <v>0.97749999999999992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7">
        <f>AVERAGE(C167,C169,C176,C184)</f>
        <v>0.95</v>
      </c>
      <c r="H9" s="47">
        <f>AVERAGE(C161,C170,C177,C183)</f>
        <v>0.96749999999999992</v>
      </c>
      <c r="I9" s="47">
        <f>AVERAGE(C166,C168,C173,C175)</f>
        <v>0.96750000000000003</v>
      </c>
      <c r="J9" s="47">
        <f>AVERAGE(C162,C164,C172,C178)</f>
        <v>0.96249999999999991</v>
      </c>
      <c r="K9" s="47">
        <f>AVERAGE(C163,C179,C181,C174)</f>
        <v>0.95499999999999996</v>
      </c>
      <c r="L9" s="47">
        <f>AVERAGE(C165,C171,C180,C182)</f>
        <v>0.95499999999999996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7">
        <f>AVERAGE(C195,C197,C204,C212)</f>
        <v>0.95750000000000002</v>
      </c>
      <c r="H10" s="47">
        <f>AVERAGE(C189,C198,C205,C211)</f>
        <v>0.97499999999999998</v>
      </c>
      <c r="I10" s="47">
        <f>AVERAGE(C201,C194,C196,C203)</f>
        <v>0.96750000000000003</v>
      </c>
      <c r="J10" s="47">
        <f>AVERAGE(C200,C206,C192,C190)</f>
        <v>0.97</v>
      </c>
      <c r="K10" s="47">
        <f>AVERAGE(C191,C202,C207,C209)</f>
        <v>0.95750000000000002</v>
      </c>
      <c r="L10" s="47">
        <f>AVERAGE(C193,C199,C208,C210)</f>
        <v>0.96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7">
        <f>AVERAGE(C240,C232,C225,C223)</f>
        <v>0.94750000000000001</v>
      </c>
      <c r="H11" s="47">
        <f>AVERAGE(C239,C233,C226,C217)</f>
        <v>0.96749999999999992</v>
      </c>
      <c r="I11" s="47">
        <f>AVERAGE(C231,C229,C224,C222)</f>
        <v>0.9524999999999999</v>
      </c>
      <c r="J11" s="47">
        <f>AVERAGE(C234,C228,C220,C218)</f>
        <v>0.96</v>
      </c>
      <c r="K11" s="47">
        <f>AVERAGE(C237,C235,C230,C219)</f>
        <v>0.94499999999999995</v>
      </c>
      <c r="L11" s="47">
        <f>AVERAGE(C238,C236,C227,C221)</f>
        <v>0.95</v>
      </c>
    </row>
    <row r="12" spans="1:15" x14ac:dyDescent="0.3">
      <c r="A12" s="34"/>
      <c r="B12" s="34"/>
      <c r="C12" s="34"/>
      <c r="D12" s="34"/>
      <c r="E12" s="25">
        <v>9</v>
      </c>
      <c r="F12" s="39">
        <v>45344</v>
      </c>
      <c r="G12" s="47">
        <f>AVERAGE(C251,C253,C260,C268)</f>
        <v>0.9325</v>
      </c>
      <c r="H12" s="47">
        <f>AVERAGE(C245,C254,C261,C267)</f>
        <v>0.95750000000000002</v>
      </c>
      <c r="I12" s="47">
        <f>AVERAGE(C250,C252,C259,C257)</f>
        <v>0.95</v>
      </c>
      <c r="J12" s="47">
        <f>AVERAGE(C246,C248,C256,C262)</f>
        <v>0.94500000000000006</v>
      </c>
      <c r="K12" s="47">
        <f>AVERAGE(C247,C258,C263,C265)</f>
        <v>0.92249999999999999</v>
      </c>
      <c r="L12" s="47">
        <f>AVERAGE(C249,C255,C264,C266)</f>
        <v>0.93750000000000011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7">
        <f>AVERAGE(C279,C281,C288,C296)</f>
        <v>0.93499999999999994</v>
      </c>
      <c r="H13" s="47">
        <f>AVERAGE(C273,C282,C289,C295)</f>
        <v>0.9524999999999999</v>
      </c>
      <c r="I13" s="47">
        <f>AVERAGE(C278,C280,C285,C287)</f>
        <v>0.9425</v>
      </c>
      <c r="J13" s="47">
        <f>AVERAGE(C274,C276,C284,C290)</f>
        <v>0.93500000000000005</v>
      </c>
      <c r="K13" s="47">
        <f>AVERAGE(C293,C291,C275,C286)</f>
        <v>0.90500000000000003</v>
      </c>
      <c r="L13" s="47">
        <f>AVERAGE(C277,C283,C292,C294)</f>
        <v>0.93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7">
        <f>AVERAGE(C307,C316,C324,C309)</f>
        <v>0.95</v>
      </c>
      <c r="H14" s="47">
        <f>AVERAGE(C301,C317,C323,C310)</f>
        <v>0.93499999999999994</v>
      </c>
      <c r="I14" s="47">
        <f>AVERAGE(C306,C315,C308,C313)</f>
        <v>0.94249999999999989</v>
      </c>
      <c r="J14" s="47">
        <f>AVERAGE(C304,C312,C318,C302)</f>
        <v>0.95</v>
      </c>
      <c r="K14" s="47">
        <f>AVERAGE(C303,C319,C321,C314)</f>
        <v>0.92749999999999999</v>
      </c>
      <c r="L14" s="47">
        <f>AVERAGE(C305,C320,C322,C311)</f>
        <v>0.91499999999999992</v>
      </c>
    </row>
    <row r="15" spans="1:15" x14ac:dyDescent="0.3">
      <c r="A15" s="34"/>
      <c r="B15" s="34"/>
      <c r="C15" s="34"/>
      <c r="D15" s="34"/>
      <c r="E15" s="25">
        <v>12</v>
      </c>
      <c r="F15" s="39">
        <v>45384</v>
      </c>
      <c r="G15" s="47">
        <f>AVERAGE(C335,C337,C344,C352)</f>
        <v>0.9524999999999999</v>
      </c>
      <c r="H15" s="47">
        <f>AVERAGE(C329,C338,C345,C351)</f>
        <v>0.94499999999999995</v>
      </c>
      <c r="I15" s="47">
        <f>AVERAGE(C334,C336,C341,C343)</f>
        <v>0.94250000000000012</v>
      </c>
      <c r="J15" s="47">
        <f>AVERAGE(C330,C332,C340,C346)</f>
        <v>0.9524999999999999</v>
      </c>
      <c r="K15" s="47">
        <f>AVERAGE(C331,C342,C347,C349)</f>
        <v>0.9325</v>
      </c>
      <c r="L15" s="47">
        <f>AVERAGE(C333,C339,C348,C350)</f>
        <v>0.92999999999999994</v>
      </c>
    </row>
    <row r="16" spans="1:15" x14ac:dyDescent="0.3">
      <c r="A16" s="34"/>
      <c r="B16" s="34"/>
      <c r="C16" s="34"/>
      <c r="D16" s="34"/>
      <c r="E16" s="25">
        <v>13</v>
      </c>
      <c r="F16" s="39">
        <v>45399</v>
      </c>
      <c r="G16" s="47">
        <f>AVERAGE(C380,C372,C365,C363)</f>
        <v>0.9524999999999999</v>
      </c>
      <c r="H16" s="47">
        <f>AVERAGE(C379,C373,C366,C357)</f>
        <v>0.94500000000000006</v>
      </c>
      <c r="I16" s="47">
        <f>AVERAGE(C371,C369,C364,C362)</f>
        <v>0.94249999999999989</v>
      </c>
      <c r="J16" s="47">
        <f>AVERAGE(C374,C368,C360,C358)</f>
        <v>0.9524999999999999</v>
      </c>
      <c r="K16" s="47">
        <f>AVERAGE(C377,C375,C370,C359)</f>
        <v>0.9325</v>
      </c>
      <c r="L16" s="47">
        <f>AVERAGE(C378,C376,C367,C361)</f>
        <v>0.92999999999999994</v>
      </c>
    </row>
    <row r="19" spans="1:8" ht="14.5" thickBot="1" x14ac:dyDescent="0.35">
      <c r="A19" s="1" t="s">
        <v>36</v>
      </c>
      <c r="B19" s="18">
        <v>45216</v>
      </c>
    </row>
    <row r="20" spans="1:8" x14ac:dyDescent="0.3">
      <c r="A20" s="22" t="s">
        <v>27</v>
      </c>
      <c r="B20" s="30" t="s">
        <v>26</v>
      </c>
      <c r="C20" s="23" t="s">
        <v>30</v>
      </c>
    </row>
    <row r="21" spans="1:8" x14ac:dyDescent="0.3">
      <c r="A21" s="31">
        <v>1</v>
      </c>
      <c r="B21" s="9" t="s">
        <v>2</v>
      </c>
      <c r="C21" s="46">
        <v>0.98</v>
      </c>
      <c r="H21">
        <v>94</v>
      </c>
    </row>
    <row r="22" spans="1:8" x14ac:dyDescent="0.3">
      <c r="A22" s="31">
        <v>2</v>
      </c>
      <c r="B22" s="14" t="s">
        <v>3</v>
      </c>
      <c r="C22" s="46">
        <v>0.98</v>
      </c>
    </row>
    <row r="23" spans="1:8" x14ac:dyDescent="0.3">
      <c r="A23" s="31">
        <v>3</v>
      </c>
      <c r="B23" s="12" t="s">
        <v>4</v>
      </c>
      <c r="C23" s="46">
        <v>0.99</v>
      </c>
    </row>
    <row r="24" spans="1:8" x14ac:dyDescent="0.3">
      <c r="A24" s="31">
        <v>4</v>
      </c>
      <c r="B24" s="14" t="s">
        <v>5</v>
      </c>
      <c r="C24" s="46">
        <v>0.99</v>
      </c>
    </row>
    <row r="25" spans="1:8" x14ac:dyDescent="0.3">
      <c r="A25" s="31">
        <v>5</v>
      </c>
      <c r="B25" s="20" t="s">
        <v>6</v>
      </c>
      <c r="C25" s="46">
        <v>0.97</v>
      </c>
    </row>
    <row r="26" spans="1:8" x14ac:dyDescent="0.3">
      <c r="A26" s="31">
        <v>6</v>
      </c>
      <c r="B26" s="6" t="s">
        <v>7</v>
      </c>
      <c r="C26" s="46">
        <v>0.98</v>
      </c>
    </row>
    <row r="27" spans="1:8" x14ac:dyDescent="0.3">
      <c r="A27" s="31">
        <v>7</v>
      </c>
      <c r="B27" s="21" t="s">
        <v>8</v>
      </c>
      <c r="C27" s="46">
        <v>0.98</v>
      </c>
    </row>
    <row r="28" spans="1:8" x14ac:dyDescent="0.3">
      <c r="A28" s="31">
        <v>8</v>
      </c>
      <c r="B28" s="6" t="s">
        <v>9</v>
      </c>
      <c r="C28" s="46">
        <v>0.97</v>
      </c>
    </row>
    <row r="29" spans="1:8" x14ac:dyDescent="0.3">
      <c r="A29" s="31">
        <v>9</v>
      </c>
      <c r="B29" s="21" t="s">
        <v>10</v>
      </c>
      <c r="C29" s="46">
        <v>0.99</v>
      </c>
    </row>
    <row r="30" spans="1:8" x14ac:dyDescent="0.3">
      <c r="A30" s="31">
        <v>10</v>
      </c>
      <c r="B30" s="9" t="s">
        <v>11</v>
      </c>
      <c r="C30" s="46">
        <v>0.97</v>
      </c>
    </row>
    <row r="31" spans="1:8" x14ac:dyDescent="0.3">
      <c r="A31" s="31">
        <v>11</v>
      </c>
      <c r="B31" s="20" t="s">
        <v>12</v>
      </c>
      <c r="C31" s="46">
        <v>0.96</v>
      </c>
    </row>
    <row r="32" spans="1:8" x14ac:dyDescent="0.3">
      <c r="A32" s="31">
        <v>12</v>
      </c>
      <c r="B32" s="14" t="s">
        <v>13</v>
      </c>
      <c r="C32" s="46">
        <v>0.99</v>
      </c>
    </row>
    <row r="33" spans="1:3" x14ac:dyDescent="0.3">
      <c r="A33" s="31">
        <v>13</v>
      </c>
      <c r="B33" s="6" t="s">
        <v>14</v>
      </c>
      <c r="C33" s="46">
        <v>0.98</v>
      </c>
    </row>
    <row r="34" spans="1:3" x14ac:dyDescent="0.3">
      <c r="A34" s="31">
        <v>14</v>
      </c>
      <c r="B34" s="12" t="s">
        <v>15</v>
      </c>
      <c r="C34" s="46">
        <v>0.97</v>
      </c>
    </row>
    <row r="35" spans="1:3" x14ac:dyDescent="0.3">
      <c r="A35" s="31">
        <v>15</v>
      </c>
      <c r="B35" s="6" t="s">
        <v>16</v>
      </c>
      <c r="C35" s="46">
        <v>0.98</v>
      </c>
    </row>
    <row r="36" spans="1:3" x14ac:dyDescent="0.3">
      <c r="A36" s="31">
        <v>16</v>
      </c>
      <c r="B36" s="21" t="s">
        <v>17</v>
      </c>
      <c r="C36" s="46">
        <v>0.97</v>
      </c>
    </row>
    <row r="37" spans="1:3" x14ac:dyDescent="0.3">
      <c r="A37" s="31">
        <v>17</v>
      </c>
      <c r="B37" s="9" t="s">
        <v>18</v>
      </c>
      <c r="C37" s="46">
        <v>0.98</v>
      </c>
    </row>
    <row r="38" spans="1:3" x14ac:dyDescent="0.3">
      <c r="A38" s="31">
        <v>18</v>
      </c>
      <c r="B38" s="14" t="s">
        <v>19</v>
      </c>
      <c r="C38" s="46">
        <v>0.98</v>
      </c>
    </row>
    <row r="39" spans="1:3" x14ac:dyDescent="0.3">
      <c r="A39" s="31">
        <v>19</v>
      </c>
      <c r="B39" s="12" t="s">
        <v>20</v>
      </c>
      <c r="C39" s="46">
        <v>0.98</v>
      </c>
    </row>
    <row r="40" spans="1:3" x14ac:dyDescent="0.3">
      <c r="A40" s="31">
        <v>20</v>
      </c>
      <c r="B40" s="20" t="s">
        <v>21</v>
      </c>
      <c r="C40" s="46">
        <v>0.99</v>
      </c>
    </row>
    <row r="41" spans="1:3" x14ac:dyDescent="0.3">
      <c r="A41" s="31">
        <v>21</v>
      </c>
      <c r="B41" s="12" t="s">
        <v>22</v>
      </c>
      <c r="C41" s="46">
        <v>0.9</v>
      </c>
    </row>
    <row r="42" spans="1:3" x14ac:dyDescent="0.3">
      <c r="A42" s="31">
        <v>22</v>
      </c>
      <c r="B42" s="20" t="s">
        <v>23</v>
      </c>
      <c r="C42" s="46">
        <v>0.95</v>
      </c>
    </row>
    <row r="43" spans="1:3" x14ac:dyDescent="0.3">
      <c r="A43" s="31">
        <v>23</v>
      </c>
      <c r="B43" s="9" t="s">
        <v>24</v>
      </c>
      <c r="C43" s="46">
        <v>0.87</v>
      </c>
    </row>
    <row r="44" spans="1:3" ht="14.5" thickBot="1" x14ac:dyDescent="0.35">
      <c r="A44" s="32">
        <v>24</v>
      </c>
      <c r="B44" s="33" t="s">
        <v>25</v>
      </c>
      <c r="C44" s="46">
        <v>0.9</v>
      </c>
    </row>
    <row r="47" spans="1:3" ht="14.5" thickBot="1" x14ac:dyDescent="0.35">
      <c r="A47" s="1" t="s">
        <v>36</v>
      </c>
      <c r="B47" s="18">
        <v>45229</v>
      </c>
    </row>
    <row r="48" spans="1:3" x14ac:dyDescent="0.3">
      <c r="A48" s="22" t="s">
        <v>27</v>
      </c>
      <c r="B48" s="30" t="s">
        <v>26</v>
      </c>
      <c r="C48" s="23" t="s">
        <v>30</v>
      </c>
    </row>
    <row r="49" spans="1:3" x14ac:dyDescent="0.3">
      <c r="A49" s="31">
        <v>1</v>
      </c>
      <c r="B49" s="9" t="s">
        <v>2</v>
      </c>
      <c r="C49" s="46">
        <v>0.98</v>
      </c>
    </row>
    <row r="50" spans="1:3" x14ac:dyDescent="0.3">
      <c r="A50" s="31">
        <v>2</v>
      </c>
      <c r="B50" s="14" t="s">
        <v>3</v>
      </c>
      <c r="C50" s="46">
        <v>0.98</v>
      </c>
    </row>
    <row r="51" spans="1:3" x14ac:dyDescent="0.3">
      <c r="A51" s="31">
        <v>3</v>
      </c>
      <c r="B51" s="12" t="s">
        <v>4</v>
      </c>
      <c r="C51" s="46">
        <v>0.99</v>
      </c>
    </row>
    <row r="52" spans="1:3" x14ac:dyDescent="0.3">
      <c r="A52" s="31">
        <v>4</v>
      </c>
      <c r="B52" s="14" t="s">
        <v>5</v>
      </c>
      <c r="C52" s="46">
        <v>0.99</v>
      </c>
    </row>
    <row r="53" spans="1:3" x14ac:dyDescent="0.3">
      <c r="A53" s="31">
        <v>5</v>
      </c>
      <c r="B53" s="20" t="s">
        <v>6</v>
      </c>
      <c r="C53" s="46">
        <v>0.98</v>
      </c>
    </row>
    <row r="54" spans="1:3" x14ac:dyDescent="0.3">
      <c r="A54" s="31">
        <v>6</v>
      </c>
      <c r="B54" s="6" t="s">
        <v>7</v>
      </c>
      <c r="C54" s="46">
        <v>0.97</v>
      </c>
    </row>
    <row r="55" spans="1:3" x14ac:dyDescent="0.3">
      <c r="A55" s="31">
        <v>7</v>
      </c>
      <c r="B55" s="21" t="s">
        <v>8</v>
      </c>
      <c r="C55" s="46">
        <v>0.98</v>
      </c>
    </row>
    <row r="56" spans="1:3" x14ac:dyDescent="0.3">
      <c r="A56" s="31">
        <v>8</v>
      </c>
      <c r="B56" s="6" t="s">
        <v>9</v>
      </c>
      <c r="C56" s="46">
        <v>0.98</v>
      </c>
    </row>
    <row r="57" spans="1:3" x14ac:dyDescent="0.3">
      <c r="A57" s="31">
        <v>9</v>
      </c>
      <c r="B57" s="21" t="s">
        <v>10</v>
      </c>
      <c r="C57" s="46">
        <v>0.99</v>
      </c>
    </row>
    <row r="58" spans="1:3" x14ac:dyDescent="0.3">
      <c r="A58" s="31">
        <v>10</v>
      </c>
      <c r="B58" s="9" t="s">
        <v>11</v>
      </c>
      <c r="C58" s="46">
        <v>0.98</v>
      </c>
    </row>
    <row r="59" spans="1:3" x14ac:dyDescent="0.3">
      <c r="A59" s="31">
        <v>11</v>
      </c>
      <c r="B59" s="20" t="s">
        <v>12</v>
      </c>
      <c r="C59" s="46">
        <v>0.98</v>
      </c>
    </row>
    <row r="60" spans="1:3" x14ac:dyDescent="0.3">
      <c r="A60" s="31">
        <v>12</v>
      </c>
      <c r="B60" s="14" t="s">
        <v>13</v>
      </c>
      <c r="C60" s="46">
        <v>0.99</v>
      </c>
    </row>
    <row r="61" spans="1:3" x14ac:dyDescent="0.3">
      <c r="A61" s="31">
        <v>13</v>
      </c>
      <c r="B61" s="6" t="s">
        <v>14</v>
      </c>
      <c r="C61" s="46">
        <v>0.98</v>
      </c>
    </row>
    <row r="62" spans="1:3" x14ac:dyDescent="0.3">
      <c r="A62" s="31">
        <v>14</v>
      </c>
      <c r="B62" s="12" t="s">
        <v>15</v>
      </c>
      <c r="C62" s="46">
        <v>0.97</v>
      </c>
    </row>
    <row r="63" spans="1:3" x14ac:dyDescent="0.3">
      <c r="A63" s="31">
        <v>15</v>
      </c>
      <c r="B63" s="6" t="s">
        <v>16</v>
      </c>
      <c r="C63" s="46">
        <v>0.98</v>
      </c>
    </row>
    <row r="64" spans="1:3" x14ac:dyDescent="0.3">
      <c r="A64" s="31">
        <v>16</v>
      </c>
      <c r="B64" s="21" t="s">
        <v>17</v>
      </c>
      <c r="C64" s="46">
        <v>0.97</v>
      </c>
    </row>
    <row r="65" spans="1:3" x14ac:dyDescent="0.3">
      <c r="A65" s="31">
        <v>17</v>
      </c>
      <c r="B65" s="9" t="s">
        <v>18</v>
      </c>
      <c r="C65" s="46">
        <v>0.98</v>
      </c>
    </row>
    <row r="66" spans="1:3" x14ac:dyDescent="0.3">
      <c r="A66" s="31">
        <v>18</v>
      </c>
      <c r="B66" s="14" t="s">
        <v>19</v>
      </c>
      <c r="C66" s="46">
        <v>0.98</v>
      </c>
    </row>
    <row r="67" spans="1:3" x14ac:dyDescent="0.3">
      <c r="A67" s="31">
        <v>19</v>
      </c>
      <c r="B67" s="12" t="s">
        <v>20</v>
      </c>
      <c r="C67" s="46">
        <v>0.97</v>
      </c>
    </row>
    <row r="68" spans="1:3" x14ac:dyDescent="0.3">
      <c r="A68" s="31">
        <v>20</v>
      </c>
      <c r="B68" s="20" t="s">
        <v>21</v>
      </c>
      <c r="C68" s="46">
        <v>0.99</v>
      </c>
    </row>
    <row r="69" spans="1:3" x14ac:dyDescent="0.3">
      <c r="A69" s="31">
        <v>21</v>
      </c>
      <c r="B69" s="12" t="s">
        <v>22</v>
      </c>
      <c r="C69" s="46">
        <v>0.92</v>
      </c>
    </row>
    <row r="70" spans="1:3" x14ac:dyDescent="0.3">
      <c r="A70" s="31">
        <v>22</v>
      </c>
      <c r="B70" s="20" t="s">
        <v>23</v>
      </c>
      <c r="C70" s="46">
        <v>0.96</v>
      </c>
    </row>
    <row r="71" spans="1:3" x14ac:dyDescent="0.3">
      <c r="A71" s="31">
        <v>23</v>
      </c>
      <c r="B71" s="9" t="s">
        <v>24</v>
      </c>
      <c r="C71" s="46">
        <v>0.9</v>
      </c>
    </row>
    <row r="72" spans="1:3" ht="14.5" thickBot="1" x14ac:dyDescent="0.35">
      <c r="A72" s="32">
        <v>24</v>
      </c>
      <c r="B72" s="33" t="s">
        <v>25</v>
      </c>
      <c r="C72" s="46">
        <v>0.92</v>
      </c>
    </row>
    <row r="75" spans="1:3" ht="14.5" thickBot="1" x14ac:dyDescent="0.35">
      <c r="A75" s="1" t="s">
        <v>36</v>
      </c>
      <c r="B75" s="18">
        <v>45243</v>
      </c>
    </row>
    <row r="76" spans="1:3" x14ac:dyDescent="0.3">
      <c r="A76" s="22" t="s">
        <v>27</v>
      </c>
      <c r="B76" s="30" t="s">
        <v>26</v>
      </c>
      <c r="C76" s="23" t="s">
        <v>28</v>
      </c>
    </row>
    <row r="77" spans="1:3" x14ac:dyDescent="0.3">
      <c r="A77" s="31">
        <v>1</v>
      </c>
      <c r="B77" s="9" t="s">
        <v>2</v>
      </c>
      <c r="C77" s="46">
        <v>0.98</v>
      </c>
    </row>
    <row r="78" spans="1:3" x14ac:dyDescent="0.3">
      <c r="A78" s="31">
        <v>2</v>
      </c>
      <c r="B78" s="14" t="s">
        <v>3</v>
      </c>
      <c r="C78" s="46">
        <v>0.98</v>
      </c>
    </row>
    <row r="79" spans="1:3" x14ac:dyDescent="0.3">
      <c r="A79" s="31">
        <v>3</v>
      </c>
      <c r="B79" s="12" t="s">
        <v>4</v>
      </c>
      <c r="C79" s="46">
        <v>0.98</v>
      </c>
    </row>
    <row r="80" spans="1:3" x14ac:dyDescent="0.3">
      <c r="A80" s="31">
        <v>4</v>
      </c>
      <c r="B80" s="14" t="s">
        <v>5</v>
      </c>
      <c r="C80" s="46">
        <v>0.98</v>
      </c>
    </row>
    <row r="81" spans="1:3" x14ac:dyDescent="0.3">
      <c r="A81" s="31">
        <v>5</v>
      </c>
      <c r="B81" s="20" t="s">
        <v>6</v>
      </c>
      <c r="C81" s="46">
        <v>0.98</v>
      </c>
    </row>
    <row r="82" spans="1:3" x14ac:dyDescent="0.3">
      <c r="A82" s="31">
        <v>6</v>
      </c>
      <c r="B82" s="6" t="s">
        <v>7</v>
      </c>
      <c r="C82" s="46">
        <v>0.98</v>
      </c>
    </row>
    <row r="83" spans="1:3" x14ac:dyDescent="0.3">
      <c r="A83" s="31">
        <v>7</v>
      </c>
      <c r="B83" s="21" t="s">
        <v>8</v>
      </c>
      <c r="C83" s="46">
        <v>0.98</v>
      </c>
    </row>
    <row r="84" spans="1:3" x14ac:dyDescent="0.3">
      <c r="A84" s="31">
        <v>8</v>
      </c>
      <c r="B84" s="6" t="s">
        <v>9</v>
      </c>
      <c r="C84" s="46">
        <v>0.98</v>
      </c>
    </row>
    <row r="85" spans="1:3" x14ac:dyDescent="0.3">
      <c r="A85" s="31">
        <v>9</v>
      </c>
      <c r="B85" s="21" t="s">
        <v>10</v>
      </c>
      <c r="C85" s="46">
        <v>0.98</v>
      </c>
    </row>
    <row r="86" spans="1:3" x14ac:dyDescent="0.3">
      <c r="A86" s="31">
        <v>10</v>
      </c>
      <c r="B86" s="9" t="s">
        <v>11</v>
      </c>
      <c r="C86" s="46">
        <v>0.98</v>
      </c>
    </row>
    <row r="87" spans="1:3" x14ac:dyDescent="0.3">
      <c r="A87" s="31">
        <v>11</v>
      </c>
      <c r="B87" s="20" t="s">
        <v>12</v>
      </c>
      <c r="C87" s="46">
        <v>0.98</v>
      </c>
    </row>
    <row r="88" spans="1:3" x14ac:dyDescent="0.3">
      <c r="A88" s="31">
        <v>12</v>
      </c>
      <c r="B88" s="14" t="s">
        <v>13</v>
      </c>
      <c r="C88" s="46">
        <v>0.99</v>
      </c>
    </row>
    <row r="89" spans="1:3" x14ac:dyDescent="0.3">
      <c r="A89" s="31">
        <v>13</v>
      </c>
      <c r="B89" s="6" t="s">
        <v>14</v>
      </c>
      <c r="C89" s="46">
        <v>0.97</v>
      </c>
    </row>
    <row r="90" spans="1:3" x14ac:dyDescent="0.3">
      <c r="A90" s="31">
        <v>14</v>
      </c>
      <c r="B90" s="12" t="s">
        <v>15</v>
      </c>
      <c r="C90" s="46">
        <v>0.97</v>
      </c>
    </row>
    <row r="91" spans="1:3" x14ac:dyDescent="0.3">
      <c r="A91" s="31">
        <v>15</v>
      </c>
      <c r="B91" s="6" t="s">
        <v>16</v>
      </c>
      <c r="C91" s="46">
        <v>0.98</v>
      </c>
    </row>
    <row r="92" spans="1:3" x14ac:dyDescent="0.3">
      <c r="A92" s="31">
        <v>16</v>
      </c>
      <c r="B92" s="21" t="s">
        <v>17</v>
      </c>
      <c r="C92" s="46">
        <v>0.97</v>
      </c>
    </row>
    <row r="93" spans="1:3" x14ac:dyDescent="0.3">
      <c r="A93" s="31">
        <v>17</v>
      </c>
      <c r="B93" s="9" t="s">
        <v>18</v>
      </c>
      <c r="C93" s="46">
        <v>0.98</v>
      </c>
    </row>
    <row r="94" spans="1:3" x14ac:dyDescent="0.3">
      <c r="A94" s="31">
        <v>18</v>
      </c>
      <c r="B94" s="14" t="s">
        <v>19</v>
      </c>
      <c r="C94" s="46">
        <v>0.98</v>
      </c>
    </row>
    <row r="95" spans="1:3" x14ac:dyDescent="0.3">
      <c r="A95" s="31">
        <v>19</v>
      </c>
      <c r="B95" s="12" t="s">
        <v>20</v>
      </c>
      <c r="C95" s="46">
        <v>0.97</v>
      </c>
    </row>
    <row r="96" spans="1:3" x14ac:dyDescent="0.3">
      <c r="A96" s="31">
        <v>20</v>
      </c>
      <c r="B96" s="20" t="s">
        <v>21</v>
      </c>
      <c r="C96" s="46">
        <v>0.98</v>
      </c>
    </row>
    <row r="97" spans="1:3" x14ac:dyDescent="0.3">
      <c r="A97" s="31">
        <v>21</v>
      </c>
      <c r="B97" s="12" t="s">
        <v>22</v>
      </c>
      <c r="C97" s="46">
        <v>0.95</v>
      </c>
    </row>
    <row r="98" spans="1:3" x14ac:dyDescent="0.3">
      <c r="A98" s="31">
        <v>22</v>
      </c>
      <c r="B98" s="20" t="s">
        <v>23</v>
      </c>
      <c r="C98" s="46">
        <v>0.97</v>
      </c>
    </row>
    <row r="99" spans="1:3" x14ac:dyDescent="0.3">
      <c r="A99" s="31">
        <v>23</v>
      </c>
      <c r="B99" s="9" t="s">
        <v>24</v>
      </c>
      <c r="C99" s="46">
        <v>0.93</v>
      </c>
    </row>
    <row r="100" spans="1:3" ht="14.5" thickBot="1" x14ac:dyDescent="0.35">
      <c r="A100" s="32">
        <v>24</v>
      </c>
      <c r="B100" s="33" t="s">
        <v>25</v>
      </c>
      <c r="C100" s="48">
        <v>0.95</v>
      </c>
    </row>
    <row r="103" spans="1:3" ht="14.5" thickBot="1" x14ac:dyDescent="0.35">
      <c r="A103" s="1" t="s">
        <v>36</v>
      </c>
      <c r="B103" s="18">
        <v>45257</v>
      </c>
    </row>
    <row r="104" spans="1:3" x14ac:dyDescent="0.3">
      <c r="A104" s="22" t="s">
        <v>27</v>
      </c>
      <c r="B104" s="30" t="s">
        <v>26</v>
      </c>
      <c r="C104" s="23" t="s">
        <v>30</v>
      </c>
    </row>
    <row r="105" spans="1:3" x14ac:dyDescent="0.3">
      <c r="A105" s="31">
        <v>1</v>
      </c>
      <c r="B105" s="9" t="s">
        <v>2</v>
      </c>
      <c r="C105" s="46">
        <v>0.98</v>
      </c>
    </row>
    <row r="106" spans="1:3" x14ac:dyDescent="0.3">
      <c r="A106" s="31">
        <v>2</v>
      </c>
      <c r="B106" s="14" t="s">
        <v>3</v>
      </c>
      <c r="C106" s="46">
        <v>0.98</v>
      </c>
    </row>
    <row r="107" spans="1:3" x14ac:dyDescent="0.3">
      <c r="A107" s="31">
        <v>3</v>
      </c>
      <c r="B107" s="12" t="s">
        <v>4</v>
      </c>
      <c r="C107" s="46">
        <v>0.98</v>
      </c>
    </row>
    <row r="108" spans="1:3" x14ac:dyDescent="0.3">
      <c r="A108" s="31">
        <v>4</v>
      </c>
      <c r="B108" s="14" t="s">
        <v>5</v>
      </c>
      <c r="C108" s="46">
        <v>0.98</v>
      </c>
    </row>
    <row r="109" spans="1:3" x14ac:dyDescent="0.3">
      <c r="A109" s="31">
        <v>5</v>
      </c>
      <c r="B109" s="20" t="s">
        <v>6</v>
      </c>
      <c r="C109" s="46">
        <v>0.98</v>
      </c>
    </row>
    <row r="110" spans="1:3" x14ac:dyDescent="0.3">
      <c r="A110" s="31">
        <v>6</v>
      </c>
      <c r="B110" s="6" t="s">
        <v>7</v>
      </c>
      <c r="C110" s="46">
        <v>0.97</v>
      </c>
    </row>
    <row r="111" spans="1:3" x14ac:dyDescent="0.3">
      <c r="A111" s="31">
        <v>7</v>
      </c>
      <c r="B111" s="21" t="s">
        <v>8</v>
      </c>
      <c r="C111" s="46">
        <v>0.98</v>
      </c>
    </row>
    <row r="112" spans="1:3" x14ac:dyDescent="0.3">
      <c r="A112" s="31">
        <v>8</v>
      </c>
      <c r="B112" s="6" t="s">
        <v>9</v>
      </c>
      <c r="C112" s="46">
        <v>0.98</v>
      </c>
    </row>
    <row r="113" spans="1:3" x14ac:dyDescent="0.3">
      <c r="A113" s="31">
        <v>9</v>
      </c>
      <c r="B113" s="21" t="s">
        <v>10</v>
      </c>
      <c r="C113" s="46">
        <v>0.98</v>
      </c>
    </row>
    <row r="114" spans="1:3" x14ac:dyDescent="0.3">
      <c r="A114" s="31">
        <v>10</v>
      </c>
      <c r="B114" s="9" t="s">
        <v>11</v>
      </c>
      <c r="C114" s="46">
        <v>0.98</v>
      </c>
    </row>
    <row r="115" spans="1:3" x14ac:dyDescent="0.3">
      <c r="A115" s="31">
        <v>11</v>
      </c>
      <c r="B115" s="20" t="s">
        <v>12</v>
      </c>
      <c r="C115" s="46">
        <v>0.98</v>
      </c>
    </row>
    <row r="116" spans="1:3" x14ac:dyDescent="0.3">
      <c r="A116" s="31">
        <v>12</v>
      </c>
      <c r="B116" s="14" t="s">
        <v>13</v>
      </c>
      <c r="C116" s="46">
        <v>0.98</v>
      </c>
    </row>
    <row r="117" spans="1:3" x14ac:dyDescent="0.3">
      <c r="A117" s="31">
        <v>13</v>
      </c>
      <c r="B117" s="6" t="s">
        <v>14</v>
      </c>
      <c r="C117" s="46">
        <v>0.97</v>
      </c>
    </row>
    <row r="118" spans="1:3" x14ac:dyDescent="0.3">
      <c r="A118" s="31">
        <v>14</v>
      </c>
      <c r="B118" s="12" t="s">
        <v>15</v>
      </c>
      <c r="C118" s="46">
        <v>0.97</v>
      </c>
    </row>
    <row r="119" spans="1:3" x14ac:dyDescent="0.3">
      <c r="A119" s="31">
        <v>15</v>
      </c>
      <c r="B119" s="6" t="s">
        <v>16</v>
      </c>
      <c r="C119" s="46">
        <v>0.97</v>
      </c>
    </row>
    <row r="120" spans="1:3" x14ac:dyDescent="0.3">
      <c r="A120" s="31">
        <v>16</v>
      </c>
      <c r="B120" s="21" t="s">
        <v>17</v>
      </c>
      <c r="C120" s="46">
        <v>0.98</v>
      </c>
    </row>
    <row r="121" spans="1:3" x14ac:dyDescent="0.3">
      <c r="A121" s="31">
        <v>17</v>
      </c>
      <c r="B121" s="9" t="s">
        <v>18</v>
      </c>
      <c r="C121" s="46">
        <v>0.98</v>
      </c>
    </row>
    <row r="122" spans="1:3" x14ac:dyDescent="0.3">
      <c r="A122" s="31">
        <v>18</v>
      </c>
      <c r="B122" s="14" t="s">
        <v>19</v>
      </c>
      <c r="C122" s="46">
        <v>0.98</v>
      </c>
    </row>
    <row r="123" spans="1:3" x14ac:dyDescent="0.3">
      <c r="A123" s="31">
        <v>19</v>
      </c>
      <c r="B123" s="12" t="s">
        <v>20</v>
      </c>
      <c r="C123" s="46">
        <v>0.97</v>
      </c>
    </row>
    <row r="124" spans="1:3" x14ac:dyDescent="0.3">
      <c r="A124" s="31">
        <v>20</v>
      </c>
      <c r="B124" s="20" t="s">
        <v>21</v>
      </c>
      <c r="C124" s="46">
        <v>0.98</v>
      </c>
    </row>
    <row r="125" spans="1:3" x14ac:dyDescent="0.3">
      <c r="A125" s="31">
        <v>21</v>
      </c>
      <c r="B125" s="12" t="s">
        <v>22</v>
      </c>
      <c r="C125" s="46">
        <v>0.96</v>
      </c>
    </row>
    <row r="126" spans="1:3" x14ac:dyDescent="0.3">
      <c r="A126" s="31">
        <v>22</v>
      </c>
      <c r="B126" s="20" t="s">
        <v>23</v>
      </c>
      <c r="C126" s="46">
        <v>0.97</v>
      </c>
    </row>
    <row r="127" spans="1:3" x14ac:dyDescent="0.3">
      <c r="A127" s="31">
        <v>23</v>
      </c>
      <c r="B127" s="9" t="s">
        <v>24</v>
      </c>
      <c r="C127" s="46">
        <v>0.95</v>
      </c>
    </row>
    <row r="128" spans="1:3" ht="14.5" thickBot="1" x14ac:dyDescent="0.35">
      <c r="A128" s="32">
        <v>24</v>
      </c>
      <c r="B128" s="33" t="s">
        <v>25</v>
      </c>
      <c r="C128" s="48">
        <v>0.95</v>
      </c>
    </row>
    <row r="131" spans="1:3" ht="14.5" thickBot="1" x14ac:dyDescent="0.35">
      <c r="A131" s="1" t="s">
        <v>36</v>
      </c>
      <c r="B131" s="18">
        <v>45271</v>
      </c>
    </row>
    <row r="132" spans="1:3" x14ac:dyDescent="0.3">
      <c r="A132" s="22" t="s">
        <v>27</v>
      </c>
      <c r="B132" s="30" t="s">
        <v>26</v>
      </c>
      <c r="C132" s="23" t="s">
        <v>30</v>
      </c>
    </row>
    <row r="133" spans="1:3" x14ac:dyDescent="0.3">
      <c r="A133" s="31">
        <v>1</v>
      </c>
      <c r="B133" s="9" t="s">
        <v>2</v>
      </c>
      <c r="C133" s="46">
        <v>0.98</v>
      </c>
    </row>
    <row r="134" spans="1:3" x14ac:dyDescent="0.3">
      <c r="A134" s="31">
        <v>2</v>
      </c>
      <c r="B134" s="14" t="s">
        <v>3</v>
      </c>
      <c r="C134" s="46">
        <v>0.98</v>
      </c>
    </row>
    <row r="135" spans="1:3" x14ac:dyDescent="0.3">
      <c r="A135" s="31">
        <v>3</v>
      </c>
      <c r="B135" s="12" t="s">
        <v>4</v>
      </c>
      <c r="C135" s="46">
        <v>0.98</v>
      </c>
    </row>
    <row r="136" spans="1:3" x14ac:dyDescent="0.3">
      <c r="A136" s="31">
        <v>4</v>
      </c>
      <c r="B136" s="14" t="s">
        <v>5</v>
      </c>
      <c r="C136" s="46">
        <v>0.98</v>
      </c>
    </row>
    <row r="137" spans="1:3" x14ac:dyDescent="0.3">
      <c r="A137" s="31">
        <v>5</v>
      </c>
      <c r="B137" s="20" t="s">
        <v>6</v>
      </c>
      <c r="C137" s="46">
        <v>0.98</v>
      </c>
    </row>
    <row r="138" spans="1:3" x14ac:dyDescent="0.3">
      <c r="A138" s="31">
        <v>6</v>
      </c>
      <c r="B138" s="6" t="s">
        <v>7</v>
      </c>
      <c r="C138" s="46">
        <v>0.97</v>
      </c>
    </row>
    <row r="139" spans="1:3" x14ac:dyDescent="0.3">
      <c r="A139" s="31">
        <v>7</v>
      </c>
      <c r="B139" s="21" t="s">
        <v>8</v>
      </c>
      <c r="C139" s="46">
        <v>0.98</v>
      </c>
    </row>
    <row r="140" spans="1:3" x14ac:dyDescent="0.3">
      <c r="A140" s="31">
        <v>8</v>
      </c>
      <c r="B140" s="6" t="s">
        <v>9</v>
      </c>
      <c r="C140" s="46">
        <v>0.98</v>
      </c>
    </row>
    <row r="141" spans="1:3" x14ac:dyDescent="0.3">
      <c r="A141" s="31">
        <v>9</v>
      </c>
      <c r="B141" s="21" t="s">
        <v>10</v>
      </c>
      <c r="C141" s="46">
        <v>0.98</v>
      </c>
    </row>
    <row r="142" spans="1:3" x14ac:dyDescent="0.3">
      <c r="A142" s="31">
        <v>10</v>
      </c>
      <c r="B142" s="9" t="s">
        <v>11</v>
      </c>
      <c r="C142" s="46">
        <v>0.98</v>
      </c>
    </row>
    <row r="143" spans="1:3" x14ac:dyDescent="0.3">
      <c r="A143" s="31">
        <v>11</v>
      </c>
      <c r="B143" s="20" t="s">
        <v>12</v>
      </c>
      <c r="C143" s="46">
        <v>0.98</v>
      </c>
    </row>
    <row r="144" spans="1:3" x14ac:dyDescent="0.3">
      <c r="A144" s="31">
        <v>12</v>
      </c>
      <c r="B144" s="14" t="s">
        <v>13</v>
      </c>
      <c r="C144" s="46">
        <v>0.98</v>
      </c>
    </row>
    <row r="145" spans="1:3" x14ac:dyDescent="0.3">
      <c r="A145" s="31">
        <v>13</v>
      </c>
      <c r="B145" s="6" t="s">
        <v>14</v>
      </c>
      <c r="C145" s="46">
        <v>0.97</v>
      </c>
    </row>
    <row r="146" spans="1:3" x14ac:dyDescent="0.3">
      <c r="A146" s="31">
        <v>14</v>
      </c>
      <c r="B146" s="12" t="s">
        <v>15</v>
      </c>
      <c r="C146" s="46">
        <v>0.97</v>
      </c>
    </row>
    <row r="147" spans="1:3" x14ac:dyDescent="0.3">
      <c r="A147" s="31">
        <v>15</v>
      </c>
      <c r="B147" s="6" t="s">
        <v>16</v>
      </c>
      <c r="C147" s="46">
        <v>0.97</v>
      </c>
    </row>
    <row r="148" spans="1:3" x14ac:dyDescent="0.3">
      <c r="A148" s="31">
        <v>16</v>
      </c>
      <c r="B148" s="21" t="s">
        <v>17</v>
      </c>
      <c r="C148" s="46">
        <v>0.98</v>
      </c>
    </row>
    <row r="149" spans="1:3" x14ac:dyDescent="0.3">
      <c r="A149" s="31">
        <v>17</v>
      </c>
      <c r="B149" s="9" t="s">
        <v>18</v>
      </c>
      <c r="C149" s="46">
        <v>0.98</v>
      </c>
    </row>
    <row r="150" spans="1:3" x14ac:dyDescent="0.3">
      <c r="A150" s="31">
        <v>18</v>
      </c>
      <c r="B150" s="14" t="s">
        <v>19</v>
      </c>
      <c r="C150" s="46">
        <v>0.98</v>
      </c>
    </row>
    <row r="151" spans="1:3" x14ac:dyDescent="0.3">
      <c r="A151" s="31">
        <v>19</v>
      </c>
      <c r="B151" s="12" t="s">
        <v>20</v>
      </c>
      <c r="C151" s="46">
        <v>0.97</v>
      </c>
    </row>
    <row r="152" spans="1:3" x14ac:dyDescent="0.3">
      <c r="A152" s="31">
        <v>20</v>
      </c>
      <c r="B152" s="20" t="s">
        <v>21</v>
      </c>
      <c r="C152" s="46">
        <v>0.98</v>
      </c>
    </row>
    <row r="153" spans="1:3" x14ac:dyDescent="0.3">
      <c r="A153" s="31">
        <v>21</v>
      </c>
      <c r="B153" s="12" t="s">
        <v>22</v>
      </c>
      <c r="C153" s="46">
        <v>0.97</v>
      </c>
    </row>
    <row r="154" spans="1:3" x14ac:dyDescent="0.3">
      <c r="A154" s="31">
        <v>22</v>
      </c>
      <c r="B154" s="20" t="s">
        <v>23</v>
      </c>
      <c r="C154" s="46">
        <v>0.97</v>
      </c>
    </row>
    <row r="155" spans="1:3" x14ac:dyDescent="0.3">
      <c r="A155" s="31">
        <v>23</v>
      </c>
      <c r="B155" s="9" t="s">
        <v>24</v>
      </c>
      <c r="C155" s="46">
        <v>0.96</v>
      </c>
    </row>
    <row r="156" spans="1:3" ht="14.5" thickBot="1" x14ac:dyDescent="0.35">
      <c r="A156" s="32">
        <v>24</v>
      </c>
      <c r="B156" s="33" t="s">
        <v>25</v>
      </c>
      <c r="C156" s="48">
        <v>0.96</v>
      </c>
    </row>
    <row r="159" spans="1:3" ht="14.5" thickBot="1" x14ac:dyDescent="0.35">
      <c r="A159" s="1" t="s">
        <v>36</v>
      </c>
      <c r="B159" s="18">
        <v>45287</v>
      </c>
    </row>
    <row r="160" spans="1:3" x14ac:dyDescent="0.3">
      <c r="A160" s="22" t="s">
        <v>27</v>
      </c>
      <c r="B160" s="30" t="s">
        <v>26</v>
      </c>
      <c r="C160" s="23" t="s">
        <v>30</v>
      </c>
    </row>
    <row r="161" spans="1:3" x14ac:dyDescent="0.3">
      <c r="A161" s="31">
        <v>1</v>
      </c>
      <c r="B161" s="9" t="s">
        <v>2</v>
      </c>
      <c r="C161" s="46">
        <v>0.95</v>
      </c>
    </row>
    <row r="162" spans="1:3" x14ac:dyDescent="0.3">
      <c r="A162" s="31">
        <v>2</v>
      </c>
      <c r="B162" s="14" t="s">
        <v>3</v>
      </c>
      <c r="C162" s="46">
        <v>0.95</v>
      </c>
    </row>
    <row r="163" spans="1:3" x14ac:dyDescent="0.3">
      <c r="A163" s="31">
        <v>3</v>
      </c>
      <c r="B163" s="12" t="s">
        <v>4</v>
      </c>
      <c r="C163" s="46">
        <v>0.96</v>
      </c>
    </row>
    <row r="164" spans="1:3" x14ac:dyDescent="0.3">
      <c r="A164" s="31">
        <v>4</v>
      </c>
      <c r="B164" s="14" t="s">
        <v>5</v>
      </c>
      <c r="C164" s="46">
        <v>0.97</v>
      </c>
    </row>
    <row r="165" spans="1:3" x14ac:dyDescent="0.3">
      <c r="A165" s="31">
        <v>5</v>
      </c>
      <c r="B165" s="20" t="s">
        <v>6</v>
      </c>
      <c r="C165" s="46">
        <v>0.93</v>
      </c>
    </row>
    <row r="166" spans="1:3" x14ac:dyDescent="0.3">
      <c r="A166" s="31">
        <v>6</v>
      </c>
      <c r="B166" s="6" t="s">
        <v>7</v>
      </c>
      <c r="C166" s="46">
        <v>0.97</v>
      </c>
    </row>
    <row r="167" spans="1:3" x14ac:dyDescent="0.3">
      <c r="A167" s="31">
        <v>7</v>
      </c>
      <c r="B167" s="21" t="s">
        <v>8</v>
      </c>
      <c r="C167" s="46">
        <v>0.95</v>
      </c>
    </row>
    <row r="168" spans="1:3" x14ac:dyDescent="0.3">
      <c r="A168" s="31">
        <v>8</v>
      </c>
      <c r="B168" s="6" t="s">
        <v>9</v>
      </c>
      <c r="C168" s="46">
        <v>0.97</v>
      </c>
    </row>
    <row r="169" spans="1:3" x14ac:dyDescent="0.3">
      <c r="A169" s="31">
        <v>9</v>
      </c>
      <c r="B169" s="21" t="s">
        <v>10</v>
      </c>
      <c r="C169" s="46">
        <v>0.96</v>
      </c>
    </row>
    <row r="170" spans="1:3" x14ac:dyDescent="0.3">
      <c r="A170" s="31">
        <v>10</v>
      </c>
      <c r="B170" s="9" t="s">
        <v>11</v>
      </c>
      <c r="C170" s="46">
        <v>0.98</v>
      </c>
    </row>
    <row r="171" spans="1:3" x14ac:dyDescent="0.3">
      <c r="A171" s="31">
        <v>11</v>
      </c>
      <c r="B171" s="20" t="s">
        <v>12</v>
      </c>
      <c r="C171" s="46">
        <v>0.97</v>
      </c>
    </row>
    <row r="172" spans="1:3" x14ac:dyDescent="0.3">
      <c r="A172" s="31">
        <v>12</v>
      </c>
      <c r="B172" s="14" t="s">
        <v>13</v>
      </c>
      <c r="C172" s="46">
        <v>0.98</v>
      </c>
    </row>
    <row r="173" spans="1:3" x14ac:dyDescent="0.3">
      <c r="A173" s="31">
        <v>13</v>
      </c>
      <c r="B173" s="6" t="s">
        <v>14</v>
      </c>
      <c r="C173" s="46">
        <v>0.98</v>
      </c>
    </row>
    <row r="174" spans="1:3" x14ac:dyDescent="0.3">
      <c r="A174" s="31">
        <v>14</v>
      </c>
      <c r="B174" s="12" t="s">
        <v>15</v>
      </c>
      <c r="C174" s="46">
        <v>0.96</v>
      </c>
    </row>
    <row r="175" spans="1:3" x14ac:dyDescent="0.3">
      <c r="A175" s="31">
        <v>15</v>
      </c>
      <c r="B175" s="6" t="s">
        <v>16</v>
      </c>
      <c r="C175" s="46">
        <v>0.95</v>
      </c>
    </row>
    <row r="176" spans="1:3" x14ac:dyDescent="0.3">
      <c r="A176" s="31">
        <v>16</v>
      </c>
      <c r="B176" s="21" t="s">
        <v>17</v>
      </c>
      <c r="C176" s="46">
        <v>0.92</v>
      </c>
    </row>
    <row r="177" spans="1:3" x14ac:dyDescent="0.3">
      <c r="A177" s="31">
        <v>17</v>
      </c>
      <c r="B177" s="9" t="s">
        <v>18</v>
      </c>
      <c r="C177" s="46">
        <v>0.96</v>
      </c>
    </row>
    <row r="178" spans="1:3" x14ac:dyDescent="0.3">
      <c r="A178" s="31">
        <v>18</v>
      </c>
      <c r="B178" s="14" t="s">
        <v>19</v>
      </c>
      <c r="C178" s="46">
        <v>0.95</v>
      </c>
    </row>
    <row r="179" spans="1:3" x14ac:dyDescent="0.3">
      <c r="A179" s="31">
        <v>19</v>
      </c>
      <c r="B179" s="12" t="s">
        <v>20</v>
      </c>
      <c r="C179" s="46">
        <v>0.94</v>
      </c>
    </row>
    <row r="180" spans="1:3" x14ac:dyDescent="0.3">
      <c r="A180" s="31">
        <v>20</v>
      </c>
      <c r="B180" s="20" t="s">
        <v>21</v>
      </c>
      <c r="C180" s="46">
        <v>0.96</v>
      </c>
    </row>
    <row r="181" spans="1:3" x14ac:dyDescent="0.3">
      <c r="A181" s="31">
        <v>21</v>
      </c>
      <c r="B181" s="12" t="s">
        <v>22</v>
      </c>
      <c r="C181" s="46">
        <v>0.96</v>
      </c>
    </row>
    <row r="182" spans="1:3" x14ac:dyDescent="0.3">
      <c r="A182" s="31">
        <v>22</v>
      </c>
      <c r="B182" s="20" t="s">
        <v>23</v>
      </c>
      <c r="C182" s="46">
        <v>0.96</v>
      </c>
    </row>
    <row r="183" spans="1:3" x14ac:dyDescent="0.3">
      <c r="A183" s="31">
        <v>23</v>
      </c>
      <c r="B183" s="9" t="s">
        <v>24</v>
      </c>
      <c r="C183" s="46">
        <v>0.98</v>
      </c>
    </row>
    <row r="184" spans="1:3" ht="14.5" thickBot="1" x14ac:dyDescent="0.35">
      <c r="A184" s="32">
        <v>24</v>
      </c>
      <c r="B184" s="33" t="s">
        <v>25</v>
      </c>
      <c r="C184" s="48">
        <v>0.97</v>
      </c>
    </row>
    <row r="186" spans="1:3" x14ac:dyDescent="0.3">
      <c r="A186" s="57">
        <v>45299</v>
      </c>
      <c r="B186" t="s">
        <v>61</v>
      </c>
    </row>
    <row r="187" spans="1:3" ht="14.5" thickBot="1" x14ac:dyDescent="0.35">
      <c r="A187" s="1" t="s">
        <v>36</v>
      </c>
      <c r="B187" s="18">
        <v>45313</v>
      </c>
    </row>
    <row r="188" spans="1:3" x14ac:dyDescent="0.3">
      <c r="A188" s="22" t="s">
        <v>27</v>
      </c>
      <c r="B188" s="30" t="s">
        <v>26</v>
      </c>
      <c r="C188" s="23" t="s">
        <v>30</v>
      </c>
    </row>
    <row r="189" spans="1:3" x14ac:dyDescent="0.3">
      <c r="A189" s="31">
        <v>1</v>
      </c>
      <c r="B189" s="9" t="s">
        <v>2</v>
      </c>
      <c r="C189" s="46">
        <v>0.97</v>
      </c>
    </row>
    <row r="190" spans="1:3" x14ac:dyDescent="0.3">
      <c r="A190" s="31">
        <v>2</v>
      </c>
      <c r="B190" s="14" t="s">
        <v>3</v>
      </c>
      <c r="C190" s="46">
        <v>0.97</v>
      </c>
    </row>
    <row r="191" spans="1:3" x14ac:dyDescent="0.3">
      <c r="A191" s="31">
        <v>3</v>
      </c>
      <c r="B191" s="12" t="s">
        <v>4</v>
      </c>
      <c r="C191" s="46">
        <v>0.98</v>
      </c>
    </row>
    <row r="192" spans="1:3" x14ac:dyDescent="0.3">
      <c r="A192" s="31">
        <v>4</v>
      </c>
      <c r="B192" s="14" t="s">
        <v>5</v>
      </c>
      <c r="C192" s="46">
        <v>0.98</v>
      </c>
    </row>
    <row r="193" spans="1:3" x14ac:dyDescent="0.3">
      <c r="A193" s="31">
        <v>5</v>
      </c>
      <c r="B193" s="20" t="s">
        <v>6</v>
      </c>
      <c r="C193" s="46">
        <v>0.93</v>
      </c>
    </row>
    <row r="194" spans="1:3" x14ac:dyDescent="0.3">
      <c r="A194" s="31">
        <v>6</v>
      </c>
      <c r="B194" s="6" t="s">
        <v>7</v>
      </c>
      <c r="C194" s="46">
        <v>0.97</v>
      </c>
    </row>
    <row r="195" spans="1:3" x14ac:dyDescent="0.3">
      <c r="A195" s="31">
        <v>7</v>
      </c>
      <c r="B195" s="21" t="s">
        <v>8</v>
      </c>
      <c r="C195" s="46">
        <v>0.97</v>
      </c>
    </row>
    <row r="196" spans="1:3" x14ac:dyDescent="0.3">
      <c r="A196" s="31">
        <v>8</v>
      </c>
      <c r="B196" s="6" t="s">
        <v>9</v>
      </c>
      <c r="C196" s="46">
        <v>0.97</v>
      </c>
    </row>
    <row r="197" spans="1:3" x14ac:dyDescent="0.3">
      <c r="A197" s="31">
        <v>9</v>
      </c>
      <c r="B197" s="21" t="s">
        <v>10</v>
      </c>
      <c r="C197" s="46">
        <v>0.96</v>
      </c>
    </row>
    <row r="198" spans="1:3" x14ac:dyDescent="0.3">
      <c r="A198" s="31">
        <v>10</v>
      </c>
      <c r="B198" s="9" t="s">
        <v>11</v>
      </c>
      <c r="C198" s="46">
        <v>0.99</v>
      </c>
    </row>
    <row r="199" spans="1:3" x14ac:dyDescent="0.3">
      <c r="A199" s="31">
        <v>11</v>
      </c>
      <c r="B199" s="20" t="s">
        <v>12</v>
      </c>
      <c r="C199" s="46">
        <v>0.98</v>
      </c>
    </row>
    <row r="200" spans="1:3" x14ac:dyDescent="0.3">
      <c r="A200" s="31">
        <v>12</v>
      </c>
      <c r="B200" s="14" t="s">
        <v>13</v>
      </c>
      <c r="C200" s="46">
        <v>0.98</v>
      </c>
    </row>
    <row r="201" spans="1:3" x14ac:dyDescent="0.3">
      <c r="A201" s="31">
        <v>13</v>
      </c>
      <c r="B201" s="6" t="s">
        <v>14</v>
      </c>
      <c r="C201" s="46">
        <v>0.98</v>
      </c>
    </row>
    <row r="202" spans="1:3" x14ac:dyDescent="0.3">
      <c r="A202" s="31">
        <v>14</v>
      </c>
      <c r="B202" s="12" t="s">
        <v>15</v>
      </c>
      <c r="C202" s="46">
        <v>0.96</v>
      </c>
    </row>
    <row r="203" spans="1:3" x14ac:dyDescent="0.3">
      <c r="A203" s="31">
        <v>15</v>
      </c>
      <c r="B203" s="6" t="s">
        <v>16</v>
      </c>
      <c r="C203" s="46">
        <v>0.95</v>
      </c>
    </row>
    <row r="204" spans="1:3" x14ac:dyDescent="0.3">
      <c r="A204" s="31">
        <v>16</v>
      </c>
      <c r="B204" s="21" t="s">
        <v>17</v>
      </c>
      <c r="C204" s="46">
        <v>0.92</v>
      </c>
    </row>
    <row r="205" spans="1:3" x14ac:dyDescent="0.3">
      <c r="A205" s="31">
        <v>17</v>
      </c>
      <c r="B205" s="9" t="s">
        <v>18</v>
      </c>
      <c r="C205" s="46">
        <v>0.96</v>
      </c>
    </row>
    <row r="206" spans="1:3" x14ac:dyDescent="0.3">
      <c r="A206" s="31">
        <v>18</v>
      </c>
      <c r="B206" s="14" t="s">
        <v>19</v>
      </c>
      <c r="C206" s="46">
        <v>0.95</v>
      </c>
    </row>
    <row r="207" spans="1:3" x14ac:dyDescent="0.3">
      <c r="A207" s="31">
        <v>19</v>
      </c>
      <c r="B207" s="12" t="s">
        <v>20</v>
      </c>
      <c r="C207" s="46">
        <v>0.94</v>
      </c>
    </row>
    <row r="208" spans="1:3" x14ac:dyDescent="0.3">
      <c r="A208" s="31">
        <v>20</v>
      </c>
      <c r="B208" s="20" t="s">
        <v>21</v>
      </c>
      <c r="C208" s="46">
        <v>0.97</v>
      </c>
    </row>
    <row r="209" spans="1:4" x14ac:dyDescent="0.3">
      <c r="A209" s="31">
        <v>21</v>
      </c>
      <c r="B209" s="12" t="s">
        <v>22</v>
      </c>
      <c r="C209" s="46">
        <v>0.95</v>
      </c>
    </row>
    <row r="210" spans="1:4" x14ac:dyDescent="0.3">
      <c r="A210" s="31">
        <v>22</v>
      </c>
      <c r="B210" s="20" t="s">
        <v>23</v>
      </c>
      <c r="C210" s="46">
        <v>0.96</v>
      </c>
    </row>
    <row r="211" spans="1:4" x14ac:dyDescent="0.3">
      <c r="A211" s="31">
        <v>23</v>
      </c>
      <c r="B211" s="9" t="s">
        <v>24</v>
      </c>
      <c r="C211" s="46">
        <v>0.98</v>
      </c>
    </row>
    <row r="212" spans="1:4" ht="14.5" thickBot="1" x14ac:dyDescent="0.35">
      <c r="A212" s="32">
        <v>24</v>
      </c>
      <c r="B212" s="33" t="s">
        <v>25</v>
      </c>
      <c r="C212" s="48">
        <v>0.98</v>
      </c>
    </row>
    <row r="215" spans="1:4" ht="14.5" thickBot="1" x14ac:dyDescent="0.35">
      <c r="A215" s="1" t="s">
        <v>36</v>
      </c>
      <c r="B215" s="18">
        <v>45327</v>
      </c>
    </row>
    <row r="216" spans="1:4" x14ac:dyDescent="0.3">
      <c r="A216" s="22" t="s">
        <v>27</v>
      </c>
      <c r="B216" s="30" t="s">
        <v>26</v>
      </c>
      <c r="C216" s="23" t="s">
        <v>30</v>
      </c>
    </row>
    <row r="217" spans="1:4" x14ac:dyDescent="0.3">
      <c r="A217" s="31">
        <v>1</v>
      </c>
      <c r="B217" s="9" t="s">
        <v>2</v>
      </c>
      <c r="C217" s="46">
        <v>0.94</v>
      </c>
      <c r="D217" t="s">
        <v>62</v>
      </c>
    </row>
    <row r="218" spans="1:4" x14ac:dyDescent="0.3">
      <c r="A218" s="31">
        <v>2</v>
      </c>
      <c r="B218" s="14" t="s">
        <v>3</v>
      </c>
      <c r="C218" s="46">
        <v>0.96</v>
      </c>
    </row>
    <row r="219" spans="1:4" x14ac:dyDescent="0.3">
      <c r="A219" s="31">
        <v>3</v>
      </c>
      <c r="B219" s="12" t="s">
        <v>4</v>
      </c>
      <c r="C219" s="46">
        <v>0.96</v>
      </c>
    </row>
    <row r="220" spans="1:4" x14ac:dyDescent="0.3">
      <c r="A220" s="31">
        <v>4</v>
      </c>
      <c r="B220" s="14" t="s">
        <v>5</v>
      </c>
      <c r="C220" s="46">
        <v>0.96</v>
      </c>
    </row>
    <row r="221" spans="1:4" x14ac:dyDescent="0.3">
      <c r="A221" s="31">
        <v>5</v>
      </c>
      <c r="B221" s="20" t="s">
        <v>6</v>
      </c>
      <c r="C221" s="46">
        <v>0.92</v>
      </c>
    </row>
    <row r="222" spans="1:4" x14ac:dyDescent="0.3">
      <c r="A222" s="31">
        <v>6</v>
      </c>
      <c r="B222" s="6" t="s">
        <v>7</v>
      </c>
      <c r="C222" s="46">
        <v>0.95</v>
      </c>
    </row>
    <row r="223" spans="1:4" x14ac:dyDescent="0.3">
      <c r="A223" s="31">
        <v>7</v>
      </c>
      <c r="B223" s="21" t="s">
        <v>8</v>
      </c>
      <c r="C223" s="46">
        <v>0.95</v>
      </c>
    </row>
    <row r="224" spans="1:4" x14ac:dyDescent="0.3">
      <c r="A224" s="31">
        <v>8</v>
      </c>
      <c r="B224" s="6" t="s">
        <v>9</v>
      </c>
      <c r="C224" s="46">
        <v>0.95</v>
      </c>
    </row>
    <row r="225" spans="1:3" x14ac:dyDescent="0.3">
      <c r="A225" s="31">
        <v>9</v>
      </c>
      <c r="B225" s="21" t="s">
        <v>10</v>
      </c>
      <c r="C225" s="46">
        <v>0.96</v>
      </c>
    </row>
    <row r="226" spans="1:3" x14ac:dyDescent="0.3">
      <c r="A226" s="31">
        <v>10</v>
      </c>
      <c r="B226" s="9" t="s">
        <v>11</v>
      </c>
      <c r="C226" s="46">
        <v>0.98</v>
      </c>
    </row>
    <row r="227" spans="1:3" x14ac:dyDescent="0.3">
      <c r="A227" s="31">
        <v>11</v>
      </c>
      <c r="B227" s="20" t="s">
        <v>12</v>
      </c>
      <c r="C227" s="46">
        <v>0.98</v>
      </c>
    </row>
    <row r="228" spans="1:3" x14ac:dyDescent="0.3">
      <c r="A228" s="31">
        <v>12</v>
      </c>
      <c r="B228" s="14" t="s">
        <v>13</v>
      </c>
      <c r="C228" s="46">
        <v>0.96</v>
      </c>
    </row>
    <row r="229" spans="1:3" x14ac:dyDescent="0.3">
      <c r="A229" s="31">
        <v>13</v>
      </c>
      <c r="B229" s="6" t="s">
        <v>14</v>
      </c>
      <c r="C229" s="46">
        <v>0.97</v>
      </c>
    </row>
    <row r="230" spans="1:3" x14ac:dyDescent="0.3">
      <c r="A230" s="31">
        <v>14</v>
      </c>
      <c r="B230" s="12" t="s">
        <v>15</v>
      </c>
      <c r="C230" s="46">
        <v>0.96</v>
      </c>
    </row>
    <row r="231" spans="1:3" x14ac:dyDescent="0.3">
      <c r="A231" s="31">
        <v>15</v>
      </c>
      <c r="B231" s="6" t="s">
        <v>16</v>
      </c>
      <c r="C231" s="46">
        <v>0.94</v>
      </c>
    </row>
    <row r="232" spans="1:3" x14ac:dyDescent="0.3">
      <c r="A232" s="31">
        <v>16</v>
      </c>
      <c r="B232" s="21" t="s">
        <v>17</v>
      </c>
      <c r="C232" s="46">
        <v>0.92</v>
      </c>
    </row>
    <row r="233" spans="1:3" x14ac:dyDescent="0.3">
      <c r="A233" s="31">
        <v>17</v>
      </c>
      <c r="B233" s="9" t="s">
        <v>18</v>
      </c>
      <c r="C233" s="46">
        <v>0.97</v>
      </c>
    </row>
    <row r="234" spans="1:3" x14ac:dyDescent="0.3">
      <c r="A234" s="31">
        <v>18</v>
      </c>
      <c r="B234" s="14" t="s">
        <v>19</v>
      </c>
      <c r="C234" s="46">
        <v>0.96</v>
      </c>
    </row>
    <row r="235" spans="1:3" x14ac:dyDescent="0.3">
      <c r="A235" s="31">
        <v>19</v>
      </c>
      <c r="B235" s="12" t="s">
        <v>20</v>
      </c>
      <c r="C235" s="46">
        <v>0.92</v>
      </c>
    </row>
    <row r="236" spans="1:3" x14ac:dyDescent="0.3">
      <c r="A236" s="31">
        <v>20</v>
      </c>
      <c r="B236" s="20" t="s">
        <v>21</v>
      </c>
      <c r="C236" s="46">
        <v>0.95</v>
      </c>
    </row>
    <row r="237" spans="1:3" x14ac:dyDescent="0.3">
      <c r="A237" s="31">
        <v>21</v>
      </c>
      <c r="B237" s="12" t="s">
        <v>22</v>
      </c>
      <c r="C237" s="46">
        <v>0.94</v>
      </c>
    </row>
    <row r="238" spans="1:3" x14ac:dyDescent="0.3">
      <c r="A238" s="31">
        <v>22</v>
      </c>
      <c r="B238" s="20" t="s">
        <v>23</v>
      </c>
      <c r="C238" s="46">
        <v>0.95</v>
      </c>
    </row>
    <row r="239" spans="1:3" x14ac:dyDescent="0.3">
      <c r="A239" s="31">
        <v>23</v>
      </c>
      <c r="B239" s="9" t="s">
        <v>24</v>
      </c>
      <c r="C239" s="46">
        <v>0.98</v>
      </c>
    </row>
    <row r="240" spans="1:3" ht="14.5" thickBot="1" x14ac:dyDescent="0.35">
      <c r="A240" s="32">
        <v>24</v>
      </c>
      <c r="B240" s="33" t="s">
        <v>25</v>
      </c>
      <c r="C240" s="48">
        <v>0.96</v>
      </c>
    </row>
    <row r="243" spans="1:3" ht="14.5" thickBot="1" x14ac:dyDescent="0.35">
      <c r="A243" s="1" t="s">
        <v>36</v>
      </c>
      <c r="B243" s="18">
        <v>45341</v>
      </c>
    </row>
    <row r="244" spans="1:3" x14ac:dyDescent="0.3">
      <c r="A244" s="22" t="s">
        <v>27</v>
      </c>
      <c r="B244" s="30" t="s">
        <v>26</v>
      </c>
      <c r="C244" s="23" t="s">
        <v>30</v>
      </c>
    </row>
    <row r="245" spans="1:3" x14ac:dyDescent="0.3">
      <c r="A245" s="31">
        <v>1</v>
      </c>
      <c r="B245" s="9" t="s">
        <v>2</v>
      </c>
      <c r="C245" s="46">
        <v>0.94</v>
      </c>
    </row>
    <row r="246" spans="1:3" x14ac:dyDescent="0.3">
      <c r="A246" s="31">
        <v>2</v>
      </c>
      <c r="B246" s="14" t="s">
        <v>3</v>
      </c>
      <c r="C246" s="46">
        <v>0.94</v>
      </c>
    </row>
    <row r="247" spans="1:3" x14ac:dyDescent="0.3">
      <c r="A247" s="31">
        <v>3</v>
      </c>
      <c r="B247" s="12" t="s">
        <v>4</v>
      </c>
      <c r="C247" s="46">
        <v>0.94</v>
      </c>
    </row>
    <row r="248" spans="1:3" x14ac:dyDescent="0.3">
      <c r="A248" s="31">
        <v>4</v>
      </c>
      <c r="B248" s="14" t="s">
        <v>5</v>
      </c>
      <c r="C248" s="46">
        <v>0.94</v>
      </c>
    </row>
    <row r="249" spans="1:3" x14ac:dyDescent="0.3">
      <c r="A249" s="31">
        <v>5</v>
      </c>
      <c r="B249" s="20" t="s">
        <v>6</v>
      </c>
      <c r="C249" s="46">
        <v>0.9</v>
      </c>
    </row>
    <row r="250" spans="1:3" x14ac:dyDescent="0.3">
      <c r="A250" s="31">
        <v>6</v>
      </c>
      <c r="B250" s="6" t="s">
        <v>7</v>
      </c>
      <c r="C250" s="46">
        <v>0.95</v>
      </c>
    </row>
    <row r="251" spans="1:3" x14ac:dyDescent="0.3">
      <c r="A251" s="31">
        <v>7</v>
      </c>
      <c r="B251" s="21" t="s">
        <v>8</v>
      </c>
      <c r="C251" s="46">
        <v>0.94</v>
      </c>
    </row>
    <row r="252" spans="1:3" x14ac:dyDescent="0.3">
      <c r="A252" s="31">
        <v>8</v>
      </c>
      <c r="B252" s="6" t="s">
        <v>9</v>
      </c>
      <c r="C252" s="46">
        <v>0.94</v>
      </c>
    </row>
    <row r="253" spans="1:3" x14ac:dyDescent="0.3">
      <c r="A253" s="31">
        <v>9</v>
      </c>
      <c r="B253" s="21" t="s">
        <v>10</v>
      </c>
      <c r="C253" s="46">
        <v>0.95</v>
      </c>
    </row>
    <row r="254" spans="1:3" x14ac:dyDescent="0.3">
      <c r="A254" s="31">
        <v>10</v>
      </c>
      <c r="B254" s="9" t="s">
        <v>11</v>
      </c>
      <c r="C254" s="46">
        <v>0.96</v>
      </c>
    </row>
    <row r="255" spans="1:3" x14ac:dyDescent="0.3">
      <c r="A255" s="31">
        <v>11</v>
      </c>
      <c r="B255" s="20" t="s">
        <v>12</v>
      </c>
      <c r="C255" s="46">
        <v>0.97</v>
      </c>
    </row>
    <row r="256" spans="1:3" x14ac:dyDescent="0.3">
      <c r="A256" s="31">
        <v>12</v>
      </c>
      <c r="B256" s="14" t="s">
        <v>13</v>
      </c>
      <c r="C256" s="46">
        <v>0.95</v>
      </c>
    </row>
    <row r="257" spans="1:3" x14ac:dyDescent="0.3">
      <c r="A257" s="31">
        <v>13</v>
      </c>
      <c r="B257" s="6" t="s">
        <v>14</v>
      </c>
      <c r="C257" s="46">
        <v>0.96</v>
      </c>
    </row>
    <row r="258" spans="1:3" x14ac:dyDescent="0.3">
      <c r="A258" s="31">
        <v>14</v>
      </c>
      <c r="B258" s="12" t="s">
        <v>15</v>
      </c>
      <c r="C258" s="46">
        <v>0.94</v>
      </c>
    </row>
    <row r="259" spans="1:3" x14ac:dyDescent="0.3">
      <c r="A259" s="31">
        <v>15</v>
      </c>
      <c r="B259" s="6" t="s">
        <v>16</v>
      </c>
      <c r="C259" s="46">
        <v>0.95</v>
      </c>
    </row>
    <row r="260" spans="1:3" x14ac:dyDescent="0.3">
      <c r="A260" s="31">
        <v>16</v>
      </c>
      <c r="B260" s="21" t="s">
        <v>17</v>
      </c>
      <c r="C260" s="46">
        <v>0.9</v>
      </c>
    </row>
    <row r="261" spans="1:3" x14ac:dyDescent="0.3">
      <c r="A261" s="31">
        <v>17</v>
      </c>
      <c r="B261" s="9" t="s">
        <v>18</v>
      </c>
      <c r="C261" s="46">
        <v>0.96</v>
      </c>
    </row>
    <row r="262" spans="1:3" x14ac:dyDescent="0.3">
      <c r="A262" s="31">
        <v>18</v>
      </c>
      <c r="B262" s="14" t="s">
        <v>19</v>
      </c>
      <c r="C262" s="46">
        <v>0.95</v>
      </c>
    </row>
    <row r="263" spans="1:3" x14ac:dyDescent="0.3">
      <c r="A263" s="31">
        <v>19</v>
      </c>
      <c r="B263" s="12" t="s">
        <v>20</v>
      </c>
      <c r="C263" s="46">
        <v>0.89</v>
      </c>
    </row>
    <row r="264" spans="1:3" x14ac:dyDescent="0.3">
      <c r="A264" s="31">
        <v>20</v>
      </c>
      <c r="B264" s="20" t="s">
        <v>21</v>
      </c>
      <c r="C264" s="46">
        <v>0.95</v>
      </c>
    </row>
    <row r="265" spans="1:3" x14ac:dyDescent="0.3">
      <c r="A265" s="31">
        <v>21</v>
      </c>
      <c r="B265" s="12" t="s">
        <v>22</v>
      </c>
      <c r="C265" s="46">
        <v>0.92</v>
      </c>
    </row>
    <row r="266" spans="1:3" x14ac:dyDescent="0.3">
      <c r="A266" s="31">
        <v>22</v>
      </c>
      <c r="B266" s="20" t="s">
        <v>23</v>
      </c>
      <c r="C266" s="46">
        <v>0.93</v>
      </c>
    </row>
    <row r="267" spans="1:3" x14ac:dyDescent="0.3">
      <c r="A267" s="31">
        <v>23</v>
      </c>
      <c r="B267" s="9" t="s">
        <v>24</v>
      </c>
      <c r="C267" s="46">
        <v>0.97</v>
      </c>
    </row>
    <row r="268" spans="1:3" ht="14.5" thickBot="1" x14ac:dyDescent="0.35">
      <c r="A268" s="32">
        <v>24</v>
      </c>
      <c r="B268" s="33" t="s">
        <v>25</v>
      </c>
      <c r="C268" s="48">
        <v>0.94</v>
      </c>
    </row>
    <row r="271" spans="1:3" ht="14.5" thickBot="1" x14ac:dyDescent="0.35">
      <c r="A271" s="1" t="s">
        <v>36</v>
      </c>
      <c r="B271" s="18">
        <v>45356</v>
      </c>
    </row>
    <row r="272" spans="1:3" x14ac:dyDescent="0.3">
      <c r="A272" s="22" t="s">
        <v>27</v>
      </c>
      <c r="B272" s="30" t="s">
        <v>26</v>
      </c>
      <c r="C272" s="23" t="s">
        <v>30</v>
      </c>
    </row>
    <row r="273" spans="1:3" x14ac:dyDescent="0.3">
      <c r="A273" s="31">
        <v>1</v>
      </c>
      <c r="B273" s="9" t="s">
        <v>2</v>
      </c>
      <c r="C273" s="46">
        <v>0.94</v>
      </c>
    </row>
    <row r="274" spans="1:3" x14ac:dyDescent="0.3">
      <c r="A274" s="31">
        <v>2</v>
      </c>
      <c r="B274" s="14" t="s">
        <v>3</v>
      </c>
      <c r="C274" s="46">
        <v>0.94</v>
      </c>
    </row>
    <row r="275" spans="1:3" x14ac:dyDescent="0.3">
      <c r="A275" s="31">
        <v>3</v>
      </c>
      <c r="B275" s="12" t="s">
        <v>4</v>
      </c>
      <c r="C275" s="46">
        <v>0.94</v>
      </c>
    </row>
    <row r="276" spans="1:3" x14ac:dyDescent="0.3">
      <c r="A276" s="31">
        <v>4</v>
      </c>
      <c r="B276" s="14" t="s">
        <v>5</v>
      </c>
      <c r="C276" s="46">
        <v>0.94</v>
      </c>
    </row>
    <row r="277" spans="1:3" x14ac:dyDescent="0.3">
      <c r="A277" s="31">
        <v>5</v>
      </c>
      <c r="B277" s="20" t="s">
        <v>6</v>
      </c>
      <c r="C277" s="46">
        <v>0.9</v>
      </c>
    </row>
    <row r="278" spans="1:3" x14ac:dyDescent="0.3">
      <c r="A278" s="31">
        <v>6</v>
      </c>
      <c r="B278" s="6" t="s">
        <v>7</v>
      </c>
      <c r="C278" s="46">
        <v>0.95</v>
      </c>
    </row>
    <row r="279" spans="1:3" x14ac:dyDescent="0.3">
      <c r="A279" s="31">
        <v>7</v>
      </c>
      <c r="B279" s="21" t="s">
        <v>8</v>
      </c>
      <c r="C279" s="46">
        <v>0.95</v>
      </c>
    </row>
    <row r="280" spans="1:3" x14ac:dyDescent="0.3">
      <c r="A280" s="31">
        <v>8</v>
      </c>
      <c r="B280" s="6" t="s">
        <v>9</v>
      </c>
      <c r="C280" s="46">
        <v>0.94</v>
      </c>
    </row>
    <row r="281" spans="1:3" x14ac:dyDescent="0.3">
      <c r="A281" s="31">
        <v>9</v>
      </c>
      <c r="B281" s="21" t="s">
        <v>10</v>
      </c>
      <c r="C281" s="46">
        <v>0.95</v>
      </c>
    </row>
    <row r="282" spans="1:3" x14ac:dyDescent="0.3">
      <c r="A282" s="31">
        <v>10</v>
      </c>
      <c r="B282" s="9" t="s">
        <v>11</v>
      </c>
      <c r="C282" s="46">
        <v>0.96</v>
      </c>
    </row>
    <row r="283" spans="1:3" x14ac:dyDescent="0.3">
      <c r="A283" s="31">
        <v>11</v>
      </c>
      <c r="B283" s="20" t="s">
        <v>12</v>
      </c>
      <c r="C283" s="46">
        <v>0.97</v>
      </c>
    </row>
    <row r="284" spans="1:3" x14ac:dyDescent="0.3">
      <c r="A284" s="31">
        <v>12</v>
      </c>
      <c r="B284" s="14" t="s">
        <v>13</v>
      </c>
      <c r="C284" s="46">
        <v>0.93</v>
      </c>
    </row>
    <row r="285" spans="1:3" x14ac:dyDescent="0.3">
      <c r="A285" s="31">
        <v>13</v>
      </c>
      <c r="B285" s="6" t="s">
        <v>14</v>
      </c>
      <c r="C285" s="46">
        <v>0.95</v>
      </c>
    </row>
    <row r="286" spans="1:3" x14ac:dyDescent="0.3">
      <c r="A286" s="31">
        <v>14</v>
      </c>
      <c r="B286" s="12" t="s">
        <v>15</v>
      </c>
      <c r="C286" s="46">
        <v>0.92</v>
      </c>
    </row>
    <row r="287" spans="1:3" x14ac:dyDescent="0.3">
      <c r="A287" s="31">
        <v>15</v>
      </c>
      <c r="B287" s="6" t="s">
        <v>16</v>
      </c>
      <c r="C287" s="46">
        <v>0.93</v>
      </c>
    </row>
    <row r="288" spans="1:3" x14ac:dyDescent="0.3">
      <c r="A288" s="31">
        <v>16</v>
      </c>
      <c r="B288" s="21" t="s">
        <v>17</v>
      </c>
      <c r="C288" s="46">
        <v>0.9</v>
      </c>
    </row>
    <row r="289" spans="1:3" x14ac:dyDescent="0.3">
      <c r="A289" s="31">
        <v>17</v>
      </c>
      <c r="B289" s="9" t="s">
        <v>18</v>
      </c>
      <c r="C289" s="46">
        <v>0.95</v>
      </c>
    </row>
    <row r="290" spans="1:3" x14ac:dyDescent="0.3">
      <c r="A290" s="31">
        <v>18</v>
      </c>
      <c r="B290" s="14" t="s">
        <v>19</v>
      </c>
      <c r="C290" s="46">
        <v>0.93</v>
      </c>
    </row>
    <row r="291" spans="1:3" x14ac:dyDescent="0.3">
      <c r="A291" s="31">
        <v>19</v>
      </c>
      <c r="B291" s="12" t="s">
        <v>20</v>
      </c>
      <c r="C291" s="46">
        <v>0.87</v>
      </c>
    </row>
    <row r="292" spans="1:3" x14ac:dyDescent="0.3">
      <c r="A292" s="31">
        <v>20</v>
      </c>
      <c r="B292" s="20" t="s">
        <v>21</v>
      </c>
      <c r="C292" s="46">
        <v>0.95</v>
      </c>
    </row>
    <row r="293" spans="1:3" x14ac:dyDescent="0.3">
      <c r="A293" s="31">
        <v>21</v>
      </c>
      <c r="B293" s="12" t="s">
        <v>22</v>
      </c>
      <c r="C293" s="46">
        <v>0.89</v>
      </c>
    </row>
    <row r="294" spans="1:3" x14ac:dyDescent="0.3">
      <c r="A294" s="31">
        <v>22</v>
      </c>
      <c r="B294" s="20" t="s">
        <v>23</v>
      </c>
      <c r="C294" s="46">
        <v>0.9</v>
      </c>
    </row>
    <row r="295" spans="1:3" x14ac:dyDescent="0.3">
      <c r="A295" s="31">
        <v>23</v>
      </c>
      <c r="B295" s="9" t="s">
        <v>24</v>
      </c>
      <c r="C295" s="46">
        <v>0.96</v>
      </c>
    </row>
    <row r="296" spans="1:3" ht="14.5" thickBot="1" x14ac:dyDescent="0.35">
      <c r="A296" s="32">
        <v>24</v>
      </c>
      <c r="B296" s="33" t="s">
        <v>25</v>
      </c>
      <c r="C296" s="48">
        <v>0.94</v>
      </c>
    </row>
    <row r="299" spans="1:3" ht="14.5" thickBot="1" x14ac:dyDescent="0.35">
      <c r="A299" s="1" t="s">
        <v>36</v>
      </c>
      <c r="B299" s="18">
        <v>45369</v>
      </c>
    </row>
    <row r="300" spans="1:3" x14ac:dyDescent="0.3">
      <c r="A300" s="22" t="s">
        <v>27</v>
      </c>
      <c r="B300" s="30" t="s">
        <v>26</v>
      </c>
      <c r="C300" s="23" t="s">
        <v>30</v>
      </c>
    </row>
    <row r="301" spans="1:3" x14ac:dyDescent="0.3">
      <c r="A301" s="31">
        <v>1</v>
      </c>
      <c r="B301" s="9" t="s">
        <v>2</v>
      </c>
      <c r="C301" s="46">
        <v>0.95</v>
      </c>
    </row>
    <row r="302" spans="1:3" x14ac:dyDescent="0.3">
      <c r="A302" s="31">
        <v>2</v>
      </c>
      <c r="B302" s="14" t="s">
        <v>3</v>
      </c>
      <c r="C302" s="46">
        <v>0.96</v>
      </c>
    </row>
    <row r="303" spans="1:3" x14ac:dyDescent="0.3">
      <c r="A303" s="31">
        <v>3</v>
      </c>
      <c r="B303" s="12" t="s">
        <v>4</v>
      </c>
      <c r="C303" s="46">
        <v>0.96</v>
      </c>
    </row>
    <row r="304" spans="1:3" x14ac:dyDescent="0.3">
      <c r="A304" s="31">
        <v>4</v>
      </c>
      <c r="B304" s="14" t="s">
        <v>5</v>
      </c>
      <c r="C304" s="46">
        <v>0.96</v>
      </c>
    </row>
    <row r="305" spans="1:3" x14ac:dyDescent="0.3">
      <c r="A305" s="31">
        <v>5</v>
      </c>
      <c r="B305" s="20" t="s">
        <v>6</v>
      </c>
      <c r="C305" s="46">
        <v>0.87</v>
      </c>
    </row>
    <row r="306" spans="1:3" x14ac:dyDescent="0.3">
      <c r="A306" s="31">
        <v>6</v>
      </c>
      <c r="B306" s="6" t="s">
        <v>7</v>
      </c>
      <c r="C306" s="46">
        <v>0.95</v>
      </c>
    </row>
    <row r="307" spans="1:3" x14ac:dyDescent="0.3">
      <c r="A307" s="31">
        <v>7</v>
      </c>
      <c r="B307" s="21" t="s">
        <v>8</v>
      </c>
      <c r="C307" s="46">
        <v>0.95</v>
      </c>
    </row>
    <row r="308" spans="1:3" x14ac:dyDescent="0.3">
      <c r="A308" s="31">
        <v>8</v>
      </c>
      <c r="B308" s="6" t="s">
        <v>9</v>
      </c>
      <c r="C308" s="46">
        <v>0.94</v>
      </c>
    </row>
    <row r="309" spans="1:3" x14ac:dyDescent="0.3">
      <c r="A309" s="31">
        <v>9</v>
      </c>
      <c r="B309" s="21" t="s">
        <v>10</v>
      </c>
      <c r="C309" s="46">
        <v>0.95</v>
      </c>
    </row>
    <row r="310" spans="1:3" x14ac:dyDescent="0.3">
      <c r="A310" s="31">
        <v>10</v>
      </c>
      <c r="B310" s="9" t="s">
        <v>11</v>
      </c>
      <c r="C310" s="46">
        <v>0.94</v>
      </c>
    </row>
    <row r="311" spans="1:3" x14ac:dyDescent="0.3">
      <c r="A311" s="31">
        <v>11</v>
      </c>
      <c r="B311" s="20" t="s">
        <v>12</v>
      </c>
      <c r="C311" s="46">
        <v>0.96</v>
      </c>
    </row>
    <row r="312" spans="1:3" x14ac:dyDescent="0.3">
      <c r="A312" s="31">
        <v>12</v>
      </c>
      <c r="B312" s="14" t="s">
        <v>13</v>
      </c>
      <c r="C312" s="46">
        <v>0.93</v>
      </c>
    </row>
    <row r="313" spans="1:3" x14ac:dyDescent="0.3">
      <c r="A313" s="31">
        <v>13</v>
      </c>
      <c r="B313" s="6" t="s">
        <v>14</v>
      </c>
      <c r="C313" s="46">
        <v>0.95</v>
      </c>
    </row>
    <row r="314" spans="1:3" x14ac:dyDescent="0.3">
      <c r="A314" s="31">
        <v>14</v>
      </c>
      <c r="B314" s="12" t="s">
        <v>15</v>
      </c>
      <c r="C314" s="46">
        <v>0.95</v>
      </c>
    </row>
    <row r="315" spans="1:3" x14ac:dyDescent="0.3">
      <c r="A315" s="31">
        <v>15</v>
      </c>
      <c r="B315" s="6" t="s">
        <v>16</v>
      </c>
      <c r="C315" s="46">
        <v>0.93</v>
      </c>
    </row>
    <row r="316" spans="1:3" x14ac:dyDescent="0.3">
      <c r="A316" s="31">
        <v>16</v>
      </c>
      <c r="B316" s="21" t="s">
        <v>17</v>
      </c>
      <c r="C316" s="46">
        <v>0.95</v>
      </c>
    </row>
    <row r="317" spans="1:3" x14ac:dyDescent="0.3">
      <c r="A317" s="31">
        <v>17</v>
      </c>
      <c r="B317" s="9" t="s">
        <v>18</v>
      </c>
      <c r="C317" s="46">
        <v>0.95</v>
      </c>
    </row>
    <row r="318" spans="1:3" x14ac:dyDescent="0.3">
      <c r="A318" s="31">
        <v>18</v>
      </c>
      <c r="B318" s="14" t="s">
        <v>19</v>
      </c>
      <c r="C318" s="46">
        <v>0.95</v>
      </c>
    </row>
    <row r="319" spans="1:3" x14ac:dyDescent="0.3">
      <c r="A319" s="31">
        <v>19</v>
      </c>
      <c r="B319" s="12" t="s">
        <v>20</v>
      </c>
      <c r="C319" s="46">
        <v>0.92</v>
      </c>
    </row>
    <row r="320" spans="1:3" x14ac:dyDescent="0.3">
      <c r="A320" s="31">
        <v>20</v>
      </c>
      <c r="B320" s="20" t="s">
        <v>21</v>
      </c>
      <c r="C320" s="46">
        <v>0.95</v>
      </c>
    </row>
    <row r="321" spans="1:3" x14ac:dyDescent="0.3">
      <c r="A321" s="31">
        <v>21</v>
      </c>
      <c r="B321" s="12" t="s">
        <v>22</v>
      </c>
      <c r="C321" s="46">
        <v>0.88</v>
      </c>
    </row>
    <row r="322" spans="1:3" x14ac:dyDescent="0.3">
      <c r="A322" s="31">
        <v>22</v>
      </c>
      <c r="B322" s="20" t="s">
        <v>23</v>
      </c>
      <c r="C322" s="46">
        <v>0.88</v>
      </c>
    </row>
    <row r="323" spans="1:3" x14ac:dyDescent="0.3">
      <c r="A323" s="31">
        <v>23</v>
      </c>
      <c r="B323" s="9" t="s">
        <v>24</v>
      </c>
      <c r="C323" s="46">
        <v>0.9</v>
      </c>
    </row>
    <row r="324" spans="1:3" ht="14.5" thickBot="1" x14ac:dyDescent="0.35">
      <c r="A324" s="32">
        <v>24</v>
      </c>
      <c r="B324" s="33" t="s">
        <v>25</v>
      </c>
      <c r="C324" s="48">
        <v>0.95</v>
      </c>
    </row>
    <row r="327" spans="1:3" ht="14.5" thickBot="1" x14ac:dyDescent="0.35">
      <c r="A327" s="1" t="s">
        <v>36</v>
      </c>
      <c r="B327" s="18">
        <v>45384</v>
      </c>
    </row>
    <row r="328" spans="1:3" x14ac:dyDescent="0.3">
      <c r="A328" s="22" t="s">
        <v>27</v>
      </c>
      <c r="B328" s="30" t="s">
        <v>26</v>
      </c>
      <c r="C328" s="23" t="s">
        <v>30</v>
      </c>
    </row>
    <row r="329" spans="1:3" x14ac:dyDescent="0.3">
      <c r="A329" s="31">
        <v>1</v>
      </c>
      <c r="B329" s="9" t="s">
        <v>2</v>
      </c>
      <c r="C329" s="46">
        <v>0.95</v>
      </c>
    </row>
    <row r="330" spans="1:3" x14ac:dyDescent="0.3">
      <c r="A330" s="31">
        <v>2</v>
      </c>
      <c r="B330" s="14" t="s">
        <v>3</v>
      </c>
      <c r="C330" s="46">
        <v>0.95</v>
      </c>
    </row>
    <row r="331" spans="1:3" x14ac:dyDescent="0.3">
      <c r="A331" s="31">
        <v>3</v>
      </c>
      <c r="B331" s="12" t="s">
        <v>4</v>
      </c>
      <c r="C331" s="46">
        <v>0.94</v>
      </c>
    </row>
    <row r="332" spans="1:3" x14ac:dyDescent="0.3">
      <c r="A332" s="31">
        <v>4</v>
      </c>
      <c r="B332" s="14" t="s">
        <v>5</v>
      </c>
      <c r="C332" s="46">
        <v>0.95</v>
      </c>
    </row>
    <row r="333" spans="1:3" x14ac:dyDescent="0.3">
      <c r="A333" s="31">
        <v>5</v>
      </c>
      <c r="B333" s="20" t="s">
        <v>6</v>
      </c>
      <c r="C333" s="46">
        <v>0.9</v>
      </c>
    </row>
    <row r="334" spans="1:3" x14ac:dyDescent="0.3">
      <c r="A334" s="31">
        <v>6</v>
      </c>
      <c r="B334" s="6" t="s">
        <v>7</v>
      </c>
      <c r="C334" s="46">
        <v>0.92</v>
      </c>
    </row>
    <row r="335" spans="1:3" x14ac:dyDescent="0.3">
      <c r="A335" s="31">
        <v>7</v>
      </c>
      <c r="B335" s="21" t="s">
        <v>8</v>
      </c>
      <c r="C335" s="46">
        <v>0.95</v>
      </c>
    </row>
    <row r="336" spans="1:3" x14ac:dyDescent="0.3">
      <c r="A336" s="31">
        <v>8</v>
      </c>
      <c r="B336" s="6" t="s">
        <v>9</v>
      </c>
      <c r="C336" s="46">
        <v>0.95</v>
      </c>
    </row>
    <row r="337" spans="1:3" x14ac:dyDescent="0.3">
      <c r="A337" s="31">
        <v>9</v>
      </c>
      <c r="B337" s="21" t="s">
        <v>10</v>
      </c>
      <c r="C337" s="46">
        <v>0.95</v>
      </c>
    </row>
    <row r="338" spans="1:3" x14ac:dyDescent="0.3">
      <c r="A338" s="31">
        <v>10</v>
      </c>
      <c r="B338" s="9" t="s">
        <v>11</v>
      </c>
      <c r="C338" s="46">
        <v>0.95</v>
      </c>
    </row>
    <row r="339" spans="1:3" x14ac:dyDescent="0.3">
      <c r="A339" s="31">
        <v>11</v>
      </c>
      <c r="B339" s="20" t="s">
        <v>12</v>
      </c>
      <c r="C339" s="46">
        <v>0.96</v>
      </c>
    </row>
    <row r="340" spans="1:3" x14ac:dyDescent="0.3">
      <c r="A340" s="31">
        <v>12</v>
      </c>
      <c r="B340" s="14" t="s">
        <v>13</v>
      </c>
      <c r="C340" s="46">
        <v>0.96</v>
      </c>
    </row>
    <row r="341" spans="1:3" x14ac:dyDescent="0.3">
      <c r="A341" s="31">
        <v>13</v>
      </c>
      <c r="B341" s="6" t="s">
        <v>14</v>
      </c>
      <c r="C341" s="46">
        <v>0.95</v>
      </c>
    </row>
    <row r="342" spans="1:3" x14ac:dyDescent="0.3">
      <c r="A342" s="31">
        <v>14</v>
      </c>
      <c r="B342" s="12" t="s">
        <v>15</v>
      </c>
      <c r="C342" s="46">
        <v>0.95</v>
      </c>
    </row>
    <row r="343" spans="1:3" x14ac:dyDescent="0.3">
      <c r="A343" s="31">
        <v>15</v>
      </c>
      <c r="B343" s="6" t="s">
        <v>16</v>
      </c>
      <c r="C343" s="46">
        <v>0.95</v>
      </c>
    </row>
    <row r="344" spans="1:3" x14ac:dyDescent="0.3">
      <c r="A344" s="31">
        <v>16</v>
      </c>
      <c r="B344" s="21" t="s">
        <v>17</v>
      </c>
      <c r="C344" s="46">
        <v>0.95</v>
      </c>
    </row>
    <row r="345" spans="1:3" x14ac:dyDescent="0.3">
      <c r="A345" s="31">
        <v>17</v>
      </c>
      <c r="B345" s="9" t="s">
        <v>18</v>
      </c>
      <c r="C345" s="46">
        <v>0.96</v>
      </c>
    </row>
    <row r="346" spans="1:3" x14ac:dyDescent="0.3">
      <c r="A346" s="31">
        <v>18</v>
      </c>
      <c r="B346" s="14" t="s">
        <v>19</v>
      </c>
      <c r="C346" s="46">
        <v>0.95</v>
      </c>
    </row>
    <row r="347" spans="1:3" x14ac:dyDescent="0.3">
      <c r="A347" s="31">
        <v>19</v>
      </c>
      <c r="B347" s="12" t="s">
        <v>20</v>
      </c>
      <c r="C347" s="46">
        <v>0.94</v>
      </c>
    </row>
    <row r="348" spans="1:3" x14ac:dyDescent="0.3">
      <c r="A348" s="31">
        <v>20</v>
      </c>
      <c r="B348" s="20" t="s">
        <v>21</v>
      </c>
      <c r="C348" s="46">
        <v>0.96</v>
      </c>
    </row>
    <row r="349" spans="1:3" x14ac:dyDescent="0.3">
      <c r="A349" s="31">
        <v>21</v>
      </c>
      <c r="B349" s="12" t="s">
        <v>22</v>
      </c>
      <c r="C349" s="46">
        <v>0.9</v>
      </c>
    </row>
    <row r="350" spans="1:3" x14ac:dyDescent="0.3">
      <c r="A350" s="31">
        <v>22</v>
      </c>
      <c r="B350" s="20" t="s">
        <v>23</v>
      </c>
      <c r="C350" s="46">
        <v>0.9</v>
      </c>
    </row>
    <row r="351" spans="1:3" x14ac:dyDescent="0.3">
      <c r="A351" s="31">
        <v>23</v>
      </c>
      <c r="B351" s="9" t="s">
        <v>24</v>
      </c>
      <c r="C351" s="46">
        <v>0.92</v>
      </c>
    </row>
    <row r="352" spans="1:3" ht="14.5" thickBot="1" x14ac:dyDescent="0.35">
      <c r="A352" s="32">
        <v>24</v>
      </c>
      <c r="B352" s="33" t="s">
        <v>25</v>
      </c>
      <c r="C352" s="48">
        <v>0.96</v>
      </c>
    </row>
    <row r="355" spans="1:3" ht="14.5" thickBot="1" x14ac:dyDescent="0.35">
      <c r="A355" s="1" t="s">
        <v>36</v>
      </c>
      <c r="B355" s="18">
        <v>45399</v>
      </c>
    </row>
    <row r="356" spans="1:3" x14ac:dyDescent="0.3">
      <c r="A356" s="22" t="s">
        <v>27</v>
      </c>
      <c r="B356" s="30" t="s">
        <v>26</v>
      </c>
      <c r="C356" s="23" t="s">
        <v>30</v>
      </c>
    </row>
    <row r="357" spans="1:3" x14ac:dyDescent="0.3">
      <c r="A357" s="31">
        <v>1</v>
      </c>
      <c r="B357" s="9" t="s">
        <v>2</v>
      </c>
      <c r="C357" s="46">
        <v>0.95</v>
      </c>
    </row>
    <row r="358" spans="1:3" x14ac:dyDescent="0.3">
      <c r="A358" s="31">
        <v>2</v>
      </c>
      <c r="B358" s="14" t="s">
        <v>3</v>
      </c>
      <c r="C358" s="46">
        <v>0.95</v>
      </c>
    </row>
    <row r="359" spans="1:3" x14ac:dyDescent="0.3">
      <c r="A359" s="31">
        <v>3</v>
      </c>
      <c r="B359" s="12" t="s">
        <v>4</v>
      </c>
      <c r="C359" s="46">
        <v>0.94</v>
      </c>
    </row>
    <row r="360" spans="1:3" x14ac:dyDescent="0.3">
      <c r="A360" s="31">
        <v>4</v>
      </c>
      <c r="B360" s="14" t="s">
        <v>5</v>
      </c>
      <c r="C360" s="46">
        <v>0.95</v>
      </c>
    </row>
    <row r="361" spans="1:3" x14ac:dyDescent="0.3">
      <c r="A361" s="31">
        <v>5</v>
      </c>
      <c r="B361" s="20" t="s">
        <v>6</v>
      </c>
      <c r="C361" s="46">
        <v>0.9</v>
      </c>
    </row>
    <row r="362" spans="1:3" x14ac:dyDescent="0.3">
      <c r="A362" s="31">
        <v>6</v>
      </c>
      <c r="B362" s="6" t="s">
        <v>7</v>
      </c>
      <c r="C362" s="46">
        <v>0.92</v>
      </c>
    </row>
    <row r="363" spans="1:3" x14ac:dyDescent="0.3">
      <c r="A363" s="31">
        <v>7</v>
      </c>
      <c r="B363" s="21" t="s">
        <v>8</v>
      </c>
      <c r="C363" s="46">
        <v>0.95</v>
      </c>
    </row>
    <row r="364" spans="1:3" x14ac:dyDescent="0.3">
      <c r="A364" s="31">
        <v>8</v>
      </c>
      <c r="B364" s="6" t="s">
        <v>9</v>
      </c>
      <c r="C364" s="46">
        <v>0.95</v>
      </c>
    </row>
    <row r="365" spans="1:3" x14ac:dyDescent="0.3">
      <c r="A365" s="31">
        <v>9</v>
      </c>
      <c r="B365" s="21" t="s">
        <v>10</v>
      </c>
      <c r="C365" s="46">
        <v>0.95</v>
      </c>
    </row>
    <row r="366" spans="1:3" x14ac:dyDescent="0.3">
      <c r="A366" s="31">
        <v>10</v>
      </c>
      <c r="B366" s="9" t="s">
        <v>11</v>
      </c>
      <c r="C366" s="46">
        <v>0.95</v>
      </c>
    </row>
    <row r="367" spans="1:3" x14ac:dyDescent="0.3">
      <c r="A367" s="31">
        <v>11</v>
      </c>
      <c r="B367" s="20" t="s">
        <v>12</v>
      </c>
      <c r="C367" s="46">
        <v>0.96</v>
      </c>
    </row>
    <row r="368" spans="1:3" x14ac:dyDescent="0.3">
      <c r="A368" s="31">
        <v>12</v>
      </c>
      <c r="B368" s="14" t="s">
        <v>13</v>
      </c>
      <c r="C368" s="46">
        <v>0.96</v>
      </c>
    </row>
    <row r="369" spans="1:3" x14ac:dyDescent="0.3">
      <c r="A369" s="31">
        <v>13</v>
      </c>
      <c r="B369" s="6" t="s">
        <v>14</v>
      </c>
      <c r="C369" s="46">
        <v>0.95</v>
      </c>
    </row>
    <row r="370" spans="1:3" x14ac:dyDescent="0.3">
      <c r="A370" s="31">
        <v>14</v>
      </c>
      <c r="B370" s="12" t="s">
        <v>15</v>
      </c>
      <c r="C370" s="46">
        <v>0.95</v>
      </c>
    </row>
    <row r="371" spans="1:3" x14ac:dyDescent="0.3">
      <c r="A371" s="31">
        <v>15</v>
      </c>
      <c r="B371" s="6" t="s">
        <v>16</v>
      </c>
      <c r="C371" s="46">
        <v>0.95</v>
      </c>
    </row>
    <row r="372" spans="1:3" x14ac:dyDescent="0.3">
      <c r="A372" s="31">
        <v>16</v>
      </c>
      <c r="B372" s="21" t="s">
        <v>17</v>
      </c>
      <c r="C372" s="46">
        <v>0.95</v>
      </c>
    </row>
    <row r="373" spans="1:3" x14ac:dyDescent="0.3">
      <c r="A373" s="31">
        <v>17</v>
      </c>
      <c r="B373" s="9" t="s">
        <v>18</v>
      </c>
      <c r="C373" s="46">
        <v>0.96</v>
      </c>
    </row>
    <row r="374" spans="1:3" x14ac:dyDescent="0.3">
      <c r="A374" s="31">
        <v>18</v>
      </c>
      <c r="B374" s="14" t="s">
        <v>19</v>
      </c>
      <c r="C374" s="46">
        <v>0.95</v>
      </c>
    </row>
    <row r="375" spans="1:3" x14ac:dyDescent="0.3">
      <c r="A375" s="31">
        <v>19</v>
      </c>
      <c r="B375" s="12" t="s">
        <v>20</v>
      </c>
      <c r="C375" s="46">
        <v>0.94</v>
      </c>
    </row>
    <row r="376" spans="1:3" x14ac:dyDescent="0.3">
      <c r="A376" s="31">
        <v>20</v>
      </c>
      <c r="B376" s="20" t="s">
        <v>21</v>
      </c>
      <c r="C376" s="46">
        <v>0.96</v>
      </c>
    </row>
    <row r="377" spans="1:3" x14ac:dyDescent="0.3">
      <c r="A377" s="31">
        <v>21</v>
      </c>
      <c r="B377" s="12" t="s">
        <v>22</v>
      </c>
      <c r="C377" s="46">
        <v>0.9</v>
      </c>
    </row>
    <row r="378" spans="1:3" x14ac:dyDescent="0.3">
      <c r="A378" s="31">
        <v>22</v>
      </c>
      <c r="B378" s="20" t="s">
        <v>23</v>
      </c>
      <c r="C378" s="46">
        <v>0.9</v>
      </c>
    </row>
    <row r="379" spans="1:3" x14ac:dyDescent="0.3">
      <c r="A379" s="31">
        <v>23</v>
      </c>
      <c r="B379" s="9" t="s">
        <v>24</v>
      </c>
      <c r="C379" s="46">
        <v>0.92</v>
      </c>
    </row>
    <row r="380" spans="1:3" ht="14.5" thickBot="1" x14ac:dyDescent="0.35">
      <c r="A380" s="32">
        <v>24</v>
      </c>
      <c r="B380" s="33" t="s">
        <v>25</v>
      </c>
      <c r="C380" s="48">
        <v>0.96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6DAD-AA6E-429C-B5E9-1D359BC2FD26}">
  <dimension ref="A1:O380"/>
  <sheetViews>
    <sheetView workbookViewId="0">
      <pane xSplit="3" ySplit="16" topLeftCell="D17" activePane="bottomRight" state="frozen"/>
      <selection pane="topRight" activeCell="D1" sqref="D1"/>
      <selection pane="bottomLeft" activeCell="A18" sqref="A18"/>
      <selection pane="bottomRight" activeCell="P15" sqref="P15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41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47">
        <f>AVERAGE(C27,C36,C29,C44)</f>
        <v>0.59899999999999998</v>
      </c>
      <c r="H4" s="47">
        <f>AVERAGE(C21,C30,C37,C43)</f>
        <v>0.63312500000000005</v>
      </c>
      <c r="I4" s="47">
        <f>AVERAGE(C26,C28,C33,C35)</f>
        <v>0.64467500000000011</v>
      </c>
      <c r="J4" s="47">
        <f>AVERAGE(C22,C24,C32,C38)</f>
        <v>0.65752500000000003</v>
      </c>
      <c r="K4" s="47">
        <f>AVERAGE(C39,C41,C23,C34)</f>
        <v>0.59037499999999998</v>
      </c>
      <c r="L4" s="46">
        <f>AVERAGE(C42,C40,C31,C25)</f>
        <v>0.65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47">
        <f>AVERAGE(C72,C57,C55,C64)</f>
        <v>0.63565000000000005</v>
      </c>
      <c r="H5" s="47">
        <f>AVERAGE(C49,C58,C71,C65)</f>
        <v>0.68202499999999999</v>
      </c>
      <c r="I5" s="47">
        <f>AVERAGE(C54,C56,C61,C63)</f>
        <v>0.68629999999999991</v>
      </c>
      <c r="J5" s="54">
        <f>AVERAGE(C66,C60,C52,C50)</f>
        <v>0.68259999999999998</v>
      </c>
      <c r="K5" s="47">
        <f>AVERAGE(C51,C62,C67,C69)</f>
        <v>0.66655000000000009</v>
      </c>
      <c r="L5" s="46">
        <f>AVERAGE(C53,C59,C68,C70)</f>
        <v>0.68499999999999994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47">
        <f>AVERAGE(C83,C85,C92,C100)</f>
        <v>0.83747499999999997</v>
      </c>
      <c r="H6" s="47">
        <f>AVERAGE(C77,C86,C93,C99)</f>
        <v>0.87735000000000007</v>
      </c>
      <c r="I6" s="47">
        <f>AVERAGE(C82,C84,C89,C91)</f>
        <v>0.84799999999999998</v>
      </c>
      <c r="J6" s="47">
        <f>AVERAGE(C88,C94,C80,C78)</f>
        <v>0.87320000000000009</v>
      </c>
      <c r="K6" s="47">
        <f>AVERAGE(C90,C95,C97,C79)</f>
        <v>0.85235000000000005</v>
      </c>
      <c r="L6" s="46">
        <f>AVERAGE(C81,C87,C96,C98)</f>
        <v>0.82627499999999987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7">
        <f>AVERAGE(C111,C113,C120,C128)</f>
        <v>0.67912499999999998</v>
      </c>
      <c r="H7" s="47">
        <f>AVERAGE(C105,C114,C121,C127)</f>
        <v>0.75534999999999997</v>
      </c>
      <c r="I7" s="47">
        <f>AVERAGE(C110,C112,C117,C119)</f>
        <v>0.72570000000000001</v>
      </c>
      <c r="J7" s="47">
        <f>AVERAGE(C106,C108,C116,C122)</f>
        <v>0.73622500000000002</v>
      </c>
      <c r="K7" s="47">
        <f>AVERAGE(C107,C118,C123,C125)</f>
        <v>0.73965000000000003</v>
      </c>
      <c r="L7" s="47">
        <f>AVERAGE(C109,C124,C115,C126)</f>
        <v>0.72840000000000005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7">
        <f>AVERAGE(C139,C141,C148,C156)</f>
        <v>0.78600000000000003</v>
      </c>
      <c r="H8" s="47">
        <f>AVERAGE(C155,C149,C142,C133)</f>
        <v>0.86465000000000003</v>
      </c>
      <c r="I8" s="47">
        <f>AVERAGE(C138,C140,C145,C147)</f>
        <v>0.74452499999999999</v>
      </c>
      <c r="J8" s="47">
        <f>AVERAGE(C134,C136,C144,C150)</f>
        <v>0.79805000000000004</v>
      </c>
      <c r="K8" s="47">
        <f>AVERAGE(C135,C146,C151,C153)</f>
        <v>0.86690000000000011</v>
      </c>
      <c r="L8" s="46">
        <f>AVERAGE(C154,C152,C143,C137)</f>
        <v>0.83374999999999999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7">
        <f>AVERAGE(C167,C169,C176,C184)</f>
        <v>0.79594999999999994</v>
      </c>
      <c r="H9" s="47">
        <f>AVERAGE(C161,C170,C177,C183)</f>
        <v>0.87125000000000008</v>
      </c>
      <c r="I9" s="47">
        <f>AVERAGE(C166,C168,C173,C175)</f>
        <v>0.85865000000000002</v>
      </c>
      <c r="J9" s="47">
        <f>AVERAGE(C162,C164,C172,C178)</f>
        <v>0.8129249999999999</v>
      </c>
      <c r="K9" s="47">
        <f>AVERAGE(C163,C179,C181,C174)</f>
        <v>0.8496999999999999</v>
      </c>
      <c r="L9" s="47">
        <f>AVERAGE(C165,C171,C180,C182)</f>
        <v>0.80900000000000005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7">
        <f>AVERAGE(C195,C197,C204,C212)</f>
        <v>0.68619999999999992</v>
      </c>
      <c r="H10" s="47">
        <f>AVERAGE(C189,C198,C205,C211)</f>
        <v>0.73362499999999997</v>
      </c>
      <c r="I10" s="47">
        <f>AVERAGE(C201,C194,C196,C203)</f>
        <v>0.67377500000000001</v>
      </c>
      <c r="J10" s="47">
        <f>AVERAGE(C200,C206,C192,C190)</f>
        <v>0.65200000000000002</v>
      </c>
      <c r="K10" s="47">
        <f>AVERAGE(C191,C202,C207,C209)</f>
        <v>0.6401</v>
      </c>
      <c r="L10" s="47">
        <f>AVERAGE(C193,C199,C208,C210)</f>
        <v>0.60652499999999998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7">
        <f>AVERAGE(C223,C225,C232,C240)</f>
        <v>0.724275</v>
      </c>
      <c r="H11" s="47">
        <f>AVERAGE(C239,C233,C226,C217)</f>
        <v>0.69072500000000003</v>
      </c>
      <c r="I11" s="47">
        <f>AVERAGE(C222,C224,C229,C231)</f>
        <v>0.65452500000000002</v>
      </c>
      <c r="J11" s="47">
        <f>AVERAGE(C218,C220,C228,C234)</f>
        <v>0.68507499999999988</v>
      </c>
      <c r="K11" s="47">
        <f>AVERAGE(C219,C230,C235,C237)</f>
        <v>0.684975</v>
      </c>
      <c r="L11" s="47">
        <f>AVERAGE(C221,C227,C236,C238)</f>
        <v>0.66622500000000007</v>
      </c>
    </row>
    <row r="12" spans="1:15" x14ac:dyDescent="0.3">
      <c r="A12" s="34"/>
      <c r="B12" s="34"/>
      <c r="C12" s="34"/>
      <c r="D12" s="34"/>
      <c r="E12" s="25">
        <v>9</v>
      </c>
      <c r="F12" s="39">
        <v>45344</v>
      </c>
      <c r="G12" s="47">
        <f>AVERAGE(C251,C253,C260,C268)</f>
        <v>0.71820000000000006</v>
      </c>
      <c r="H12" s="47">
        <f>AVERAGE(C245,C254,C261,C267)</f>
        <v>0.71657500000000007</v>
      </c>
      <c r="I12" s="47">
        <f>AVERAGE(C250,C252,C259,C257)</f>
        <v>0.78587499999999999</v>
      </c>
      <c r="J12" s="47">
        <f>AVERAGE(C246,C248,C256,C262)</f>
        <v>0.67920000000000003</v>
      </c>
      <c r="K12" s="47">
        <f>AVERAGE(C247,C258,C263,C265)</f>
        <v>0.68947500000000006</v>
      </c>
      <c r="L12" s="47">
        <f>AVERAGE(C249,C255,C264,C266)</f>
        <v>0.74122500000000002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7">
        <f>AVERAGE(C279,C281,C288,C296)</f>
        <v>0.63385000000000002</v>
      </c>
      <c r="H13" s="47">
        <f>AVERAGE(C273,C282,C289,C295)</f>
        <v>0.56682500000000002</v>
      </c>
      <c r="I13" s="47">
        <f>AVERAGE(C278,C280,C285,C287)</f>
        <v>0.63834999999999997</v>
      </c>
      <c r="J13" s="47">
        <f>AVERAGE(C274,C276,C284,C290)</f>
        <v>0.62474999999999992</v>
      </c>
      <c r="K13" s="47">
        <f>AVERAGE(C293,C291,C275,C286)</f>
        <v>0.65492499999999998</v>
      </c>
      <c r="L13" s="47">
        <f>AVERAGE(C277,C283,C292,C294)</f>
        <v>0.62787499999999996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7">
        <f>AVERAGE(C307,C316,C324,C309)</f>
        <v>0.48807499999999998</v>
      </c>
      <c r="H14" s="47">
        <f>AVERAGE(C301,C317,C323,C310)</f>
        <v>0.48150000000000004</v>
      </c>
      <c r="I14" s="47">
        <f>AVERAGE(C306,C315,C308,C313)</f>
        <v>0.47610000000000002</v>
      </c>
      <c r="J14" s="47">
        <f>AVERAGE(C304,C312,C318,C302)</f>
        <v>0.49537500000000001</v>
      </c>
      <c r="K14" s="47">
        <f>AVERAGE(C303,C319,C321,C314)</f>
        <v>0.47362500000000002</v>
      </c>
      <c r="L14" s="47">
        <f>AVERAGE(C305,C320,C322,C311)</f>
        <v>0.47867499999999996</v>
      </c>
    </row>
    <row r="15" spans="1:15" x14ac:dyDescent="0.3">
      <c r="A15" s="34"/>
      <c r="B15" s="34"/>
      <c r="C15" s="34"/>
      <c r="D15" s="34"/>
      <c r="E15" s="25">
        <v>12</v>
      </c>
      <c r="F15" s="39">
        <v>45384</v>
      </c>
      <c r="G15" s="47">
        <f>AVERAGE(C335,C337,C344,C352)</f>
        <v>0.61409999999999998</v>
      </c>
      <c r="H15" s="47">
        <f>AVERAGE(C329,C338,C345,C351)</f>
        <v>0.65492499999999998</v>
      </c>
      <c r="I15" s="47">
        <f>AVERAGE(C334,C336,C341,C343)</f>
        <v>0.65597499999999997</v>
      </c>
      <c r="J15" s="47">
        <f>AVERAGE(C330,C332,C340,C346)</f>
        <v>0.63314999999999999</v>
      </c>
      <c r="K15" s="47">
        <f>AVERAGE(C331,C342,C347,C349)</f>
        <v>0.6099</v>
      </c>
      <c r="L15" s="47">
        <f>AVERAGE(C333,C339,C348,C350)</f>
        <v>0.67379999999999995</v>
      </c>
    </row>
    <row r="16" spans="1:15" x14ac:dyDescent="0.3">
      <c r="A16" s="34"/>
      <c r="B16" s="34"/>
      <c r="C16" s="34"/>
      <c r="D16" s="34"/>
      <c r="E16" s="25">
        <v>13</v>
      </c>
      <c r="F16" s="39">
        <v>45399</v>
      </c>
      <c r="G16" s="47">
        <f>AVERAGE(C380,C372,C365,C363)</f>
        <v>0.56729999999999992</v>
      </c>
      <c r="H16" s="47">
        <f>AVERAGE(C379,C373,C366,C357)</f>
        <v>0.60089999999999999</v>
      </c>
      <c r="I16" s="47">
        <f>AVERAGE(C371,C369,C364,C362)</f>
        <v>0.50827500000000003</v>
      </c>
      <c r="J16" s="47">
        <f>AVERAGE(C374,C368,C360,C358)</f>
        <v>0.66515000000000002</v>
      </c>
      <c r="K16" s="47">
        <f>AVERAGE(C377,C375,C370,C359)</f>
        <v>0.59700000000000009</v>
      </c>
      <c r="L16" s="47">
        <f>AVERAGE(C378,C376,C367,C361)</f>
        <v>0.67690000000000006</v>
      </c>
    </row>
    <row r="19" spans="1:4" ht="14.5" thickBot="1" x14ac:dyDescent="0.35">
      <c r="A19" s="1" t="s">
        <v>36</v>
      </c>
      <c r="B19" s="18">
        <v>45216</v>
      </c>
    </row>
    <row r="20" spans="1:4" x14ac:dyDescent="0.3">
      <c r="A20" s="22" t="s">
        <v>27</v>
      </c>
      <c r="B20" s="30" t="s">
        <v>26</v>
      </c>
      <c r="C20" s="23" t="s">
        <v>30</v>
      </c>
      <c r="D20" s="1"/>
    </row>
    <row r="21" spans="1:4" x14ac:dyDescent="0.3">
      <c r="A21" s="31">
        <v>1</v>
      </c>
      <c r="B21" s="9" t="s">
        <v>2</v>
      </c>
      <c r="C21" s="46">
        <v>0.69389999999999996</v>
      </c>
    </row>
    <row r="22" spans="1:4" x14ac:dyDescent="0.3">
      <c r="A22" s="31">
        <v>2</v>
      </c>
      <c r="B22" s="14" t="s">
        <v>3</v>
      </c>
      <c r="C22" s="46">
        <v>0.61660000000000004</v>
      </c>
    </row>
    <row r="23" spans="1:4" x14ac:dyDescent="0.3">
      <c r="A23" s="31">
        <v>3</v>
      </c>
      <c r="B23" s="12" t="s">
        <v>4</v>
      </c>
      <c r="C23" s="46">
        <v>0.61499999999999999</v>
      </c>
    </row>
    <row r="24" spans="1:4" x14ac:dyDescent="0.3">
      <c r="A24" s="31">
        <v>4</v>
      </c>
      <c r="B24" s="14" t="s">
        <v>5</v>
      </c>
      <c r="C24" s="46">
        <v>0.74199999999999999</v>
      </c>
    </row>
    <row r="25" spans="1:4" x14ac:dyDescent="0.3">
      <c r="A25" s="31">
        <v>5</v>
      </c>
      <c r="B25" s="20" t="s">
        <v>6</v>
      </c>
      <c r="C25" s="46">
        <v>0.74750000000000005</v>
      </c>
    </row>
    <row r="26" spans="1:4" x14ac:dyDescent="0.3">
      <c r="A26" s="31">
        <v>6</v>
      </c>
      <c r="B26" s="6" t="s">
        <v>7</v>
      </c>
      <c r="C26" s="46">
        <v>0.63639999999999997</v>
      </c>
    </row>
    <row r="27" spans="1:4" x14ac:dyDescent="0.3">
      <c r="A27" s="31">
        <v>7</v>
      </c>
      <c r="B27" s="21" t="s">
        <v>8</v>
      </c>
      <c r="C27" s="46">
        <v>0.61770000000000003</v>
      </c>
    </row>
    <row r="28" spans="1:4" x14ac:dyDescent="0.3">
      <c r="A28" s="31">
        <v>8</v>
      </c>
      <c r="B28" s="6" t="s">
        <v>9</v>
      </c>
      <c r="C28" s="46">
        <v>0.65110000000000001</v>
      </c>
    </row>
    <row r="29" spans="1:4" x14ac:dyDescent="0.3">
      <c r="A29" s="31">
        <v>9</v>
      </c>
      <c r="B29" s="21" t="s">
        <v>10</v>
      </c>
      <c r="C29" s="46">
        <v>0.61299999999999999</v>
      </c>
    </row>
    <row r="30" spans="1:4" x14ac:dyDescent="0.3">
      <c r="A30" s="31">
        <v>10</v>
      </c>
      <c r="B30" s="9" t="s">
        <v>11</v>
      </c>
      <c r="C30" s="46">
        <v>0.63990000000000002</v>
      </c>
    </row>
    <row r="31" spans="1:4" x14ac:dyDescent="0.3">
      <c r="A31" s="31">
        <v>11</v>
      </c>
      <c r="B31" s="20" t="s">
        <v>12</v>
      </c>
      <c r="C31" s="46">
        <v>0.68410000000000004</v>
      </c>
    </row>
    <row r="32" spans="1:4" x14ac:dyDescent="0.3">
      <c r="A32" s="31">
        <v>12</v>
      </c>
      <c r="B32" s="14" t="s">
        <v>13</v>
      </c>
      <c r="C32" s="46">
        <v>0.60680000000000001</v>
      </c>
    </row>
    <row r="33" spans="1:3" x14ac:dyDescent="0.3">
      <c r="A33" s="31">
        <v>13</v>
      </c>
      <c r="B33" s="6" t="s">
        <v>14</v>
      </c>
      <c r="C33" s="46">
        <v>0.63790000000000002</v>
      </c>
    </row>
    <row r="34" spans="1:3" x14ac:dyDescent="0.3">
      <c r="A34" s="31">
        <v>14</v>
      </c>
      <c r="B34" s="12" t="s">
        <v>15</v>
      </c>
      <c r="C34" s="46">
        <v>0.58409999999999995</v>
      </c>
    </row>
    <row r="35" spans="1:3" x14ac:dyDescent="0.3">
      <c r="A35" s="31">
        <v>15</v>
      </c>
      <c r="B35" s="6" t="s">
        <v>16</v>
      </c>
      <c r="C35" s="46">
        <v>0.65329999999999999</v>
      </c>
    </row>
    <row r="36" spans="1:3" x14ac:dyDescent="0.3">
      <c r="A36" s="31">
        <v>16</v>
      </c>
      <c r="B36" s="21" t="s">
        <v>17</v>
      </c>
      <c r="C36" s="46">
        <v>0.56220000000000003</v>
      </c>
    </row>
    <row r="37" spans="1:3" x14ac:dyDescent="0.3">
      <c r="A37" s="31">
        <v>17</v>
      </c>
      <c r="B37" s="9" t="s">
        <v>18</v>
      </c>
      <c r="C37" s="46">
        <v>0.59519999999999995</v>
      </c>
    </row>
    <row r="38" spans="1:3" x14ac:dyDescent="0.3">
      <c r="A38" s="31">
        <v>18</v>
      </c>
      <c r="B38" s="14" t="s">
        <v>19</v>
      </c>
      <c r="C38" s="46">
        <v>0.66469999999999996</v>
      </c>
    </row>
    <row r="39" spans="1:3" x14ac:dyDescent="0.3">
      <c r="A39" s="31">
        <v>19</v>
      </c>
      <c r="B39" s="12" t="s">
        <v>20</v>
      </c>
      <c r="C39" s="46">
        <v>0.57979999999999998</v>
      </c>
    </row>
    <row r="40" spans="1:3" x14ac:dyDescent="0.3">
      <c r="A40" s="31">
        <v>20</v>
      </c>
      <c r="B40" s="20" t="s">
        <v>21</v>
      </c>
      <c r="C40" s="46">
        <v>0.52990000000000004</v>
      </c>
    </row>
    <row r="41" spans="1:3" x14ac:dyDescent="0.3">
      <c r="A41" s="31">
        <v>21</v>
      </c>
      <c r="B41" s="12" t="s">
        <v>22</v>
      </c>
      <c r="C41" s="46">
        <v>0.58260000000000001</v>
      </c>
    </row>
    <row r="42" spans="1:3" x14ac:dyDescent="0.3">
      <c r="A42" s="31">
        <v>22</v>
      </c>
      <c r="B42" s="20" t="s">
        <v>23</v>
      </c>
      <c r="C42" s="46">
        <v>0.63849999999999996</v>
      </c>
    </row>
    <row r="43" spans="1:3" x14ac:dyDescent="0.3">
      <c r="A43" s="31">
        <v>23</v>
      </c>
      <c r="B43" s="9" t="s">
        <v>24</v>
      </c>
      <c r="C43" s="46">
        <v>0.60350000000000004</v>
      </c>
    </row>
    <row r="44" spans="1:3" ht="14.5" thickBot="1" x14ac:dyDescent="0.35">
      <c r="A44" s="32">
        <v>24</v>
      </c>
      <c r="B44" s="33" t="s">
        <v>25</v>
      </c>
      <c r="C44" s="46">
        <v>0.60309999999999997</v>
      </c>
    </row>
    <row r="47" spans="1:3" ht="14.5" thickBot="1" x14ac:dyDescent="0.35">
      <c r="A47" s="1" t="s">
        <v>36</v>
      </c>
      <c r="B47" s="18">
        <v>45229</v>
      </c>
    </row>
    <row r="48" spans="1:3" x14ac:dyDescent="0.3">
      <c r="A48" s="22" t="s">
        <v>27</v>
      </c>
      <c r="B48" s="30" t="s">
        <v>26</v>
      </c>
      <c r="C48" s="23" t="s">
        <v>30</v>
      </c>
    </row>
    <row r="49" spans="1:3" x14ac:dyDescent="0.3">
      <c r="A49" s="31">
        <v>1</v>
      </c>
      <c r="B49" s="9" t="s">
        <v>2</v>
      </c>
      <c r="C49" s="46">
        <v>0.66810000000000003</v>
      </c>
    </row>
    <row r="50" spans="1:3" x14ac:dyDescent="0.3">
      <c r="A50" s="31">
        <v>2</v>
      </c>
      <c r="B50" s="14" t="s">
        <v>3</v>
      </c>
      <c r="C50" s="46">
        <v>0.67879999999999996</v>
      </c>
    </row>
    <row r="51" spans="1:3" x14ac:dyDescent="0.3">
      <c r="A51" s="31">
        <v>3</v>
      </c>
      <c r="B51" s="12" t="s">
        <v>4</v>
      </c>
      <c r="C51" s="46">
        <v>0.7117</v>
      </c>
    </row>
    <row r="52" spans="1:3" x14ac:dyDescent="0.3">
      <c r="A52" s="31">
        <v>4</v>
      </c>
      <c r="B52" s="14" t="s">
        <v>5</v>
      </c>
      <c r="C52" s="46">
        <v>0.6915</v>
      </c>
    </row>
    <row r="53" spans="1:3" x14ac:dyDescent="0.3">
      <c r="A53" s="31">
        <v>5</v>
      </c>
      <c r="B53" s="20" t="s">
        <v>6</v>
      </c>
      <c r="C53" s="46">
        <v>0.70809999999999995</v>
      </c>
    </row>
    <row r="54" spans="1:3" x14ac:dyDescent="0.3">
      <c r="A54" s="31">
        <v>6</v>
      </c>
      <c r="B54" s="6" t="s">
        <v>7</v>
      </c>
      <c r="C54" s="46">
        <v>0.64449999999999996</v>
      </c>
    </row>
    <row r="55" spans="1:3" x14ac:dyDescent="0.3">
      <c r="A55" s="31">
        <v>7</v>
      </c>
      <c r="B55" s="21" t="s">
        <v>8</v>
      </c>
      <c r="C55" s="46">
        <v>0.6835</v>
      </c>
    </row>
    <row r="56" spans="1:3" x14ac:dyDescent="0.3">
      <c r="A56" s="31">
        <v>8</v>
      </c>
      <c r="B56" s="6" t="s">
        <v>9</v>
      </c>
      <c r="C56" s="46">
        <v>0.72750000000000004</v>
      </c>
    </row>
    <row r="57" spans="1:3" x14ac:dyDescent="0.3">
      <c r="A57" s="31">
        <v>9</v>
      </c>
      <c r="B57" s="21" t="s">
        <v>10</v>
      </c>
      <c r="C57" s="46">
        <v>0.5544</v>
      </c>
    </row>
    <row r="58" spans="1:3" x14ac:dyDescent="0.3">
      <c r="A58" s="31">
        <v>10</v>
      </c>
      <c r="B58" s="9" t="s">
        <v>11</v>
      </c>
      <c r="C58" s="46">
        <v>0.66710000000000003</v>
      </c>
    </row>
    <row r="59" spans="1:3" x14ac:dyDescent="0.3">
      <c r="A59" s="31">
        <v>11</v>
      </c>
      <c r="B59" s="20" t="s">
        <v>12</v>
      </c>
      <c r="C59" s="46">
        <v>0.70050000000000001</v>
      </c>
    </row>
    <row r="60" spans="1:3" x14ac:dyDescent="0.3">
      <c r="A60" s="31">
        <v>12</v>
      </c>
      <c r="B60" s="14" t="s">
        <v>13</v>
      </c>
      <c r="C60" s="46">
        <v>0.65300000000000002</v>
      </c>
    </row>
    <row r="61" spans="1:3" x14ac:dyDescent="0.3">
      <c r="A61" s="31">
        <v>13</v>
      </c>
      <c r="B61" s="6" t="s">
        <v>14</v>
      </c>
      <c r="C61" s="46">
        <v>0.67169999999999996</v>
      </c>
    </row>
    <row r="62" spans="1:3" x14ac:dyDescent="0.3">
      <c r="A62" s="31">
        <v>14</v>
      </c>
      <c r="B62" s="12" t="s">
        <v>15</v>
      </c>
      <c r="C62" s="46">
        <v>0.67279999999999995</v>
      </c>
    </row>
    <row r="63" spans="1:3" x14ac:dyDescent="0.3">
      <c r="A63" s="31">
        <v>15</v>
      </c>
      <c r="B63" s="6" t="s">
        <v>16</v>
      </c>
      <c r="C63" s="46">
        <v>0.70150000000000001</v>
      </c>
    </row>
    <row r="64" spans="1:3" x14ac:dyDescent="0.3">
      <c r="A64" s="31">
        <v>16</v>
      </c>
      <c r="B64" s="21" t="s">
        <v>17</v>
      </c>
      <c r="C64" s="46">
        <v>0.65239999999999998</v>
      </c>
    </row>
    <row r="65" spans="1:3" x14ac:dyDescent="0.3">
      <c r="A65" s="31">
        <v>17</v>
      </c>
      <c r="B65" s="9" t="s">
        <v>18</v>
      </c>
      <c r="C65" s="46">
        <v>0.69989999999999997</v>
      </c>
    </row>
    <row r="66" spans="1:3" x14ac:dyDescent="0.3">
      <c r="A66" s="31">
        <v>18</v>
      </c>
      <c r="B66" s="14" t="s">
        <v>19</v>
      </c>
      <c r="C66" s="46">
        <v>0.70709999999999995</v>
      </c>
    </row>
    <row r="67" spans="1:3" x14ac:dyDescent="0.3">
      <c r="A67" s="31">
        <v>19</v>
      </c>
      <c r="B67" s="12" t="s">
        <v>20</v>
      </c>
      <c r="C67" s="46">
        <v>0.65010000000000001</v>
      </c>
    </row>
    <row r="68" spans="1:3" x14ac:dyDescent="0.3">
      <c r="A68" s="31">
        <v>20</v>
      </c>
      <c r="B68" s="20" t="s">
        <v>21</v>
      </c>
      <c r="C68" s="46">
        <v>0.622</v>
      </c>
    </row>
    <row r="69" spans="1:3" x14ac:dyDescent="0.3">
      <c r="A69" s="31">
        <v>21</v>
      </c>
      <c r="B69" s="12" t="s">
        <v>22</v>
      </c>
      <c r="C69" s="46">
        <v>0.63160000000000005</v>
      </c>
    </row>
    <row r="70" spans="1:3" x14ac:dyDescent="0.3">
      <c r="A70" s="31">
        <v>22</v>
      </c>
      <c r="B70" s="20" t="s">
        <v>23</v>
      </c>
      <c r="C70" s="46">
        <v>0.70940000000000003</v>
      </c>
    </row>
    <row r="71" spans="1:3" x14ac:dyDescent="0.3">
      <c r="A71" s="31">
        <v>23</v>
      </c>
      <c r="B71" s="9" t="s">
        <v>24</v>
      </c>
      <c r="C71" s="46">
        <v>0.69299999999999995</v>
      </c>
    </row>
    <row r="72" spans="1:3" ht="14.5" thickBot="1" x14ac:dyDescent="0.35">
      <c r="A72" s="32">
        <v>24</v>
      </c>
      <c r="B72" s="33" t="s">
        <v>25</v>
      </c>
      <c r="C72" s="46">
        <v>0.65229999999999999</v>
      </c>
    </row>
    <row r="75" spans="1:3" ht="14.5" thickBot="1" x14ac:dyDescent="0.35">
      <c r="A75" s="1" t="s">
        <v>36</v>
      </c>
      <c r="B75" s="18">
        <v>45243</v>
      </c>
    </row>
    <row r="76" spans="1:3" x14ac:dyDescent="0.3">
      <c r="A76" s="22" t="s">
        <v>27</v>
      </c>
      <c r="B76" s="30" t="s">
        <v>26</v>
      </c>
      <c r="C76" s="23" t="s">
        <v>30</v>
      </c>
    </row>
    <row r="77" spans="1:3" x14ac:dyDescent="0.3">
      <c r="A77" s="31">
        <v>1</v>
      </c>
      <c r="B77" s="9" t="s">
        <v>2</v>
      </c>
      <c r="C77" s="46">
        <v>0.85540000000000005</v>
      </c>
    </row>
    <row r="78" spans="1:3" x14ac:dyDescent="0.3">
      <c r="A78" s="31">
        <v>2</v>
      </c>
      <c r="B78" s="14" t="s">
        <v>3</v>
      </c>
      <c r="C78" s="46">
        <v>0.88580000000000003</v>
      </c>
    </row>
    <row r="79" spans="1:3" x14ac:dyDescent="0.3">
      <c r="A79" s="31">
        <v>3</v>
      </c>
      <c r="B79" s="12" t="s">
        <v>4</v>
      </c>
      <c r="C79" s="46">
        <v>0.88580000000000003</v>
      </c>
    </row>
    <row r="80" spans="1:3" x14ac:dyDescent="0.3">
      <c r="A80" s="31">
        <v>4</v>
      </c>
      <c r="B80" s="14" t="s">
        <v>5</v>
      </c>
      <c r="C80" s="46">
        <v>0.89729999999999999</v>
      </c>
    </row>
    <row r="81" spans="1:3" x14ac:dyDescent="0.3">
      <c r="A81" s="31">
        <v>5</v>
      </c>
      <c r="B81" s="20" t="s">
        <v>6</v>
      </c>
      <c r="C81" s="46">
        <v>0.87770000000000004</v>
      </c>
    </row>
    <row r="82" spans="1:3" x14ac:dyDescent="0.3">
      <c r="A82" s="31">
        <v>6</v>
      </c>
      <c r="B82" s="6" t="s">
        <v>7</v>
      </c>
      <c r="C82" s="46">
        <v>0.81779999999999997</v>
      </c>
    </row>
    <row r="83" spans="1:3" x14ac:dyDescent="0.3">
      <c r="A83" s="31">
        <v>7</v>
      </c>
      <c r="B83" s="21" t="s">
        <v>8</v>
      </c>
      <c r="C83" s="46">
        <v>0.87980000000000003</v>
      </c>
    </row>
    <row r="84" spans="1:3" x14ac:dyDescent="0.3">
      <c r="A84" s="31">
        <v>8</v>
      </c>
      <c r="B84" s="6" t="s">
        <v>9</v>
      </c>
      <c r="C84" s="46">
        <v>0.82299999999999995</v>
      </c>
    </row>
    <row r="85" spans="1:3" x14ac:dyDescent="0.3">
      <c r="A85" s="31">
        <v>9</v>
      </c>
      <c r="B85" s="21" t="s">
        <v>10</v>
      </c>
      <c r="C85" s="46">
        <v>0.77359999999999995</v>
      </c>
    </row>
    <row r="86" spans="1:3" x14ac:dyDescent="0.3">
      <c r="A86" s="31">
        <v>10</v>
      </c>
      <c r="B86" s="9" t="s">
        <v>11</v>
      </c>
      <c r="C86" s="46">
        <v>0.91439999999999999</v>
      </c>
    </row>
    <row r="87" spans="1:3" x14ac:dyDescent="0.3">
      <c r="A87" s="31">
        <v>11</v>
      </c>
      <c r="B87" s="20" t="s">
        <v>12</v>
      </c>
      <c r="C87" s="46">
        <v>0.77669999999999995</v>
      </c>
    </row>
    <row r="88" spans="1:3" x14ac:dyDescent="0.3">
      <c r="A88" s="31">
        <v>12</v>
      </c>
      <c r="B88" s="14" t="s">
        <v>13</v>
      </c>
      <c r="C88" s="46">
        <v>0.84470000000000001</v>
      </c>
    </row>
    <row r="89" spans="1:3" x14ac:dyDescent="0.3">
      <c r="A89" s="31">
        <v>13</v>
      </c>
      <c r="B89" s="6" t="s">
        <v>14</v>
      </c>
      <c r="C89" s="46">
        <v>0.89139999999999997</v>
      </c>
    </row>
    <row r="90" spans="1:3" x14ac:dyDescent="0.3">
      <c r="A90" s="31">
        <v>14</v>
      </c>
      <c r="B90" s="12" t="s">
        <v>15</v>
      </c>
      <c r="C90" s="46">
        <v>0.84289999999999998</v>
      </c>
    </row>
    <row r="91" spans="1:3" x14ac:dyDescent="0.3">
      <c r="A91" s="31">
        <v>15</v>
      </c>
      <c r="B91" s="6" t="s">
        <v>16</v>
      </c>
      <c r="C91" s="46">
        <v>0.85980000000000001</v>
      </c>
    </row>
    <row r="92" spans="1:3" x14ac:dyDescent="0.3">
      <c r="A92" s="31">
        <v>16</v>
      </c>
      <c r="B92" s="21" t="s">
        <v>17</v>
      </c>
      <c r="C92" s="46">
        <v>0.84850000000000003</v>
      </c>
    </row>
    <row r="93" spans="1:3" x14ac:dyDescent="0.3">
      <c r="A93" s="31">
        <v>17</v>
      </c>
      <c r="B93" s="9" t="s">
        <v>18</v>
      </c>
      <c r="C93" s="46">
        <v>0.873</v>
      </c>
    </row>
    <row r="94" spans="1:3" x14ac:dyDescent="0.3">
      <c r="A94" s="31">
        <v>18</v>
      </c>
      <c r="B94" s="14" t="s">
        <v>19</v>
      </c>
      <c r="C94" s="46">
        <v>0.86499999999999999</v>
      </c>
    </row>
    <row r="95" spans="1:3" x14ac:dyDescent="0.3">
      <c r="A95" s="31">
        <v>19</v>
      </c>
      <c r="B95" s="12" t="s">
        <v>20</v>
      </c>
      <c r="C95" s="46">
        <v>0.86529999999999996</v>
      </c>
    </row>
    <row r="96" spans="1:3" x14ac:dyDescent="0.3">
      <c r="A96" s="31">
        <v>20</v>
      </c>
      <c r="B96" s="20" t="s">
        <v>21</v>
      </c>
      <c r="C96" s="46">
        <v>0.78169999999999995</v>
      </c>
    </row>
    <row r="97" spans="1:3" x14ac:dyDescent="0.3">
      <c r="A97" s="31">
        <v>21</v>
      </c>
      <c r="B97" s="12" t="s">
        <v>22</v>
      </c>
      <c r="C97" s="46">
        <v>0.81540000000000001</v>
      </c>
    </row>
    <row r="98" spans="1:3" x14ac:dyDescent="0.3">
      <c r="A98" s="31">
        <v>22</v>
      </c>
      <c r="B98" s="20" t="s">
        <v>23</v>
      </c>
      <c r="C98" s="46">
        <v>0.86899999999999999</v>
      </c>
    </row>
    <row r="99" spans="1:3" x14ac:dyDescent="0.3">
      <c r="A99" s="31">
        <v>23</v>
      </c>
      <c r="B99" s="9" t="s">
        <v>24</v>
      </c>
      <c r="C99" s="46">
        <v>0.86660000000000004</v>
      </c>
    </row>
    <row r="100" spans="1:3" ht="14.5" thickBot="1" x14ac:dyDescent="0.35">
      <c r="A100" s="32">
        <v>24</v>
      </c>
      <c r="B100" s="33" t="s">
        <v>25</v>
      </c>
      <c r="C100" s="48">
        <v>0.84799999999999998</v>
      </c>
    </row>
    <row r="103" spans="1:3" ht="14.5" thickBot="1" x14ac:dyDescent="0.35">
      <c r="A103" s="1" t="s">
        <v>36</v>
      </c>
      <c r="B103" s="18">
        <v>45257</v>
      </c>
    </row>
    <row r="104" spans="1:3" x14ac:dyDescent="0.3">
      <c r="A104" s="22" t="s">
        <v>27</v>
      </c>
      <c r="B104" s="30" t="s">
        <v>26</v>
      </c>
      <c r="C104" s="23" t="s">
        <v>30</v>
      </c>
    </row>
    <row r="105" spans="1:3" x14ac:dyDescent="0.3">
      <c r="A105" s="31">
        <v>1</v>
      </c>
      <c r="B105" s="9" t="s">
        <v>2</v>
      </c>
      <c r="C105" s="46">
        <v>0.75990000000000002</v>
      </c>
    </row>
    <row r="106" spans="1:3" x14ac:dyDescent="0.3">
      <c r="A106" s="31">
        <v>2</v>
      </c>
      <c r="B106" s="14" t="s">
        <v>3</v>
      </c>
      <c r="C106" s="46">
        <v>0.7298</v>
      </c>
    </row>
    <row r="107" spans="1:3" x14ac:dyDescent="0.3">
      <c r="A107" s="31">
        <v>3</v>
      </c>
      <c r="B107" s="12" t="s">
        <v>4</v>
      </c>
      <c r="C107" s="46">
        <v>0.75490000000000002</v>
      </c>
    </row>
    <row r="108" spans="1:3" x14ac:dyDescent="0.3">
      <c r="A108" s="31">
        <v>4</v>
      </c>
      <c r="B108" s="14" t="s">
        <v>5</v>
      </c>
      <c r="C108" s="46">
        <v>0.72550000000000003</v>
      </c>
    </row>
    <row r="109" spans="1:3" x14ac:dyDescent="0.3">
      <c r="A109" s="31">
        <v>5</v>
      </c>
      <c r="B109" s="20" t="s">
        <v>6</v>
      </c>
      <c r="C109" s="46">
        <v>0.77059999999999995</v>
      </c>
    </row>
    <row r="110" spans="1:3" x14ac:dyDescent="0.3">
      <c r="A110" s="31">
        <v>6</v>
      </c>
      <c r="B110" s="6" t="s">
        <v>7</v>
      </c>
      <c r="C110" s="46">
        <v>0.70679999999999998</v>
      </c>
    </row>
    <row r="111" spans="1:3" x14ac:dyDescent="0.3">
      <c r="A111" s="31">
        <v>7</v>
      </c>
      <c r="B111" s="21" t="s">
        <v>8</v>
      </c>
      <c r="C111" s="46">
        <v>0.67069999999999996</v>
      </c>
    </row>
    <row r="112" spans="1:3" x14ac:dyDescent="0.3">
      <c r="A112" s="31">
        <v>8</v>
      </c>
      <c r="B112" s="6" t="s">
        <v>9</v>
      </c>
      <c r="C112" s="46">
        <v>0.75719999999999998</v>
      </c>
    </row>
    <row r="113" spans="1:6" x14ac:dyDescent="0.3">
      <c r="A113" s="31">
        <v>9</v>
      </c>
      <c r="B113" s="21" t="s">
        <v>10</v>
      </c>
      <c r="C113" s="46">
        <v>0.68789999999999996</v>
      </c>
    </row>
    <row r="114" spans="1:6" x14ac:dyDescent="0.3">
      <c r="A114" s="31">
        <v>10</v>
      </c>
      <c r="B114" s="9" t="s">
        <v>11</v>
      </c>
      <c r="C114" s="46">
        <v>0.73519999999999996</v>
      </c>
    </row>
    <row r="115" spans="1:6" x14ac:dyDescent="0.3">
      <c r="A115" s="31">
        <v>11</v>
      </c>
      <c r="B115" s="20" t="s">
        <v>12</v>
      </c>
      <c r="C115" s="46">
        <v>0.7107</v>
      </c>
    </row>
    <row r="116" spans="1:6" x14ac:dyDescent="0.3">
      <c r="A116" s="31">
        <v>12</v>
      </c>
      <c r="B116" s="14" t="s">
        <v>13</v>
      </c>
      <c r="C116" s="46">
        <v>0.73580000000000001</v>
      </c>
    </row>
    <row r="117" spans="1:6" x14ac:dyDescent="0.3">
      <c r="A117" s="31">
        <v>13</v>
      </c>
      <c r="B117" s="6" t="s">
        <v>14</v>
      </c>
      <c r="C117" s="46">
        <v>0.74119999999999997</v>
      </c>
    </row>
    <row r="118" spans="1:6" x14ac:dyDescent="0.3">
      <c r="A118" s="31">
        <v>14</v>
      </c>
      <c r="B118" s="12" t="s">
        <v>15</v>
      </c>
      <c r="C118" s="46">
        <v>0.75309999999999999</v>
      </c>
    </row>
    <row r="119" spans="1:6" x14ac:dyDescent="0.3">
      <c r="A119" s="31">
        <v>15</v>
      </c>
      <c r="B119" s="6" t="s">
        <v>16</v>
      </c>
      <c r="C119" s="46">
        <v>0.6976</v>
      </c>
    </row>
    <row r="120" spans="1:6" x14ac:dyDescent="0.3">
      <c r="A120" s="31">
        <v>16</v>
      </c>
      <c r="B120" s="21" t="s">
        <v>17</v>
      </c>
      <c r="C120" s="46">
        <v>0.65169999999999995</v>
      </c>
    </row>
    <row r="121" spans="1:6" x14ac:dyDescent="0.3">
      <c r="A121" s="31">
        <v>17</v>
      </c>
      <c r="B121" s="9" t="s">
        <v>18</v>
      </c>
      <c r="C121" s="46">
        <v>0.77129999999999999</v>
      </c>
    </row>
    <row r="122" spans="1:6" x14ac:dyDescent="0.3">
      <c r="A122" s="31">
        <v>18</v>
      </c>
      <c r="B122" s="14" t="s">
        <v>19</v>
      </c>
      <c r="C122" s="46">
        <v>0.75380000000000003</v>
      </c>
    </row>
    <row r="123" spans="1:6" x14ac:dyDescent="0.3">
      <c r="A123" s="31">
        <v>19</v>
      </c>
      <c r="B123" s="12" t="s">
        <v>20</v>
      </c>
      <c r="C123" s="46">
        <v>0.75409999999999999</v>
      </c>
    </row>
    <row r="124" spans="1:6" x14ac:dyDescent="0.3">
      <c r="A124" s="31">
        <v>20</v>
      </c>
      <c r="B124" s="20" t="s">
        <v>21</v>
      </c>
      <c r="C124" s="46">
        <v>0.6865</v>
      </c>
    </row>
    <row r="125" spans="1:6" x14ac:dyDescent="0.3">
      <c r="A125" s="31">
        <v>21</v>
      </c>
      <c r="B125" s="12" t="s">
        <v>22</v>
      </c>
      <c r="C125" s="46">
        <v>0.69650000000000001</v>
      </c>
    </row>
    <row r="126" spans="1:6" x14ac:dyDescent="0.3">
      <c r="A126" s="31">
        <v>22</v>
      </c>
      <c r="B126" s="20" t="s">
        <v>23</v>
      </c>
      <c r="C126" s="46">
        <v>0.74580000000000002</v>
      </c>
      <c r="F126" t="s">
        <v>67</v>
      </c>
    </row>
    <row r="127" spans="1:6" x14ac:dyDescent="0.3">
      <c r="A127" s="31">
        <v>23</v>
      </c>
      <c r="B127" s="9" t="s">
        <v>24</v>
      </c>
      <c r="C127" s="46">
        <v>0.755</v>
      </c>
    </row>
    <row r="128" spans="1:6" ht="14.5" thickBot="1" x14ac:dyDescent="0.35">
      <c r="A128" s="32">
        <v>24</v>
      </c>
      <c r="B128" s="33" t="s">
        <v>25</v>
      </c>
      <c r="C128" s="48">
        <v>0.70620000000000005</v>
      </c>
    </row>
    <row r="131" spans="1:3" ht="14.5" thickBot="1" x14ac:dyDescent="0.35">
      <c r="A131" s="1" t="s">
        <v>36</v>
      </c>
      <c r="B131" s="18">
        <v>45271</v>
      </c>
    </row>
    <row r="132" spans="1:3" x14ac:dyDescent="0.3">
      <c r="A132" s="22" t="s">
        <v>27</v>
      </c>
      <c r="B132" s="30" t="s">
        <v>26</v>
      </c>
      <c r="C132" s="23" t="s">
        <v>30</v>
      </c>
    </row>
    <row r="133" spans="1:3" x14ac:dyDescent="0.3">
      <c r="A133" s="31">
        <v>1</v>
      </c>
      <c r="B133" s="9" t="s">
        <v>2</v>
      </c>
      <c r="C133" s="46">
        <v>0.87609999999999999</v>
      </c>
    </row>
    <row r="134" spans="1:3" x14ac:dyDescent="0.3">
      <c r="A134" s="31">
        <v>2</v>
      </c>
      <c r="B134" s="14" t="s">
        <v>3</v>
      </c>
      <c r="C134" s="46">
        <v>0.80689999999999995</v>
      </c>
    </row>
    <row r="135" spans="1:3" x14ac:dyDescent="0.3">
      <c r="A135" s="31">
        <v>3</v>
      </c>
      <c r="B135" s="12" t="s">
        <v>4</v>
      </c>
      <c r="C135" s="46">
        <v>0.89449999999999996</v>
      </c>
    </row>
    <row r="136" spans="1:3" x14ac:dyDescent="0.3">
      <c r="A136" s="31">
        <v>4</v>
      </c>
      <c r="B136" s="14" t="s">
        <v>5</v>
      </c>
      <c r="C136" s="46">
        <v>0.81679999999999997</v>
      </c>
    </row>
    <row r="137" spans="1:3" x14ac:dyDescent="0.3">
      <c r="A137" s="31">
        <v>5</v>
      </c>
      <c r="B137" s="20" t="s">
        <v>6</v>
      </c>
      <c r="C137" s="46">
        <v>0.88890000000000002</v>
      </c>
    </row>
    <row r="138" spans="1:3" x14ac:dyDescent="0.3">
      <c r="A138" s="31">
        <v>6</v>
      </c>
      <c r="B138" s="6" t="s">
        <v>7</v>
      </c>
      <c r="C138" s="46">
        <v>0.84930000000000005</v>
      </c>
    </row>
    <row r="139" spans="1:3" x14ac:dyDescent="0.3">
      <c r="A139" s="31">
        <v>7</v>
      </c>
      <c r="B139" s="21" t="s">
        <v>8</v>
      </c>
      <c r="C139" s="46">
        <v>0.89580000000000004</v>
      </c>
    </row>
    <row r="140" spans="1:3" x14ac:dyDescent="0.3">
      <c r="A140" s="31">
        <v>8</v>
      </c>
      <c r="B140" s="6" t="s">
        <v>9</v>
      </c>
      <c r="C140" s="46">
        <v>0.46450000000000002</v>
      </c>
    </row>
    <row r="141" spans="1:3" x14ac:dyDescent="0.3">
      <c r="A141" s="31">
        <v>9</v>
      </c>
      <c r="B141" s="21" t="s">
        <v>10</v>
      </c>
      <c r="C141" s="46">
        <v>0.76160000000000005</v>
      </c>
    </row>
    <row r="142" spans="1:3" x14ac:dyDescent="0.3">
      <c r="A142" s="31">
        <v>10</v>
      </c>
      <c r="B142" s="9" t="s">
        <v>11</v>
      </c>
      <c r="C142" s="46">
        <v>0.80859999999999999</v>
      </c>
    </row>
    <row r="143" spans="1:3" x14ac:dyDescent="0.3">
      <c r="A143" s="31">
        <v>11</v>
      </c>
      <c r="B143" s="20" t="s">
        <v>12</v>
      </c>
      <c r="C143" s="46">
        <v>0.81989999999999996</v>
      </c>
    </row>
    <row r="144" spans="1:3" x14ac:dyDescent="0.3">
      <c r="A144" s="31">
        <v>12</v>
      </c>
      <c r="B144" s="14" t="s">
        <v>13</v>
      </c>
      <c r="C144" s="46">
        <v>0.75260000000000005</v>
      </c>
    </row>
    <row r="145" spans="1:3" x14ac:dyDescent="0.3">
      <c r="A145" s="31">
        <v>13</v>
      </c>
      <c r="B145" s="6" t="s">
        <v>14</v>
      </c>
      <c r="C145" s="46">
        <v>0.83919999999999995</v>
      </c>
    </row>
    <row r="146" spans="1:3" x14ac:dyDescent="0.3">
      <c r="A146" s="31">
        <v>14</v>
      </c>
      <c r="B146" s="12" t="s">
        <v>15</v>
      </c>
      <c r="C146" s="46">
        <v>0.89300000000000002</v>
      </c>
    </row>
    <row r="147" spans="1:3" x14ac:dyDescent="0.3">
      <c r="A147" s="31">
        <v>15</v>
      </c>
      <c r="B147" s="6" t="s">
        <v>16</v>
      </c>
      <c r="C147" s="46">
        <v>0.82509999999999994</v>
      </c>
    </row>
    <row r="148" spans="1:3" x14ac:dyDescent="0.3">
      <c r="A148" s="31">
        <v>16</v>
      </c>
      <c r="B148" s="21" t="s">
        <v>17</v>
      </c>
      <c r="C148" s="46">
        <v>0.75149999999999995</v>
      </c>
    </row>
    <row r="149" spans="1:3" x14ac:dyDescent="0.3">
      <c r="A149" s="31">
        <v>17</v>
      </c>
      <c r="B149" s="9" t="s">
        <v>18</v>
      </c>
      <c r="C149" s="46">
        <v>0.90739999999999998</v>
      </c>
    </row>
    <row r="150" spans="1:3" x14ac:dyDescent="0.3">
      <c r="A150" s="31">
        <v>18</v>
      </c>
      <c r="B150" s="14" t="s">
        <v>19</v>
      </c>
      <c r="C150" s="46">
        <v>0.81589999999999996</v>
      </c>
    </row>
    <row r="151" spans="1:3" x14ac:dyDescent="0.3">
      <c r="A151" s="31">
        <v>19</v>
      </c>
      <c r="B151" s="12" t="s">
        <v>20</v>
      </c>
      <c r="C151" s="46">
        <v>0.85870000000000002</v>
      </c>
    </row>
    <row r="152" spans="1:3" x14ac:dyDescent="0.3">
      <c r="A152" s="31">
        <v>20</v>
      </c>
      <c r="B152" s="20" t="s">
        <v>21</v>
      </c>
      <c r="C152" s="46">
        <v>0.78769999999999996</v>
      </c>
    </row>
    <row r="153" spans="1:3" x14ac:dyDescent="0.3">
      <c r="A153" s="31">
        <v>21</v>
      </c>
      <c r="B153" s="12" t="s">
        <v>22</v>
      </c>
      <c r="C153" s="46">
        <v>0.82140000000000002</v>
      </c>
    </row>
    <row r="154" spans="1:3" x14ac:dyDescent="0.3">
      <c r="A154" s="31">
        <v>22</v>
      </c>
      <c r="B154" s="20" t="s">
        <v>23</v>
      </c>
      <c r="C154" s="46">
        <v>0.83850000000000002</v>
      </c>
    </row>
    <row r="155" spans="1:3" x14ac:dyDescent="0.3">
      <c r="A155" s="31">
        <v>23</v>
      </c>
      <c r="B155" s="9" t="s">
        <v>24</v>
      </c>
      <c r="C155" s="46">
        <v>0.86650000000000005</v>
      </c>
    </row>
    <row r="156" spans="1:3" ht="14.5" thickBot="1" x14ac:dyDescent="0.35">
      <c r="A156" s="32">
        <v>24</v>
      </c>
      <c r="B156" s="33" t="s">
        <v>25</v>
      </c>
      <c r="C156" s="48">
        <v>0.73509999999999998</v>
      </c>
    </row>
    <row r="159" spans="1:3" ht="14.5" thickBot="1" x14ac:dyDescent="0.35">
      <c r="A159" s="1" t="s">
        <v>36</v>
      </c>
      <c r="B159" s="18">
        <v>45287</v>
      </c>
    </row>
    <row r="160" spans="1:3" x14ac:dyDescent="0.3">
      <c r="A160" s="22" t="s">
        <v>27</v>
      </c>
      <c r="B160" s="30" t="s">
        <v>26</v>
      </c>
      <c r="C160" s="23" t="s">
        <v>30</v>
      </c>
    </row>
    <row r="161" spans="1:3" x14ac:dyDescent="0.3">
      <c r="A161" s="31">
        <v>1</v>
      </c>
      <c r="B161" s="9" t="s">
        <v>2</v>
      </c>
      <c r="C161" s="46">
        <v>0.79300000000000004</v>
      </c>
    </row>
    <row r="162" spans="1:3" x14ac:dyDescent="0.3">
      <c r="A162" s="31">
        <v>2</v>
      </c>
      <c r="B162" s="14" t="s">
        <v>3</v>
      </c>
      <c r="C162" s="46">
        <v>0.82789999999999997</v>
      </c>
    </row>
    <row r="163" spans="1:3" x14ac:dyDescent="0.3">
      <c r="A163" s="31">
        <v>3</v>
      </c>
      <c r="B163" s="12" t="s">
        <v>4</v>
      </c>
      <c r="C163" s="46">
        <v>0.88539999999999996</v>
      </c>
    </row>
    <row r="164" spans="1:3" x14ac:dyDescent="0.3">
      <c r="A164" s="31">
        <v>4</v>
      </c>
      <c r="B164" s="14" t="s">
        <v>5</v>
      </c>
      <c r="C164" s="46">
        <v>0.86570000000000003</v>
      </c>
    </row>
    <row r="165" spans="1:3" x14ac:dyDescent="0.3">
      <c r="A165" s="31">
        <v>5</v>
      </c>
      <c r="B165" s="20" t="s">
        <v>6</v>
      </c>
      <c r="C165" s="46">
        <v>0.81269999999999998</v>
      </c>
    </row>
    <row r="166" spans="1:3" x14ac:dyDescent="0.3">
      <c r="A166" s="31">
        <v>6</v>
      </c>
      <c r="B166" s="6" t="s">
        <v>7</v>
      </c>
      <c r="C166" s="46">
        <v>0.83440000000000003</v>
      </c>
    </row>
    <row r="167" spans="1:3" x14ac:dyDescent="0.3">
      <c r="A167" s="31">
        <v>7</v>
      </c>
      <c r="B167" s="21" t="s">
        <v>8</v>
      </c>
      <c r="C167" s="46">
        <v>0.69499999999999995</v>
      </c>
    </row>
    <row r="168" spans="1:3" x14ac:dyDescent="0.3">
      <c r="A168" s="31">
        <v>8</v>
      </c>
      <c r="B168" s="6" t="s">
        <v>9</v>
      </c>
      <c r="C168" s="46">
        <v>0.88539999999999996</v>
      </c>
    </row>
    <row r="169" spans="1:3" x14ac:dyDescent="0.3">
      <c r="A169" s="31">
        <v>9</v>
      </c>
      <c r="B169" s="21" t="s">
        <v>10</v>
      </c>
      <c r="C169" s="46">
        <v>0.83950000000000002</v>
      </c>
    </row>
    <row r="170" spans="1:3" x14ac:dyDescent="0.3">
      <c r="A170" s="31">
        <v>10</v>
      </c>
      <c r="B170" s="9" t="s">
        <v>11</v>
      </c>
      <c r="C170" s="46">
        <v>0.88870000000000005</v>
      </c>
    </row>
    <row r="171" spans="1:3" x14ac:dyDescent="0.3">
      <c r="A171" s="31">
        <v>11</v>
      </c>
      <c r="B171" s="20" t="s">
        <v>12</v>
      </c>
      <c r="C171" s="46">
        <v>0.72119999999999995</v>
      </c>
    </row>
    <row r="172" spans="1:3" x14ac:dyDescent="0.3">
      <c r="A172" s="31">
        <v>12</v>
      </c>
      <c r="B172" s="14" t="s">
        <v>13</v>
      </c>
      <c r="C172" s="46">
        <v>0.70550000000000002</v>
      </c>
    </row>
    <row r="173" spans="1:3" x14ac:dyDescent="0.3">
      <c r="A173" s="31">
        <v>13</v>
      </c>
      <c r="B173" s="6" t="s">
        <v>14</v>
      </c>
      <c r="C173" s="46">
        <v>0.88500000000000001</v>
      </c>
    </row>
    <row r="174" spans="1:3" x14ac:dyDescent="0.3">
      <c r="A174" s="31">
        <v>14</v>
      </c>
      <c r="B174" s="12" t="s">
        <v>15</v>
      </c>
      <c r="C174" s="46">
        <v>0.87490000000000001</v>
      </c>
    </row>
    <row r="175" spans="1:3" x14ac:dyDescent="0.3">
      <c r="A175" s="31">
        <v>15</v>
      </c>
      <c r="B175" s="6" t="s">
        <v>16</v>
      </c>
      <c r="C175" s="46">
        <v>0.82979999999999998</v>
      </c>
    </row>
    <row r="176" spans="1:3" x14ac:dyDescent="0.3">
      <c r="A176" s="31">
        <v>16</v>
      </c>
      <c r="B176" s="21" t="s">
        <v>17</v>
      </c>
      <c r="C176" s="46">
        <v>0.75639999999999996</v>
      </c>
    </row>
    <row r="177" spans="1:3" x14ac:dyDescent="0.3">
      <c r="A177" s="31">
        <v>17</v>
      </c>
      <c r="B177" s="9" t="s">
        <v>18</v>
      </c>
      <c r="C177" s="46">
        <v>0.88029999999999997</v>
      </c>
    </row>
    <row r="178" spans="1:3" x14ac:dyDescent="0.3">
      <c r="A178" s="31">
        <v>18</v>
      </c>
      <c r="B178" s="14" t="s">
        <v>19</v>
      </c>
      <c r="C178" s="46">
        <v>0.85260000000000002</v>
      </c>
    </row>
    <row r="179" spans="1:3" x14ac:dyDescent="0.3">
      <c r="A179" s="31">
        <v>19</v>
      </c>
      <c r="B179" s="12" t="s">
        <v>20</v>
      </c>
      <c r="C179" s="46">
        <v>0.80310000000000004</v>
      </c>
    </row>
    <row r="180" spans="1:3" x14ac:dyDescent="0.3">
      <c r="A180" s="31">
        <v>20</v>
      </c>
      <c r="B180" s="20" t="s">
        <v>21</v>
      </c>
      <c r="C180" s="46">
        <v>0.81189999999999996</v>
      </c>
    </row>
    <row r="181" spans="1:3" x14ac:dyDescent="0.3">
      <c r="A181" s="31">
        <v>21</v>
      </c>
      <c r="B181" s="12" t="s">
        <v>22</v>
      </c>
      <c r="C181" s="46">
        <v>0.83540000000000003</v>
      </c>
    </row>
    <row r="182" spans="1:3" x14ac:dyDescent="0.3">
      <c r="A182" s="31">
        <v>22</v>
      </c>
      <c r="B182" s="20" t="s">
        <v>23</v>
      </c>
      <c r="C182" s="46">
        <v>0.89019999999999999</v>
      </c>
    </row>
    <row r="183" spans="1:3" x14ac:dyDescent="0.3">
      <c r="A183" s="31">
        <v>23</v>
      </c>
      <c r="B183" s="9" t="s">
        <v>24</v>
      </c>
      <c r="C183" s="46">
        <v>0.92300000000000004</v>
      </c>
    </row>
    <row r="184" spans="1:3" ht="14.5" thickBot="1" x14ac:dyDescent="0.35">
      <c r="A184" s="32">
        <v>24</v>
      </c>
      <c r="B184" s="33" t="s">
        <v>25</v>
      </c>
      <c r="C184" s="48">
        <v>0.89290000000000003</v>
      </c>
    </row>
    <row r="186" spans="1:3" x14ac:dyDescent="0.3">
      <c r="A186" s="57">
        <v>45299</v>
      </c>
      <c r="B186" t="s">
        <v>61</v>
      </c>
    </row>
    <row r="187" spans="1:3" ht="14.5" thickBot="1" x14ac:dyDescent="0.35">
      <c r="A187" s="1" t="s">
        <v>36</v>
      </c>
      <c r="B187" s="18">
        <v>45313</v>
      </c>
    </row>
    <row r="188" spans="1:3" x14ac:dyDescent="0.3">
      <c r="A188" s="22" t="s">
        <v>27</v>
      </c>
      <c r="B188" s="30" t="s">
        <v>26</v>
      </c>
      <c r="C188" s="23" t="s">
        <v>30</v>
      </c>
    </row>
    <row r="189" spans="1:3" x14ac:dyDescent="0.3">
      <c r="A189" s="31">
        <v>1</v>
      </c>
      <c r="B189" s="9" t="s">
        <v>2</v>
      </c>
      <c r="C189" s="46">
        <v>0.7369</v>
      </c>
    </row>
    <row r="190" spans="1:3" x14ac:dyDescent="0.3">
      <c r="A190" s="31">
        <v>2</v>
      </c>
      <c r="B190" s="14" t="s">
        <v>3</v>
      </c>
      <c r="C190" s="46">
        <v>0.66210000000000002</v>
      </c>
    </row>
    <row r="191" spans="1:3" x14ac:dyDescent="0.3">
      <c r="A191" s="31">
        <v>3</v>
      </c>
      <c r="B191" s="12" t="s">
        <v>4</v>
      </c>
      <c r="C191" s="46">
        <v>0.72509999999999997</v>
      </c>
    </row>
    <row r="192" spans="1:3" x14ac:dyDescent="0.3">
      <c r="A192" s="31">
        <v>4</v>
      </c>
      <c r="B192" s="14" t="s">
        <v>5</v>
      </c>
      <c r="C192" s="46">
        <v>0.64280000000000004</v>
      </c>
    </row>
    <row r="193" spans="1:3" x14ac:dyDescent="0.3">
      <c r="A193" s="31">
        <v>5</v>
      </c>
      <c r="B193" s="20" t="s">
        <v>6</v>
      </c>
      <c r="C193" s="46">
        <v>0.49199999999999999</v>
      </c>
    </row>
    <row r="194" spans="1:3" x14ac:dyDescent="0.3">
      <c r="A194" s="31">
        <v>6</v>
      </c>
      <c r="B194" s="6" t="s">
        <v>7</v>
      </c>
      <c r="C194" s="46">
        <v>0.67920000000000003</v>
      </c>
    </row>
    <row r="195" spans="1:3" x14ac:dyDescent="0.3">
      <c r="A195" s="31">
        <v>7</v>
      </c>
      <c r="B195" s="21" t="s">
        <v>8</v>
      </c>
      <c r="C195" s="46">
        <v>0.67069999999999996</v>
      </c>
    </row>
    <row r="196" spans="1:3" x14ac:dyDescent="0.3">
      <c r="A196" s="31">
        <v>8</v>
      </c>
      <c r="B196" s="6" t="s">
        <v>9</v>
      </c>
      <c r="C196" s="46">
        <v>0.71540000000000004</v>
      </c>
    </row>
    <row r="197" spans="1:3" x14ac:dyDescent="0.3">
      <c r="A197" s="31">
        <v>9</v>
      </c>
      <c r="B197" s="21" t="s">
        <v>10</v>
      </c>
      <c r="C197" s="46">
        <v>0.73270000000000002</v>
      </c>
    </row>
    <row r="198" spans="1:3" x14ac:dyDescent="0.3">
      <c r="A198" s="31">
        <v>10</v>
      </c>
      <c r="B198" s="9" t="s">
        <v>11</v>
      </c>
      <c r="C198" s="46">
        <v>0.70660000000000001</v>
      </c>
    </row>
    <row r="199" spans="1:3" x14ac:dyDescent="0.3">
      <c r="A199" s="31">
        <v>11</v>
      </c>
      <c r="B199" s="20" t="s">
        <v>12</v>
      </c>
      <c r="C199" s="46">
        <v>0.67810000000000004</v>
      </c>
    </row>
    <row r="200" spans="1:3" x14ac:dyDescent="0.3">
      <c r="A200" s="31">
        <v>12</v>
      </c>
      <c r="B200" s="14" t="s">
        <v>13</v>
      </c>
      <c r="C200" s="46">
        <v>0.67049999999999998</v>
      </c>
    </row>
    <row r="201" spans="1:3" x14ac:dyDescent="0.3">
      <c r="A201" s="31">
        <v>13</v>
      </c>
      <c r="B201" s="6" t="s">
        <v>14</v>
      </c>
      <c r="C201" s="46">
        <v>0.67510000000000003</v>
      </c>
    </row>
    <row r="202" spans="1:3" x14ac:dyDescent="0.3">
      <c r="A202" s="31">
        <v>14</v>
      </c>
      <c r="B202" s="12" t="s">
        <v>15</v>
      </c>
      <c r="C202" s="46">
        <v>0.66220000000000001</v>
      </c>
    </row>
    <row r="203" spans="1:3" x14ac:dyDescent="0.3">
      <c r="A203" s="31">
        <v>15</v>
      </c>
      <c r="B203" s="6" t="s">
        <v>16</v>
      </c>
      <c r="C203" s="46">
        <v>0.62539999999999996</v>
      </c>
    </row>
    <row r="204" spans="1:3" x14ac:dyDescent="0.3">
      <c r="A204" s="31">
        <v>16</v>
      </c>
      <c r="B204" s="21" t="s">
        <v>17</v>
      </c>
      <c r="C204" s="46">
        <v>0.65210000000000001</v>
      </c>
    </row>
    <row r="205" spans="1:3" x14ac:dyDescent="0.3">
      <c r="A205" s="31">
        <v>17</v>
      </c>
      <c r="B205" s="9" t="s">
        <v>18</v>
      </c>
      <c r="C205" s="46">
        <v>0.76349999999999996</v>
      </c>
    </row>
    <row r="206" spans="1:3" x14ac:dyDescent="0.3">
      <c r="A206" s="31">
        <v>18</v>
      </c>
      <c r="B206" s="14" t="s">
        <v>19</v>
      </c>
      <c r="C206" s="46">
        <v>0.63260000000000005</v>
      </c>
    </row>
    <row r="207" spans="1:3" x14ac:dyDescent="0.3">
      <c r="A207" s="31">
        <v>19</v>
      </c>
      <c r="B207" s="12" t="s">
        <v>20</v>
      </c>
      <c r="C207" s="46">
        <v>0.64419999999999999</v>
      </c>
    </row>
    <row r="208" spans="1:3" x14ac:dyDescent="0.3">
      <c r="A208" s="31">
        <v>20</v>
      </c>
      <c r="B208" s="20" t="s">
        <v>21</v>
      </c>
      <c r="C208" s="46">
        <v>0.56440000000000001</v>
      </c>
    </row>
    <row r="209" spans="1:3" x14ac:dyDescent="0.3">
      <c r="A209" s="31">
        <v>21</v>
      </c>
      <c r="B209" s="12" t="s">
        <v>22</v>
      </c>
      <c r="C209" s="46">
        <v>0.52890000000000004</v>
      </c>
    </row>
    <row r="210" spans="1:3" x14ac:dyDescent="0.3">
      <c r="A210" s="31">
        <v>22</v>
      </c>
      <c r="B210" s="20" t="s">
        <v>23</v>
      </c>
      <c r="C210" s="46">
        <v>0.69159999999999999</v>
      </c>
    </row>
    <row r="211" spans="1:3" x14ac:dyDescent="0.3">
      <c r="A211" s="31">
        <v>23</v>
      </c>
      <c r="B211" s="9" t="s">
        <v>24</v>
      </c>
      <c r="C211" s="46">
        <v>0.72750000000000004</v>
      </c>
    </row>
    <row r="212" spans="1:3" ht="14.5" thickBot="1" x14ac:dyDescent="0.35">
      <c r="A212" s="32">
        <v>24</v>
      </c>
      <c r="B212" s="33" t="s">
        <v>25</v>
      </c>
      <c r="C212" s="48">
        <v>0.68930000000000002</v>
      </c>
    </row>
    <row r="215" spans="1:3" ht="14.5" thickBot="1" x14ac:dyDescent="0.35">
      <c r="A215" s="1" t="s">
        <v>36</v>
      </c>
      <c r="B215" s="18">
        <v>45327</v>
      </c>
    </row>
    <row r="216" spans="1:3" x14ac:dyDescent="0.3">
      <c r="A216" s="22" t="s">
        <v>27</v>
      </c>
      <c r="B216" s="30" t="s">
        <v>26</v>
      </c>
      <c r="C216" s="23" t="s">
        <v>30</v>
      </c>
    </row>
    <row r="217" spans="1:3" x14ac:dyDescent="0.3">
      <c r="A217" s="31">
        <v>1</v>
      </c>
      <c r="B217" s="9" t="s">
        <v>2</v>
      </c>
      <c r="C217" s="46">
        <v>0.69450000000000001</v>
      </c>
    </row>
    <row r="218" spans="1:3" x14ac:dyDescent="0.3">
      <c r="A218" s="31">
        <v>2</v>
      </c>
      <c r="B218" s="14" t="s">
        <v>3</v>
      </c>
      <c r="C218" s="46">
        <v>0.71579999999999999</v>
      </c>
    </row>
    <row r="219" spans="1:3" x14ac:dyDescent="0.3">
      <c r="A219" s="31">
        <v>3</v>
      </c>
      <c r="B219" s="12" t="s">
        <v>4</v>
      </c>
      <c r="C219" s="46">
        <v>0.78979999999999995</v>
      </c>
    </row>
    <row r="220" spans="1:3" x14ac:dyDescent="0.3">
      <c r="A220" s="31">
        <v>4</v>
      </c>
      <c r="B220" s="14" t="s">
        <v>5</v>
      </c>
      <c r="C220" s="46">
        <v>0.73529999999999995</v>
      </c>
    </row>
    <row r="221" spans="1:3" x14ac:dyDescent="0.3">
      <c r="A221" s="31">
        <v>5</v>
      </c>
      <c r="B221" s="20" t="s">
        <v>6</v>
      </c>
      <c r="C221" s="46">
        <v>0.79400000000000004</v>
      </c>
    </row>
    <row r="222" spans="1:3" x14ac:dyDescent="0.3">
      <c r="A222" s="31">
        <v>6</v>
      </c>
      <c r="B222" s="6" t="s">
        <v>7</v>
      </c>
      <c r="C222" s="46">
        <v>0.64970000000000006</v>
      </c>
    </row>
    <row r="223" spans="1:3" x14ac:dyDescent="0.3">
      <c r="A223" s="31">
        <v>7</v>
      </c>
      <c r="B223" s="21" t="s">
        <v>8</v>
      </c>
      <c r="C223" s="46">
        <v>0.87529999999999997</v>
      </c>
    </row>
    <row r="224" spans="1:3" x14ac:dyDescent="0.3">
      <c r="A224" s="31">
        <v>8</v>
      </c>
      <c r="B224" s="6" t="s">
        <v>9</v>
      </c>
      <c r="C224" s="46">
        <v>0.74119999999999997</v>
      </c>
    </row>
    <row r="225" spans="1:3" x14ac:dyDescent="0.3">
      <c r="A225" s="31">
        <v>9</v>
      </c>
      <c r="B225" s="21" t="s">
        <v>10</v>
      </c>
      <c r="C225" s="46">
        <v>0.66220000000000001</v>
      </c>
    </row>
    <row r="226" spans="1:3" x14ac:dyDescent="0.3">
      <c r="A226" s="31">
        <v>10</v>
      </c>
      <c r="B226" s="9" t="s">
        <v>11</v>
      </c>
      <c r="C226" s="46">
        <v>0.7349</v>
      </c>
    </row>
    <row r="227" spans="1:3" x14ac:dyDescent="0.3">
      <c r="A227" s="31">
        <v>11</v>
      </c>
      <c r="B227" s="20" t="s">
        <v>12</v>
      </c>
      <c r="C227" s="46">
        <v>0.57140000000000002</v>
      </c>
    </row>
    <row r="228" spans="1:3" x14ac:dyDescent="0.3">
      <c r="A228" s="31">
        <v>12</v>
      </c>
      <c r="B228" s="14" t="s">
        <v>13</v>
      </c>
      <c r="C228" s="46">
        <v>0.57589999999999997</v>
      </c>
    </row>
    <row r="229" spans="1:3" x14ac:dyDescent="0.3">
      <c r="A229" s="31">
        <v>13</v>
      </c>
      <c r="B229" s="6" t="s">
        <v>14</v>
      </c>
      <c r="C229" s="46">
        <v>0.44409999999999999</v>
      </c>
    </row>
    <row r="230" spans="1:3" x14ac:dyDescent="0.3">
      <c r="A230" s="31">
        <v>14</v>
      </c>
      <c r="B230" s="12" t="s">
        <v>15</v>
      </c>
      <c r="C230" s="46">
        <v>0.56499999999999995</v>
      </c>
    </row>
    <row r="231" spans="1:3" x14ac:dyDescent="0.3">
      <c r="A231" s="31">
        <v>15</v>
      </c>
      <c r="B231" s="6" t="s">
        <v>16</v>
      </c>
      <c r="C231" s="46">
        <v>0.78310000000000002</v>
      </c>
    </row>
    <row r="232" spans="1:3" x14ac:dyDescent="0.3">
      <c r="A232" s="31">
        <v>16</v>
      </c>
      <c r="B232" s="21" t="s">
        <v>17</v>
      </c>
      <c r="C232" s="46">
        <v>0.5917</v>
      </c>
    </row>
    <row r="233" spans="1:3" x14ac:dyDescent="0.3">
      <c r="A233" s="31">
        <v>17</v>
      </c>
      <c r="B233" s="9" t="s">
        <v>18</v>
      </c>
      <c r="C233" s="46">
        <v>0.70379999999999998</v>
      </c>
    </row>
    <row r="234" spans="1:3" x14ac:dyDescent="0.3">
      <c r="A234" s="31">
        <v>18</v>
      </c>
      <c r="B234" s="14" t="s">
        <v>19</v>
      </c>
      <c r="C234" s="46">
        <v>0.71330000000000005</v>
      </c>
    </row>
    <row r="235" spans="1:3" x14ac:dyDescent="0.3">
      <c r="A235" s="31">
        <v>19</v>
      </c>
      <c r="B235" s="12" t="s">
        <v>20</v>
      </c>
      <c r="C235" s="46">
        <v>0.65529999999999999</v>
      </c>
    </row>
    <row r="236" spans="1:3" x14ac:dyDescent="0.3">
      <c r="A236" s="31">
        <v>20</v>
      </c>
      <c r="B236" s="20" t="s">
        <v>21</v>
      </c>
      <c r="C236" s="46">
        <v>0.63</v>
      </c>
    </row>
    <row r="237" spans="1:3" x14ac:dyDescent="0.3">
      <c r="A237" s="31">
        <v>21</v>
      </c>
      <c r="B237" s="12" t="s">
        <v>22</v>
      </c>
      <c r="C237" s="46">
        <v>0.7298</v>
      </c>
    </row>
    <row r="238" spans="1:3" x14ac:dyDescent="0.3">
      <c r="A238" s="31">
        <v>22</v>
      </c>
      <c r="B238" s="20" t="s">
        <v>23</v>
      </c>
      <c r="C238" s="46">
        <v>0.66949999999999998</v>
      </c>
    </row>
    <row r="239" spans="1:3" x14ac:dyDescent="0.3">
      <c r="A239" s="31">
        <v>23</v>
      </c>
      <c r="B239" s="9" t="s">
        <v>24</v>
      </c>
      <c r="C239" s="46">
        <v>0.62970000000000004</v>
      </c>
    </row>
    <row r="240" spans="1:3" ht="14.5" thickBot="1" x14ac:dyDescent="0.35">
      <c r="A240" s="32">
        <v>24</v>
      </c>
      <c r="B240" s="33" t="s">
        <v>25</v>
      </c>
      <c r="C240" s="48">
        <v>0.76790000000000003</v>
      </c>
    </row>
    <row r="243" spans="1:3" ht="14.5" thickBot="1" x14ac:dyDescent="0.35">
      <c r="A243" s="1" t="s">
        <v>36</v>
      </c>
      <c r="B243" s="18">
        <v>45344</v>
      </c>
    </row>
    <row r="244" spans="1:3" x14ac:dyDescent="0.3">
      <c r="A244" s="22" t="s">
        <v>27</v>
      </c>
      <c r="B244" s="30" t="s">
        <v>26</v>
      </c>
      <c r="C244" s="23" t="s">
        <v>30</v>
      </c>
    </row>
    <row r="245" spans="1:3" x14ac:dyDescent="0.3">
      <c r="A245" s="31">
        <v>1</v>
      </c>
      <c r="B245" s="9" t="s">
        <v>2</v>
      </c>
      <c r="C245" s="46">
        <v>0.73099999999999998</v>
      </c>
    </row>
    <row r="246" spans="1:3" x14ac:dyDescent="0.3">
      <c r="A246" s="31">
        <v>2</v>
      </c>
      <c r="B246" s="14" t="s">
        <v>3</v>
      </c>
      <c r="C246" s="46">
        <v>0.64239999999999997</v>
      </c>
    </row>
    <row r="247" spans="1:3" x14ac:dyDescent="0.3">
      <c r="A247" s="31">
        <v>3</v>
      </c>
      <c r="B247" s="12" t="s">
        <v>4</v>
      </c>
      <c r="C247" s="46">
        <v>0.75609999999999999</v>
      </c>
    </row>
    <row r="248" spans="1:3" x14ac:dyDescent="0.3">
      <c r="A248" s="31">
        <v>4</v>
      </c>
      <c r="B248" s="14" t="s">
        <v>5</v>
      </c>
      <c r="C248" s="46">
        <v>0.71489999999999998</v>
      </c>
    </row>
    <row r="249" spans="1:3" x14ac:dyDescent="0.3">
      <c r="A249" s="31">
        <v>5</v>
      </c>
      <c r="B249" s="20" t="s">
        <v>6</v>
      </c>
      <c r="C249" s="46">
        <v>0.68869999999999998</v>
      </c>
    </row>
    <row r="250" spans="1:3" x14ac:dyDescent="0.3">
      <c r="A250" s="31">
        <v>6</v>
      </c>
      <c r="B250" s="6" t="s">
        <v>7</v>
      </c>
      <c r="C250" s="46">
        <v>0.78549999999999998</v>
      </c>
    </row>
    <row r="251" spans="1:3" x14ac:dyDescent="0.3">
      <c r="A251" s="31">
        <v>7</v>
      </c>
      <c r="B251" s="21" t="s">
        <v>8</v>
      </c>
      <c r="C251" s="46">
        <v>0.79610000000000003</v>
      </c>
    </row>
    <row r="252" spans="1:3" x14ac:dyDescent="0.3">
      <c r="A252" s="31">
        <v>8</v>
      </c>
      <c r="B252" s="6" t="s">
        <v>9</v>
      </c>
      <c r="C252" s="46">
        <v>0.76849999999999996</v>
      </c>
    </row>
    <row r="253" spans="1:3" x14ac:dyDescent="0.3">
      <c r="A253" s="31">
        <v>9</v>
      </c>
      <c r="B253" s="21" t="s">
        <v>10</v>
      </c>
      <c r="C253" s="46">
        <v>0.64610000000000001</v>
      </c>
    </row>
    <row r="254" spans="1:3" x14ac:dyDescent="0.3">
      <c r="A254" s="31">
        <v>10</v>
      </c>
      <c r="B254" s="9" t="s">
        <v>11</v>
      </c>
      <c r="C254" s="46">
        <v>0.63360000000000005</v>
      </c>
    </row>
    <row r="255" spans="1:3" x14ac:dyDescent="0.3">
      <c r="A255" s="31">
        <v>11</v>
      </c>
      <c r="B255" s="20" t="s">
        <v>12</v>
      </c>
      <c r="C255" s="46">
        <v>0.89370000000000005</v>
      </c>
    </row>
    <row r="256" spans="1:3" x14ac:dyDescent="0.3">
      <c r="A256" s="31">
        <v>12</v>
      </c>
      <c r="B256" s="14" t="s">
        <v>13</v>
      </c>
      <c r="C256" s="46">
        <v>0.62739999999999996</v>
      </c>
    </row>
    <row r="257" spans="1:3" x14ac:dyDescent="0.3">
      <c r="A257" s="31">
        <v>13</v>
      </c>
      <c r="B257" s="6" t="s">
        <v>14</v>
      </c>
      <c r="C257" s="46">
        <v>0.68479999999999996</v>
      </c>
    </row>
    <row r="258" spans="1:3" x14ac:dyDescent="0.3">
      <c r="A258" s="31">
        <v>14</v>
      </c>
      <c r="B258" s="12" t="s">
        <v>15</v>
      </c>
      <c r="C258" s="46">
        <v>0.76180000000000003</v>
      </c>
    </row>
    <row r="259" spans="1:3" x14ac:dyDescent="0.3">
      <c r="A259" s="31">
        <v>15</v>
      </c>
      <c r="B259" s="6" t="s">
        <v>16</v>
      </c>
      <c r="C259" s="46">
        <v>0.90469999999999995</v>
      </c>
    </row>
    <row r="260" spans="1:3" x14ac:dyDescent="0.3">
      <c r="A260" s="31">
        <v>16</v>
      </c>
      <c r="B260" s="21" t="s">
        <v>17</v>
      </c>
      <c r="C260" s="46">
        <v>0.62160000000000004</v>
      </c>
    </row>
    <row r="261" spans="1:3" x14ac:dyDescent="0.3">
      <c r="A261" s="31">
        <v>17</v>
      </c>
      <c r="B261" s="9" t="s">
        <v>18</v>
      </c>
      <c r="C261" s="46">
        <v>0.67630000000000001</v>
      </c>
    </row>
    <row r="262" spans="1:3" x14ac:dyDescent="0.3">
      <c r="A262" s="31">
        <v>18</v>
      </c>
      <c r="B262" s="14" t="s">
        <v>19</v>
      </c>
      <c r="C262" s="46">
        <v>0.73209999999999997</v>
      </c>
    </row>
    <row r="263" spans="1:3" x14ac:dyDescent="0.3">
      <c r="A263" s="31">
        <v>19</v>
      </c>
      <c r="B263" s="12" t="s">
        <v>20</v>
      </c>
      <c r="C263" s="46">
        <v>0.54690000000000005</v>
      </c>
    </row>
    <row r="264" spans="1:3" x14ac:dyDescent="0.3">
      <c r="A264" s="31">
        <v>20</v>
      </c>
      <c r="B264" s="20" t="s">
        <v>21</v>
      </c>
      <c r="C264" s="46">
        <v>0.65980000000000005</v>
      </c>
    </row>
    <row r="265" spans="1:3" x14ac:dyDescent="0.3">
      <c r="A265" s="31">
        <v>21</v>
      </c>
      <c r="B265" s="12" t="s">
        <v>22</v>
      </c>
      <c r="C265" s="46">
        <v>0.69310000000000005</v>
      </c>
    </row>
    <row r="266" spans="1:3" x14ac:dyDescent="0.3">
      <c r="A266" s="31">
        <v>22</v>
      </c>
      <c r="B266" s="20" t="s">
        <v>23</v>
      </c>
      <c r="C266" s="46">
        <v>0.72270000000000001</v>
      </c>
    </row>
    <row r="267" spans="1:3" x14ac:dyDescent="0.3">
      <c r="A267" s="31">
        <v>23</v>
      </c>
      <c r="B267" s="9" t="s">
        <v>24</v>
      </c>
      <c r="C267" s="46">
        <v>0.82540000000000002</v>
      </c>
    </row>
    <row r="268" spans="1:3" ht="14.5" thickBot="1" x14ac:dyDescent="0.35">
      <c r="A268" s="32">
        <v>24</v>
      </c>
      <c r="B268" s="33" t="s">
        <v>25</v>
      </c>
      <c r="C268" s="48">
        <v>0.80900000000000005</v>
      </c>
    </row>
    <row r="271" spans="1:3" ht="14.5" thickBot="1" x14ac:dyDescent="0.35">
      <c r="A271" s="1" t="s">
        <v>36</v>
      </c>
      <c r="B271" s="18">
        <v>45356</v>
      </c>
    </row>
    <row r="272" spans="1:3" x14ac:dyDescent="0.3">
      <c r="A272" s="22" t="s">
        <v>27</v>
      </c>
      <c r="B272" s="30" t="s">
        <v>26</v>
      </c>
      <c r="C272" s="23" t="s">
        <v>30</v>
      </c>
    </row>
    <row r="273" spans="1:3" x14ac:dyDescent="0.3">
      <c r="A273" s="31">
        <v>1</v>
      </c>
      <c r="B273" s="9" t="s">
        <v>2</v>
      </c>
      <c r="C273" s="46">
        <v>0.60040000000000004</v>
      </c>
    </row>
    <row r="274" spans="1:3" x14ac:dyDescent="0.3">
      <c r="A274" s="31">
        <v>2</v>
      </c>
      <c r="B274" s="14" t="s">
        <v>3</v>
      </c>
      <c r="C274" s="46">
        <v>0.65</v>
      </c>
    </row>
    <row r="275" spans="1:3" x14ac:dyDescent="0.3">
      <c r="A275" s="31">
        <v>3</v>
      </c>
      <c r="B275" s="12" t="s">
        <v>4</v>
      </c>
      <c r="C275" s="46">
        <v>0.72309999999999997</v>
      </c>
    </row>
    <row r="276" spans="1:3" x14ac:dyDescent="0.3">
      <c r="A276" s="31">
        <v>4</v>
      </c>
      <c r="B276" s="14" t="s">
        <v>5</v>
      </c>
      <c r="C276" s="46">
        <v>0.63260000000000005</v>
      </c>
    </row>
    <row r="277" spans="1:3" x14ac:dyDescent="0.3">
      <c r="A277" s="31">
        <v>5</v>
      </c>
      <c r="B277" s="20" t="s">
        <v>6</v>
      </c>
      <c r="C277" s="46">
        <v>0.3977</v>
      </c>
    </row>
    <row r="278" spans="1:3" x14ac:dyDescent="0.3">
      <c r="A278" s="31">
        <v>6</v>
      </c>
      <c r="B278" s="6" t="s">
        <v>7</v>
      </c>
      <c r="C278" s="46">
        <v>0.67969999999999997</v>
      </c>
    </row>
    <row r="279" spans="1:3" x14ac:dyDescent="0.3">
      <c r="A279" s="31">
        <v>7</v>
      </c>
      <c r="B279" s="21" t="s">
        <v>8</v>
      </c>
      <c r="C279" s="46">
        <v>0.7177</v>
      </c>
    </row>
    <row r="280" spans="1:3" x14ac:dyDescent="0.3">
      <c r="A280" s="31">
        <v>8</v>
      </c>
      <c r="B280" s="6" t="s">
        <v>9</v>
      </c>
      <c r="C280" s="46">
        <v>0.63839999999999997</v>
      </c>
    </row>
    <row r="281" spans="1:3" x14ac:dyDescent="0.3">
      <c r="A281" s="31">
        <v>9</v>
      </c>
      <c r="B281" s="21" t="s">
        <v>10</v>
      </c>
      <c r="C281" s="46">
        <v>0.51680000000000004</v>
      </c>
    </row>
    <row r="282" spans="1:3" x14ac:dyDescent="0.3">
      <c r="A282" s="31">
        <v>10</v>
      </c>
      <c r="B282" s="9" t="s">
        <v>11</v>
      </c>
      <c r="C282" s="46">
        <v>0.67269999999999996</v>
      </c>
    </row>
    <row r="283" spans="1:3" x14ac:dyDescent="0.3">
      <c r="A283" s="31">
        <v>11</v>
      </c>
      <c r="B283" s="20" t="s">
        <v>12</v>
      </c>
      <c r="C283" s="46">
        <v>0.73060000000000003</v>
      </c>
    </row>
    <row r="284" spans="1:3" x14ac:dyDescent="0.3">
      <c r="A284" s="31">
        <v>12</v>
      </c>
      <c r="B284" s="14" t="s">
        <v>13</v>
      </c>
      <c r="C284" s="46">
        <v>0.60909999999999997</v>
      </c>
    </row>
    <row r="285" spans="1:3" x14ac:dyDescent="0.3">
      <c r="A285" s="31">
        <v>13</v>
      </c>
      <c r="B285" s="6" t="s">
        <v>14</v>
      </c>
      <c r="C285" s="46">
        <v>0.63260000000000005</v>
      </c>
    </row>
    <row r="286" spans="1:3" x14ac:dyDescent="0.3">
      <c r="A286" s="31">
        <v>14</v>
      </c>
      <c r="B286" s="12" t="s">
        <v>15</v>
      </c>
      <c r="C286" s="46">
        <v>0.62649999999999995</v>
      </c>
    </row>
    <row r="287" spans="1:3" x14ac:dyDescent="0.3">
      <c r="A287" s="31">
        <v>15</v>
      </c>
      <c r="B287" s="6" t="s">
        <v>16</v>
      </c>
      <c r="C287" s="46">
        <v>0.60270000000000001</v>
      </c>
    </row>
    <row r="288" spans="1:3" x14ac:dyDescent="0.3">
      <c r="A288" s="31">
        <v>16</v>
      </c>
      <c r="B288" s="21" t="s">
        <v>17</v>
      </c>
      <c r="C288" s="46">
        <v>0.69059999999999999</v>
      </c>
    </row>
    <row r="289" spans="1:3" x14ac:dyDescent="0.3">
      <c r="A289" s="31">
        <v>17</v>
      </c>
      <c r="B289" s="9" t="s">
        <v>18</v>
      </c>
      <c r="C289" s="46">
        <v>0.33210000000000001</v>
      </c>
    </row>
    <row r="290" spans="1:3" x14ac:dyDescent="0.3">
      <c r="A290" s="31">
        <v>18</v>
      </c>
      <c r="B290" s="14" t="s">
        <v>19</v>
      </c>
      <c r="C290" s="46">
        <v>0.60729999999999995</v>
      </c>
    </row>
    <row r="291" spans="1:3" x14ac:dyDescent="0.3">
      <c r="A291" s="31">
        <v>19</v>
      </c>
      <c r="B291" s="12" t="s">
        <v>20</v>
      </c>
      <c r="C291" s="46">
        <v>0.62329999999999997</v>
      </c>
    </row>
    <row r="292" spans="1:3" x14ac:dyDescent="0.3">
      <c r="A292" s="31">
        <v>20</v>
      </c>
      <c r="B292" s="20" t="s">
        <v>21</v>
      </c>
      <c r="C292" s="46">
        <v>0.627</v>
      </c>
    </row>
    <row r="293" spans="1:3" x14ac:dyDescent="0.3">
      <c r="A293" s="31">
        <v>21</v>
      </c>
      <c r="B293" s="12" t="s">
        <v>22</v>
      </c>
      <c r="C293" s="46">
        <v>0.64680000000000004</v>
      </c>
    </row>
    <row r="294" spans="1:3" x14ac:dyDescent="0.3">
      <c r="A294" s="31">
        <v>22</v>
      </c>
      <c r="B294" s="20" t="s">
        <v>23</v>
      </c>
      <c r="C294" s="46">
        <v>0.75619999999999998</v>
      </c>
    </row>
    <row r="295" spans="1:3" x14ac:dyDescent="0.3">
      <c r="A295" s="31">
        <v>23</v>
      </c>
      <c r="B295" s="9" t="s">
        <v>24</v>
      </c>
      <c r="C295" s="46">
        <v>0.66210000000000002</v>
      </c>
    </row>
    <row r="296" spans="1:3" ht="14.5" thickBot="1" x14ac:dyDescent="0.35">
      <c r="A296" s="32">
        <v>24</v>
      </c>
      <c r="B296" s="33" t="s">
        <v>25</v>
      </c>
      <c r="C296" s="48">
        <v>0.61029999999999995</v>
      </c>
    </row>
    <row r="299" spans="1:3" ht="14.5" thickBot="1" x14ac:dyDescent="0.35">
      <c r="A299" s="1" t="s">
        <v>36</v>
      </c>
      <c r="B299" s="18">
        <v>45369</v>
      </c>
    </row>
    <row r="300" spans="1:3" x14ac:dyDescent="0.3">
      <c r="A300" s="22" t="s">
        <v>27</v>
      </c>
      <c r="B300" s="30" t="s">
        <v>26</v>
      </c>
      <c r="C300" s="23" t="s">
        <v>30</v>
      </c>
    </row>
    <row r="301" spans="1:3" x14ac:dyDescent="0.3">
      <c r="A301" s="31">
        <v>1</v>
      </c>
      <c r="B301" s="9" t="s">
        <v>2</v>
      </c>
      <c r="C301" s="46">
        <v>0.48110000000000003</v>
      </c>
    </row>
    <row r="302" spans="1:3" x14ac:dyDescent="0.3">
      <c r="A302" s="31">
        <v>2</v>
      </c>
      <c r="B302" s="14" t="s">
        <v>3</v>
      </c>
      <c r="C302" s="46">
        <v>0.52339999999999998</v>
      </c>
    </row>
    <row r="303" spans="1:3" x14ac:dyDescent="0.3">
      <c r="A303" s="31">
        <v>3</v>
      </c>
      <c r="B303" s="12" t="s">
        <v>4</v>
      </c>
      <c r="C303" s="46">
        <v>0.63170000000000004</v>
      </c>
    </row>
    <row r="304" spans="1:3" x14ac:dyDescent="0.3">
      <c r="A304" s="31">
        <v>4</v>
      </c>
      <c r="B304" s="14" t="s">
        <v>5</v>
      </c>
      <c r="C304" s="46">
        <v>0.56110000000000004</v>
      </c>
    </row>
    <row r="305" spans="1:3" x14ac:dyDescent="0.3">
      <c r="A305" s="31">
        <v>5</v>
      </c>
      <c r="B305" s="20" t="s">
        <v>6</v>
      </c>
      <c r="C305" s="46">
        <v>0.45950000000000002</v>
      </c>
    </row>
    <row r="306" spans="1:3" x14ac:dyDescent="0.3">
      <c r="A306" s="31">
        <v>6</v>
      </c>
      <c r="B306" s="6" t="s">
        <v>7</v>
      </c>
      <c r="C306" s="46">
        <v>0.46689999999999998</v>
      </c>
    </row>
    <row r="307" spans="1:3" x14ac:dyDescent="0.3">
      <c r="A307" s="31">
        <v>7</v>
      </c>
      <c r="B307" s="21" t="s">
        <v>8</v>
      </c>
      <c r="C307" s="46">
        <v>0.57950000000000002</v>
      </c>
    </row>
    <row r="308" spans="1:3" x14ac:dyDescent="0.3">
      <c r="A308" s="31">
        <v>8</v>
      </c>
      <c r="B308" s="6" t="s">
        <v>9</v>
      </c>
      <c r="C308" s="46">
        <v>0.52790000000000004</v>
      </c>
    </row>
    <row r="309" spans="1:3" x14ac:dyDescent="0.3">
      <c r="A309" s="31">
        <v>9</v>
      </c>
      <c r="B309" s="21" t="s">
        <v>10</v>
      </c>
      <c r="C309" s="46">
        <v>0.44369999999999998</v>
      </c>
    </row>
    <row r="310" spans="1:3" x14ac:dyDescent="0.3">
      <c r="A310" s="31">
        <v>10</v>
      </c>
      <c r="B310" s="9" t="s">
        <v>11</v>
      </c>
      <c r="C310" s="46">
        <v>0.48399999999999999</v>
      </c>
    </row>
    <row r="311" spans="1:3" x14ac:dyDescent="0.3">
      <c r="A311" s="31">
        <v>11</v>
      </c>
      <c r="B311" s="20" t="s">
        <v>12</v>
      </c>
      <c r="C311" s="46">
        <v>0.50209999999999999</v>
      </c>
    </row>
    <row r="312" spans="1:3" x14ac:dyDescent="0.3">
      <c r="A312" s="31">
        <v>12</v>
      </c>
      <c r="B312" s="14" t="s">
        <v>13</v>
      </c>
      <c r="C312" s="46">
        <v>0.43690000000000001</v>
      </c>
    </row>
    <row r="313" spans="1:3" x14ac:dyDescent="0.3">
      <c r="A313" s="31">
        <v>13</v>
      </c>
      <c r="B313" s="6" t="s">
        <v>14</v>
      </c>
      <c r="C313" s="46">
        <v>0.40860000000000002</v>
      </c>
    </row>
    <row r="314" spans="1:3" x14ac:dyDescent="0.3">
      <c r="A314" s="31">
        <v>14</v>
      </c>
      <c r="B314" s="12" t="s">
        <v>15</v>
      </c>
      <c r="C314" s="46">
        <v>0.33660000000000001</v>
      </c>
    </row>
    <row r="315" spans="1:3" x14ac:dyDescent="0.3">
      <c r="A315" s="31">
        <v>15</v>
      </c>
      <c r="B315" s="6" t="s">
        <v>16</v>
      </c>
      <c r="C315" s="46">
        <v>0.501</v>
      </c>
    </row>
    <row r="316" spans="1:3" x14ac:dyDescent="0.3">
      <c r="A316" s="31">
        <v>16</v>
      </c>
      <c r="B316" s="21" t="s">
        <v>17</v>
      </c>
      <c r="C316" s="46">
        <v>0.4753</v>
      </c>
    </row>
    <row r="317" spans="1:3" x14ac:dyDescent="0.3">
      <c r="A317" s="31">
        <v>17</v>
      </c>
      <c r="B317" s="9" t="s">
        <v>18</v>
      </c>
      <c r="C317" s="46">
        <v>0.48180000000000001</v>
      </c>
    </row>
    <row r="318" spans="1:3" x14ac:dyDescent="0.3">
      <c r="A318" s="31">
        <v>18</v>
      </c>
      <c r="B318" s="14" t="s">
        <v>19</v>
      </c>
      <c r="C318" s="46">
        <v>0.46010000000000001</v>
      </c>
    </row>
    <row r="319" spans="1:3" x14ac:dyDescent="0.3">
      <c r="A319" s="31">
        <v>19</v>
      </c>
      <c r="B319" s="12" t="s">
        <v>20</v>
      </c>
      <c r="C319" s="46">
        <v>0.46860000000000002</v>
      </c>
    </row>
    <row r="320" spans="1:3" x14ac:dyDescent="0.3">
      <c r="A320" s="31">
        <v>20</v>
      </c>
      <c r="B320" s="20" t="s">
        <v>21</v>
      </c>
      <c r="C320" s="46">
        <v>0.48449999999999999</v>
      </c>
    </row>
    <row r="321" spans="1:3" x14ac:dyDescent="0.3">
      <c r="A321" s="31">
        <v>21</v>
      </c>
      <c r="B321" s="12" t="s">
        <v>22</v>
      </c>
      <c r="C321" s="46">
        <v>0.45760000000000001</v>
      </c>
    </row>
    <row r="322" spans="1:3" x14ac:dyDescent="0.3">
      <c r="A322" s="31">
        <v>22</v>
      </c>
      <c r="B322" s="20" t="s">
        <v>23</v>
      </c>
      <c r="C322" s="46">
        <v>0.46860000000000002</v>
      </c>
    </row>
    <row r="323" spans="1:3" x14ac:dyDescent="0.3">
      <c r="A323" s="31">
        <v>23</v>
      </c>
      <c r="B323" s="9" t="s">
        <v>24</v>
      </c>
      <c r="C323" s="46">
        <v>0.47910000000000003</v>
      </c>
    </row>
    <row r="324" spans="1:3" ht="14.5" thickBot="1" x14ac:dyDescent="0.35">
      <c r="A324" s="32">
        <v>24</v>
      </c>
      <c r="B324" s="33" t="s">
        <v>25</v>
      </c>
      <c r="C324" s="48">
        <v>0.45379999999999998</v>
      </c>
    </row>
    <row r="327" spans="1:3" ht="14.5" thickBot="1" x14ac:dyDescent="0.35">
      <c r="A327" s="1" t="s">
        <v>36</v>
      </c>
      <c r="B327" s="18">
        <v>45384</v>
      </c>
    </row>
    <row r="328" spans="1:3" x14ac:dyDescent="0.3">
      <c r="A328" s="22" t="s">
        <v>27</v>
      </c>
      <c r="B328" s="30" t="s">
        <v>26</v>
      </c>
      <c r="C328" s="23" t="s">
        <v>30</v>
      </c>
    </row>
    <row r="329" spans="1:3" x14ac:dyDescent="0.3">
      <c r="A329" s="31">
        <v>1</v>
      </c>
      <c r="B329" s="9" t="s">
        <v>2</v>
      </c>
      <c r="C329" s="46">
        <v>0.64349999999999996</v>
      </c>
    </row>
    <row r="330" spans="1:3" x14ac:dyDescent="0.3">
      <c r="A330" s="31">
        <v>2</v>
      </c>
      <c r="B330" s="14" t="s">
        <v>3</v>
      </c>
      <c r="C330" s="46">
        <v>0.63370000000000004</v>
      </c>
    </row>
    <row r="331" spans="1:3" x14ac:dyDescent="0.3">
      <c r="A331" s="31">
        <v>3</v>
      </c>
      <c r="B331" s="12" t="s">
        <v>4</v>
      </c>
      <c r="C331" s="46">
        <v>0.76249999999999996</v>
      </c>
    </row>
    <row r="332" spans="1:3" x14ac:dyDescent="0.3">
      <c r="A332" s="31">
        <v>4</v>
      </c>
      <c r="B332" s="14" t="s">
        <v>5</v>
      </c>
      <c r="C332" s="46">
        <v>0.70669999999999999</v>
      </c>
    </row>
    <row r="333" spans="1:3" x14ac:dyDescent="0.3">
      <c r="A333" s="31">
        <v>5</v>
      </c>
      <c r="B333" s="20" t="s">
        <v>6</v>
      </c>
      <c r="C333" s="46">
        <v>0.67490000000000006</v>
      </c>
    </row>
    <row r="334" spans="1:3" x14ac:dyDescent="0.3">
      <c r="A334" s="31">
        <v>6</v>
      </c>
      <c r="B334" s="6" t="s">
        <v>7</v>
      </c>
      <c r="C334" s="46">
        <v>0.62609999999999999</v>
      </c>
    </row>
    <row r="335" spans="1:3" x14ac:dyDescent="0.3">
      <c r="A335" s="31">
        <v>7</v>
      </c>
      <c r="B335" s="21" t="s">
        <v>8</v>
      </c>
      <c r="C335" s="46">
        <v>0.62070000000000003</v>
      </c>
    </row>
    <row r="336" spans="1:3" x14ac:dyDescent="0.3">
      <c r="A336" s="31">
        <v>8</v>
      </c>
      <c r="B336" s="6" t="s">
        <v>9</v>
      </c>
      <c r="C336" s="46">
        <v>0.6351</v>
      </c>
    </row>
    <row r="337" spans="1:3" x14ac:dyDescent="0.3">
      <c r="A337" s="31">
        <v>9</v>
      </c>
      <c r="B337" s="21" t="s">
        <v>10</v>
      </c>
      <c r="C337" s="46">
        <v>0.61009999999999998</v>
      </c>
    </row>
    <row r="338" spans="1:3" x14ac:dyDescent="0.3">
      <c r="A338" s="31">
        <v>10</v>
      </c>
      <c r="B338" s="9" t="s">
        <v>11</v>
      </c>
      <c r="C338" s="46">
        <v>0.72450000000000003</v>
      </c>
    </row>
    <row r="339" spans="1:3" x14ac:dyDescent="0.3">
      <c r="A339" s="31">
        <v>11</v>
      </c>
      <c r="B339" s="20" t="s">
        <v>12</v>
      </c>
      <c r="C339" s="46">
        <v>0.6885</v>
      </c>
    </row>
    <row r="340" spans="1:3" x14ac:dyDescent="0.3">
      <c r="A340" s="31">
        <v>12</v>
      </c>
      <c r="B340" s="14" t="s">
        <v>13</v>
      </c>
      <c r="C340" s="46">
        <v>0.60289999999999999</v>
      </c>
    </row>
    <row r="341" spans="1:3" x14ac:dyDescent="0.3">
      <c r="A341" s="31">
        <v>13</v>
      </c>
      <c r="B341" s="6" t="s">
        <v>14</v>
      </c>
      <c r="C341" s="46">
        <v>0.69689999999999996</v>
      </c>
    </row>
    <row r="342" spans="1:3" x14ac:dyDescent="0.3">
      <c r="A342" s="31">
        <v>14</v>
      </c>
      <c r="B342" s="12" t="s">
        <v>15</v>
      </c>
      <c r="C342" s="46">
        <v>0.56659999999999999</v>
      </c>
    </row>
    <row r="343" spans="1:3" x14ac:dyDescent="0.3">
      <c r="A343" s="31">
        <v>15</v>
      </c>
      <c r="B343" s="6" t="s">
        <v>16</v>
      </c>
      <c r="C343" s="46">
        <v>0.66579999999999995</v>
      </c>
    </row>
    <row r="344" spans="1:3" x14ac:dyDescent="0.3">
      <c r="A344" s="31">
        <v>16</v>
      </c>
      <c r="B344" s="21" t="s">
        <v>17</v>
      </c>
      <c r="C344" s="46">
        <v>0.58189999999999997</v>
      </c>
    </row>
    <row r="345" spans="1:3" x14ac:dyDescent="0.3">
      <c r="A345" s="31">
        <v>17</v>
      </c>
      <c r="B345" s="9" t="s">
        <v>18</v>
      </c>
      <c r="C345" s="46">
        <v>0.71350000000000002</v>
      </c>
    </row>
    <row r="346" spans="1:3" x14ac:dyDescent="0.3">
      <c r="A346" s="31">
        <v>18</v>
      </c>
      <c r="B346" s="14" t="s">
        <v>19</v>
      </c>
      <c r="C346" s="46">
        <v>0.58930000000000005</v>
      </c>
    </row>
    <row r="347" spans="1:3" x14ac:dyDescent="0.3">
      <c r="A347" s="31">
        <v>19</v>
      </c>
      <c r="B347" s="12" t="s">
        <v>20</v>
      </c>
      <c r="C347" s="46">
        <v>0.49199999999999999</v>
      </c>
    </row>
    <row r="348" spans="1:3" x14ac:dyDescent="0.3">
      <c r="A348" s="31">
        <v>20</v>
      </c>
      <c r="B348" s="20" t="s">
        <v>21</v>
      </c>
      <c r="C348" s="46">
        <v>0.60489999999999999</v>
      </c>
    </row>
    <row r="349" spans="1:3" x14ac:dyDescent="0.3">
      <c r="A349" s="31">
        <v>21</v>
      </c>
      <c r="B349" s="12" t="s">
        <v>22</v>
      </c>
      <c r="C349" s="46">
        <v>0.61850000000000005</v>
      </c>
    </row>
    <row r="350" spans="1:3" x14ac:dyDescent="0.3">
      <c r="A350" s="31">
        <v>22</v>
      </c>
      <c r="B350" s="20" t="s">
        <v>23</v>
      </c>
      <c r="C350" s="46">
        <v>0.72689999999999999</v>
      </c>
    </row>
    <row r="351" spans="1:3" x14ac:dyDescent="0.3">
      <c r="A351" s="31">
        <v>23</v>
      </c>
      <c r="B351" s="9" t="s">
        <v>24</v>
      </c>
      <c r="C351" s="46">
        <v>0.53820000000000001</v>
      </c>
    </row>
    <row r="352" spans="1:3" ht="14.5" thickBot="1" x14ac:dyDescent="0.35">
      <c r="A352" s="32">
        <v>24</v>
      </c>
      <c r="B352" s="33" t="s">
        <v>25</v>
      </c>
      <c r="C352" s="48">
        <v>0.64370000000000005</v>
      </c>
    </row>
    <row r="355" spans="1:3" ht="14.5" thickBot="1" x14ac:dyDescent="0.35">
      <c r="A355" s="1" t="s">
        <v>36</v>
      </c>
      <c r="B355" s="18">
        <v>45399</v>
      </c>
    </row>
    <row r="356" spans="1:3" x14ac:dyDescent="0.3">
      <c r="A356" s="22" t="s">
        <v>27</v>
      </c>
      <c r="B356" s="30" t="s">
        <v>26</v>
      </c>
      <c r="C356" s="23" t="s">
        <v>30</v>
      </c>
    </row>
    <row r="357" spans="1:3" x14ac:dyDescent="0.3">
      <c r="A357" s="31">
        <v>1</v>
      </c>
      <c r="B357" s="9" t="s">
        <v>2</v>
      </c>
      <c r="C357" s="46">
        <v>0.5776</v>
      </c>
    </row>
    <row r="358" spans="1:3" x14ac:dyDescent="0.3">
      <c r="A358" s="31">
        <v>2</v>
      </c>
      <c r="B358" s="14" t="s">
        <v>3</v>
      </c>
      <c r="C358" s="46">
        <v>0.64329999999999998</v>
      </c>
    </row>
    <row r="359" spans="1:3" x14ac:dyDescent="0.3">
      <c r="A359" s="31">
        <v>3</v>
      </c>
      <c r="B359" s="12" t="s">
        <v>4</v>
      </c>
      <c r="C359" s="46">
        <v>0.62570000000000003</v>
      </c>
    </row>
    <row r="360" spans="1:3" x14ac:dyDescent="0.3">
      <c r="A360" s="31">
        <v>4</v>
      </c>
      <c r="B360" s="14" t="s">
        <v>5</v>
      </c>
      <c r="C360" s="46">
        <v>0.63109999999999999</v>
      </c>
    </row>
    <row r="361" spans="1:3" x14ac:dyDescent="0.3">
      <c r="A361" s="31">
        <v>5</v>
      </c>
      <c r="B361" s="20" t="s">
        <v>6</v>
      </c>
      <c r="C361" s="46">
        <v>0.67390000000000005</v>
      </c>
    </row>
    <row r="362" spans="1:3" x14ac:dyDescent="0.3">
      <c r="A362" s="31">
        <v>6</v>
      </c>
      <c r="B362" s="6" t="s">
        <v>7</v>
      </c>
      <c r="C362" s="46">
        <v>0.52459999999999996</v>
      </c>
    </row>
    <row r="363" spans="1:3" x14ac:dyDescent="0.3">
      <c r="A363" s="31">
        <v>7</v>
      </c>
      <c r="B363" s="21" t="s">
        <v>8</v>
      </c>
      <c r="C363" s="46">
        <v>0.61709999999999998</v>
      </c>
    </row>
    <row r="364" spans="1:3" x14ac:dyDescent="0.3">
      <c r="A364" s="31">
        <v>8</v>
      </c>
      <c r="B364" s="6" t="s">
        <v>9</v>
      </c>
      <c r="C364" s="46">
        <v>0.64459999999999995</v>
      </c>
    </row>
    <row r="365" spans="1:3" x14ac:dyDescent="0.3">
      <c r="A365" s="31">
        <v>9</v>
      </c>
      <c r="B365" s="21" t="s">
        <v>10</v>
      </c>
      <c r="C365" s="46">
        <v>0.54700000000000004</v>
      </c>
    </row>
    <row r="366" spans="1:3" x14ac:dyDescent="0.3">
      <c r="A366" s="31">
        <v>10</v>
      </c>
      <c r="B366" s="9" t="s">
        <v>11</v>
      </c>
      <c r="C366" s="46">
        <v>0.55520000000000003</v>
      </c>
    </row>
    <row r="367" spans="1:3" x14ac:dyDescent="0.3">
      <c r="A367" s="31">
        <v>11</v>
      </c>
      <c r="B367" s="20" t="s">
        <v>12</v>
      </c>
      <c r="C367" s="46">
        <v>0.62329999999999997</v>
      </c>
    </row>
    <row r="368" spans="1:3" x14ac:dyDescent="0.3">
      <c r="A368" s="31">
        <v>12</v>
      </c>
      <c r="B368" s="14" t="s">
        <v>13</v>
      </c>
      <c r="C368" s="46">
        <v>0.62129999999999996</v>
      </c>
    </row>
    <row r="369" spans="1:3" x14ac:dyDescent="0.3">
      <c r="A369" s="31">
        <v>13</v>
      </c>
      <c r="B369" s="6" t="s">
        <v>14</v>
      </c>
      <c r="C369" s="46">
        <v>0.57030000000000003</v>
      </c>
    </row>
    <row r="370" spans="1:3" x14ac:dyDescent="0.3">
      <c r="A370" s="31">
        <v>14</v>
      </c>
      <c r="B370" s="12" t="s">
        <v>15</v>
      </c>
      <c r="C370" s="46">
        <v>0.55110000000000003</v>
      </c>
    </row>
    <row r="371" spans="1:3" x14ac:dyDescent="0.3">
      <c r="A371" s="31">
        <v>15</v>
      </c>
      <c r="B371" s="6" t="s">
        <v>16</v>
      </c>
      <c r="C371" s="46">
        <v>0.29360000000000003</v>
      </c>
    </row>
    <row r="372" spans="1:3" x14ac:dyDescent="0.3">
      <c r="A372" s="31">
        <v>16</v>
      </c>
      <c r="B372" s="21" t="s">
        <v>17</v>
      </c>
      <c r="C372" s="46">
        <v>0.54659999999999997</v>
      </c>
    </row>
    <row r="373" spans="1:3" x14ac:dyDescent="0.3">
      <c r="A373" s="31">
        <v>17</v>
      </c>
      <c r="B373" s="9" t="s">
        <v>18</v>
      </c>
      <c r="C373" s="46">
        <v>0.67059999999999997</v>
      </c>
    </row>
    <row r="374" spans="1:3" x14ac:dyDescent="0.3">
      <c r="A374" s="31">
        <v>18</v>
      </c>
      <c r="B374" s="14" t="s">
        <v>19</v>
      </c>
      <c r="C374" s="46">
        <v>0.76490000000000002</v>
      </c>
    </row>
    <row r="375" spans="1:3" x14ac:dyDescent="0.3">
      <c r="A375" s="31">
        <v>19</v>
      </c>
      <c r="B375" s="12" t="s">
        <v>20</v>
      </c>
      <c r="C375" s="46">
        <v>0.53690000000000004</v>
      </c>
    </row>
    <row r="376" spans="1:3" x14ac:dyDescent="0.3">
      <c r="A376" s="31">
        <v>20</v>
      </c>
      <c r="B376" s="20" t="s">
        <v>21</v>
      </c>
      <c r="C376" s="46">
        <v>0.66569999999999996</v>
      </c>
    </row>
    <row r="377" spans="1:3" x14ac:dyDescent="0.3">
      <c r="A377" s="31">
        <v>21</v>
      </c>
      <c r="B377" s="12" t="s">
        <v>22</v>
      </c>
      <c r="C377" s="46">
        <v>0.67430000000000001</v>
      </c>
    </row>
    <row r="378" spans="1:3" x14ac:dyDescent="0.3">
      <c r="A378" s="31">
        <v>22</v>
      </c>
      <c r="B378" s="20" t="s">
        <v>23</v>
      </c>
      <c r="C378" s="46">
        <v>0.74470000000000003</v>
      </c>
    </row>
    <row r="379" spans="1:3" x14ac:dyDescent="0.3">
      <c r="A379" s="31">
        <v>23</v>
      </c>
      <c r="B379" s="9" t="s">
        <v>24</v>
      </c>
      <c r="C379" s="46">
        <v>0.60019999999999996</v>
      </c>
    </row>
    <row r="380" spans="1:3" ht="14.5" thickBot="1" x14ac:dyDescent="0.35">
      <c r="A380" s="32">
        <v>24</v>
      </c>
      <c r="B380" s="33" t="s">
        <v>25</v>
      </c>
      <c r="C380" s="48">
        <v>0.5585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1C0B-E325-4AA8-82E5-B8A033AB3C64}">
  <dimension ref="A1:O381"/>
  <sheetViews>
    <sheetView workbookViewId="0">
      <pane xSplit="3" ySplit="18" topLeftCell="M90" activePane="bottomRight" state="frozen"/>
      <selection pane="topRight" activeCell="D1" sqref="D1"/>
      <selection pane="bottomLeft" activeCell="A20" sqref="A20"/>
      <selection pane="bottomRight" activeCell="O3" sqref="O3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40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19">
        <f>AVERAGE(C28,C37,C30,C45)</f>
        <v>6.375</v>
      </c>
      <c r="H4" s="19">
        <f>AVERAGE(C22,C31,C38,C44)</f>
        <v>6.5</v>
      </c>
      <c r="I4" s="19">
        <f>AVERAGE(C27,C29,C34,C36)</f>
        <v>6.875</v>
      </c>
      <c r="J4" s="19">
        <f>AVERAGE(C23,C25,C33,C39)</f>
        <v>7.375</v>
      </c>
      <c r="K4" s="19">
        <f>AVERAGE(C40,C42,C24,C35)</f>
        <v>6.5</v>
      </c>
      <c r="L4" s="26">
        <f>AVERAGE(C43,C41,C32,C26)</f>
        <v>6.25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19">
        <f>AVERAGE(C73,C58,C56,C65)</f>
        <v>6.875</v>
      </c>
      <c r="H5" s="19">
        <f>AVERAGE(C50,C59,C72,C66)</f>
        <v>7</v>
      </c>
      <c r="I5" s="19">
        <f>AVERAGE(C55,C57,C62,C64)</f>
        <v>7.25</v>
      </c>
      <c r="J5">
        <f>AVERAGE(C67,C61,C53,C51)</f>
        <v>7.75</v>
      </c>
      <c r="K5" s="19">
        <f>AVERAGE(C52,C63,C68,C70)</f>
        <v>6.875</v>
      </c>
      <c r="L5" s="26">
        <f>AVERAGE(C54,C60,C69,C71)</f>
        <v>6.75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19">
        <f>AVERAGE(C84,C86,C93,C101)</f>
        <v>6.875</v>
      </c>
      <c r="H6" s="19">
        <f>AVERAGE(C78,C87,C94,C100)</f>
        <v>7</v>
      </c>
      <c r="I6" s="19">
        <f>AVERAGE(C83,C85,C90,C92)</f>
        <v>7.125</v>
      </c>
      <c r="J6" s="19">
        <f>AVERAGE(C89,C95,C81,C79)</f>
        <v>7.625</v>
      </c>
      <c r="K6" s="19">
        <f>AVERAGE(C91,C96,C98,C80)</f>
        <v>6.75</v>
      </c>
      <c r="L6" s="26">
        <f>AVERAGE(C82,C88,C97,C99)</f>
        <v>6.75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9">
        <f>AVERAGE(C112,C114,C121,C129)</f>
        <v>7.125</v>
      </c>
      <c r="H7" s="49">
        <f>AVERAGE(C106,C115,C122,C128)</f>
        <v>7.5</v>
      </c>
      <c r="I7" s="49">
        <f>AVERAGE(C111,C113,C118,C120)</f>
        <v>7.5</v>
      </c>
      <c r="J7" s="49">
        <f>AVERAGE(C107,C109,C117,C123)</f>
        <v>7.875</v>
      </c>
      <c r="K7" s="49">
        <f>AVERAGE(C108,C119,C124,C126)</f>
        <v>7.25</v>
      </c>
      <c r="L7" s="49">
        <f>AVERAGE(C110,C125,C116,C127)</f>
        <v>7.375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9">
        <f>AVERAGE(C140,C142,C149,C157)</f>
        <v>7.125</v>
      </c>
      <c r="H8" s="49">
        <f>AVERAGE(C156,C150,C143,C134)</f>
        <v>7.5</v>
      </c>
      <c r="I8" s="49">
        <f>AVERAGE(C139,C141,C146,C148)</f>
        <v>7.5</v>
      </c>
      <c r="J8" s="49">
        <f>AVERAGE(C135,C137,C145,C151)</f>
        <v>7.875</v>
      </c>
      <c r="K8" s="49">
        <f>AVERAGE(C136,C147,C152,C154)</f>
        <v>7.25</v>
      </c>
      <c r="L8" s="50">
        <f>AVERAGE(C155,C153,C144,C138)</f>
        <v>7.375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9">
        <f>AVERAGE(C168,C170,C177,C185)</f>
        <v>6.625</v>
      </c>
      <c r="H9" s="49">
        <f>AVERAGE(C162,C171,C178,C184)</f>
        <v>7</v>
      </c>
      <c r="I9" s="49">
        <f>AVERAGE(C167,C169,C174,C176)</f>
        <v>6.875</v>
      </c>
      <c r="J9" s="49">
        <f>AVERAGE(C163,C165,C173,C179)</f>
        <v>6.875</v>
      </c>
      <c r="K9" s="49">
        <f>AVERAGE(C164,C180,C182,C175)</f>
        <v>6.75</v>
      </c>
      <c r="L9" s="49">
        <f>AVERAGE(C166,C172,C181,C183)</f>
        <v>6.5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9">
        <f>AVERAGE(C196,C198,C205,C213)</f>
        <v>6.75</v>
      </c>
      <c r="H10" s="49">
        <f>AVERAGE(C190,C199,C206,C212)</f>
        <v>7</v>
      </c>
      <c r="I10" s="49">
        <f>AVERAGE(C202,C195,C197,C204)</f>
        <v>6.875</v>
      </c>
      <c r="J10" s="49">
        <f>AVERAGE(C201,C207,C193,C191)</f>
        <v>6.75</v>
      </c>
      <c r="K10" s="49">
        <f>AVERAGE(C192,C203,C208,C210)</f>
        <v>6.5</v>
      </c>
      <c r="L10" s="49">
        <f>AVERAGE(C194,C200,C209,C211)</f>
        <v>6.625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9">
        <f>AVERAGE(C224,C226,C233,C241)</f>
        <v>6.375</v>
      </c>
      <c r="H11" s="49">
        <f>AVERAGE(C218,C227,C234,C240)</f>
        <v>6.625</v>
      </c>
      <c r="I11" s="49">
        <f>AVERAGE(C223,C225,C230,C232)</f>
        <v>6.375</v>
      </c>
      <c r="J11" s="49">
        <f>AVERAGE(C219,C221,C229,C235)</f>
        <v>6.375</v>
      </c>
      <c r="K11" s="49">
        <f>AVERAGE(C220,C231,C236,C238)</f>
        <v>6.125</v>
      </c>
      <c r="L11" s="49">
        <f>AVERAGE(C222,C228,C237,C239)</f>
        <v>6.25</v>
      </c>
    </row>
    <row r="12" spans="1:15" x14ac:dyDescent="0.3">
      <c r="A12" s="34"/>
      <c r="B12" s="34"/>
      <c r="C12" s="34"/>
      <c r="D12" s="34"/>
      <c r="E12" s="25">
        <v>9</v>
      </c>
      <c r="F12" s="39">
        <v>45344</v>
      </c>
      <c r="G12" s="49">
        <f>AVERAGE(C252,C254,C261,C269)</f>
        <v>5.875</v>
      </c>
      <c r="H12" s="49">
        <f>AVERAGE(C246,C255,C262,C268)</f>
        <v>6.25</v>
      </c>
      <c r="I12" s="49">
        <f>AVERAGE(C251,C253,C258,C260)</f>
        <v>6</v>
      </c>
      <c r="J12" s="49">
        <f>AVERAGE(C247,C249,C257,C263)</f>
        <v>6</v>
      </c>
      <c r="K12" s="49">
        <f>AVERAGE(C248,C259,C264,C266)</f>
        <v>5.625</v>
      </c>
      <c r="L12" s="49">
        <f>AVERAGE(C250,C256,C265,C267)</f>
        <v>5.875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9">
        <f>AVERAGE(C280,C282,C289,C297)</f>
        <v>5.75</v>
      </c>
      <c r="H13" s="49">
        <f>AVERAGE(C274,C283,C290,C296)</f>
        <v>5.875</v>
      </c>
      <c r="I13" s="49">
        <f>AVERAGE(C279,C281,C288,C286)</f>
        <v>5.625</v>
      </c>
      <c r="J13" s="49">
        <f>AVERAGE(C277,C275,C285,C291)</f>
        <v>5.625</v>
      </c>
      <c r="K13" s="49">
        <f>AVERAGE(C276,C287,C292,C294)</f>
        <v>5.375</v>
      </c>
      <c r="L13" s="49">
        <f>AVERAGE(C278,C284,C293,C295)</f>
        <v>5.625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9">
        <f>AVERAGE(C308,C310,C317,C325)</f>
        <v>5.5</v>
      </c>
      <c r="H14" s="49">
        <f>AVERAGE(C302,C311,C318,C324)</f>
        <v>5.5</v>
      </c>
      <c r="I14" s="49">
        <f>AVERAGE(C307,C309,C316,C314)</f>
        <v>5.5</v>
      </c>
      <c r="J14" s="49">
        <f>AVERAGE(C303,C305,C313,C319)</f>
        <v>5.875</v>
      </c>
      <c r="K14" s="49">
        <f>AVERAGE(C304,C315,C320,C322)</f>
        <v>5.5</v>
      </c>
      <c r="L14" s="49">
        <f>AVERAGE(C306,C312,C321,C323)</f>
        <v>5.375</v>
      </c>
    </row>
    <row r="15" spans="1:15" x14ac:dyDescent="0.3">
      <c r="A15" s="34"/>
      <c r="B15" s="34"/>
      <c r="C15" s="34"/>
      <c r="D15" s="34"/>
      <c r="E15" s="25">
        <v>12</v>
      </c>
      <c r="F15" s="39">
        <v>45383</v>
      </c>
      <c r="G15" s="49">
        <f>AVERAGE(C336,C338,C345,C353)</f>
        <v>6.75</v>
      </c>
      <c r="H15" s="49">
        <f>AVERAGE(C330,C346,C352,C339)</f>
        <v>6.75</v>
      </c>
      <c r="I15" s="49">
        <f>AVERAGE(C335,C337,C342,C344)</f>
        <v>6.625</v>
      </c>
      <c r="J15" s="49">
        <f>AVERAGE(C331,C333,C341,C347)</f>
        <v>6.875</v>
      </c>
      <c r="K15" s="49">
        <f>AVERAGE(C332,C348,C350,C343)</f>
        <v>6.75</v>
      </c>
      <c r="L15" s="49">
        <f>AVERAGE(C334,C349,C340,C351)</f>
        <v>6.625</v>
      </c>
    </row>
    <row r="16" spans="1:15" x14ac:dyDescent="0.3">
      <c r="A16" s="34"/>
      <c r="B16" s="34"/>
      <c r="C16" s="34"/>
      <c r="D16" s="34"/>
      <c r="E16" s="25">
        <v>13</v>
      </c>
      <c r="F16" s="39">
        <v>45400</v>
      </c>
      <c r="G16" s="49">
        <f>AVERAGE(C364,C366,C373,C381)</f>
        <v>7</v>
      </c>
      <c r="H16" s="49">
        <f>AVERAGE(C358,C367,C374,C380)</f>
        <v>7</v>
      </c>
      <c r="I16" s="49">
        <f>AVERAGE(C363,C365,C370,C372)</f>
        <v>6.875</v>
      </c>
      <c r="J16" s="49">
        <f>AVERAGE(C359,C361,C369,C375)</f>
        <v>6.875</v>
      </c>
      <c r="K16" s="49">
        <f>AVERAGE(C360,C371,C376,C378)</f>
        <v>7</v>
      </c>
      <c r="L16" s="49">
        <f>AVERAGE(C362,C368,C377,C379)</f>
        <v>6.875</v>
      </c>
    </row>
    <row r="17" spans="1:12" ht="14.5" thickBot="1" x14ac:dyDescent="0.35">
      <c r="A17" s="34"/>
      <c r="B17" s="34"/>
      <c r="C17" s="34"/>
      <c r="D17" s="34"/>
      <c r="E17" s="27">
        <v>15</v>
      </c>
      <c r="F17" s="40">
        <v>45411</v>
      </c>
      <c r="G17" s="41"/>
      <c r="H17" s="41"/>
      <c r="I17" s="41"/>
      <c r="J17" s="41"/>
      <c r="K17" s="41"/>
      <c r="L17" s="28"/>
    </row>
    <row r="20" spans="1:12" ht="14.5" thickBot="1" x14ac:dyDescent="0.35">
      <c r="A20" s="1" t="s">
        <v>36</v>
      </c>
      <c r="B20" s="18">
        <v>45216</v>
      </c>
    </row>
    <row r="21" spans="1:12" x14ac:dyDescent="0.3">
      <c r="A21" s="22" t="s">
        <v>27</v>
      </c>
      <c r="B21" s="30" t="s">
        <v>26</v>
      </c>
      <c r="C21" s="23" t="s">
        <v>28</v>
      </c>
      <c r="D21" t="s">
        <v>43</v>
      </c>
    </row>
    <row r="22" spans="1:12" x14ac:dyDescent="0.3">
      <c r="A22" s="31">
        <v>1</v>
      </c>
      <c r="B22" s="9" t="s">
        <v>2</v>
      </c>
      <c r="C22" s="26">
        <v>8</v>
      </c>
      <c r="D22">
        <v>7.5</v>
      </c>
      <c r="E22" t="s">
        <v>45</v>
      </c>
    </row>
    <row r="23" spans="1:12" x14ac:dyDescent="0.3">
      <c r="A23" s="31">
        <v>2</v>
      </c>
      <c r="B23" s="14" t="s">
        <v>3</v>
      </c>
      <c r="C23" s="26">
        <v>8</v>
      </c>
      <c r="D23">
        <v>7.5</v>
      </c>
    </row>
    <row r="24" spans="1:12" x14ac:dyDescent="0.3">
      <c r="A24" s="31">
        <v>3</v>
      </c>
      <c r="B24" s="12" t="s">
        <v>4</v>
      </c>
      <c r="C24" s="26">
        <v>8.5</v>
      </c>
      <c r="D24">
        <v>8</v>
      </c>
    </row>
    <row r="25" spans="1:12" x14ac:dyDescent="0.3">
      <c r="A25" s="31">
        <v>4</v>
      </c>
      <c r="B25" s="14" t="s">
        <v>5</v>
      </c>
      <c r="C25" s="26">
        <v>7.5</v>
      </c>
      <c r="D25">
        <v>7.5</v>
      </c>
    </row>
    <row r="26" spans="1:12" x14ac:dyDescent="0.3">
      <c r="A26" s="31">
        <v>5</v>
      </c>
      <c r="B26" s="20" t="s">
        <v>6</v>
      </c>
      <c r="C26" s="26">
        <v>6</v>
      </c>
      <c r="D26">
        <v>6.5</v>
      </c>
    </row>
    <row r="27" spans="1:12" x14ac:dyDescent="0.3">
      <c r="A27" s="31">
        <v>6</v>
      </c>
      <c r="B27" s="6" t="s">
        <v>7</v>
      </c>
      <c r="C27" s="26">
        <v>7</v>
      </c>
      <c r="D27">
        <v>6.5</v>
      </c>
    </row>
    <row r="28" spans="1:12" x14ac:dyDescent="0.3">
      <c r="A28" s="31">
        <v>7</v>
      </c>
      <c r="B28" s="21" t="s">
        <v>8</v>
      </c>
      <c r="C28" s="26">
        <v>7.5</v>
      </c>
      <c r="D28">
        <v>7</v>
      </c>
    </row>
    <row r="29" spans="1:12" x14ac:dyDescent="0.3">
      <c r="A29" s="31">
        <v>8</v>
      </c>
      <c r="B29" s="6" t="s">
        <v>9</v>
      </c>
      <c r="C29" s="26">
        <v>7</v>
      </c>
      <c r="D29">
        <v>7</v>
      </c>
      <c r="E29" t="s">
        <v>46</v>
      </c>
    </row>
    <row r="30" spans="1:12" x14ac:dyDescent="0.3">
      <c r="A30" s="31">
        <v>9</v>
      </c>
      <c r="B30" s="21" t="s">
        <v>10</v>
      </c>
      <c r="C30" s="26">
        <v>6.5</v>
      </c>
      <c r="D30">
        <v>6</v>
      </c>
      <c r="E30" t="s">
        <v>47</v>
      </c>
    </row>
    <row r="31" spans="1:12" x14ac:dyDescent="0.3">
      <c r="A31" s="31">
        <v>10</v>
      </c>
      <c r="B31" s="9" t="s">
        <v>11</v>
      </c>
      <c r="C31" s="26">
        <v>6.5</v>
      </c>
      <c r="D31">
        <v>6.5</v>
      </c>
    </row>
    <row r="32" spans="1:12" x14ac:dyDescent="0.3">
      <c r="A32" s="31">
        <v>11</v>
      </c>
      <c r="B32" s="20" t="s">
        <v>12</v>
      </c>
      <c r="C32" s="26">
        <v>6</v>
      </c>
      <c r="D32">
        <v>6.5</v>
      </c>
      <c r="E32" t="s">
        <v>48</v>
      </c>
    </row>
    <row r="33" spans="1:5" x14ac:dyDescent="0.3">
      <c r="A33" s="31">
        <v>12</v>
      </c>
      <c r="B33" s="14" t="s">
        <v>13</v>
      </c>
      <c r="C33" s="26">
        <v>8</v>
      </c>
      <c r="D33">
        <v>7</v>
      </c>
    </row>
    <row r="34" spans="1:5" x14ac:dyDescent="0.3">
      <c r="A34" s="31">
        <v>13</v>
      </c>
      <c r="B34" s="6" t="s">
        <v>14</v>
      </c>
      <c r="C34" s="26">
        <v>6.5</v>
      </c>
      <c r="D34">
        <v>6.5</v>
      </c>
      <c r="E34" t="s">
        <v>45</v>
      </c>
    </row>
    <row r="35" spans="1:5" x14ac:dyDescent="0.3">
      <c r="A35" s="31">
        <v>14</v>
      </c>
      <c r="B35" s="12" t="s">
        <v>15</v>
      </c>
      <c r="C35" s="26">
        <v>6</v>
      </c>
      <c r="D35">
        <v>6</v>
      </c>
      <c r="E35" t="s">
        <v>49</v>
      </c>
    </row>
    <row r="36" spans="1:5" x14ac:dyDescent="0.3">
      <c r="A36" s="31">
        <v>15</v>
      </c>
      <c r="B36" s="6" t="s">
        <v>16</v>
      </c>
      <c r="C36" s="26">
        <v>7</v>
      </c>
      <c r="D36">
        <v>7</v>
      </c>
      <c r="E36" t="s">
        <v>45</v>
      </c>
    </row>
    <row r="37" spans="1:5" x14ac:dyDescent="0.3">
      <c r="A37" s="31">
        <v>16</v>
      </c>
      <c r="B37" s="21" t="s">
        <v>17</v>
      </c>
      <c r="C37" s="26">
        <v>6.5</v>
      </c>
      <c r="D37">
        <v>6.5</v>
      </c>
    </row>
    <row r="38" spans="1:5" x14ac:dyDescent="0.3">
      <c r="A38" s="31">
        <v>17</v>
      </c>
      <c r="B38" s="9" t="s">
        <v>18</v>
      </c>
      <c r="C38" s="26">
        <v>6.5</v>
      </c>
      <c r="D38">
        <v>6.5</v>
      </c>
    </row>
    <row r="39" spans="1:5" x14ac:dyDescent="0.3">
      <c r="A39" s="31">
        <v>18</v>
      </c>
      <c r="B39" s="14" t="s">
        <v>19</v>
      </c>
      <c r="C39" s="26">
        <v>6</v>
      </c>
      <c r="D39">
        <v>6.5</v>
      </c>
      <c r="E39" t="s">
        <v>50</v>
      </c>
    </row>
    <row r="40" spans="1:5" x14ac:dyDescent="0.3">
      <c r="A40" s="31">
        <v>19</v>
      </c>
      <c r="B40" s="12" t="s">
        <v>20</v>
      </c>
      <c r="C40" s="26">
        <v>6.5</v>
      </c>
      <c r="D40">
        <v>7</v>
      </c>
      <c r="E40" t="s">
        <v>49</v>
      </c>
    </row>
    <row r="41" spans="1:5" x14ac:dyDescent="0.3">
      <c r="A41" s="31">
        <v>20</v>
      </c>
      <c r="B41" s="20" t="s">
        <v>21</v>
      </c>
      <c r="C41" s="26">
        <v>7</v>
      </c>
      <c r="D41">
        <v>7</v>
      </c>
    </row>
    <row r="42" spans="1:5" x14ac:dyDescent="0.3">
      <c r="A42" s="31">
        <v>21</v>
      </c>
      <c r="B42" s="12" t="s">
        <v>22</v>
      </c>
      <c r="C42" s="26">
        <v>5</v>
      </c>
      <c r="D42">
        <v>5</v>
      </c>
      <c r="E42" t="s">
        <v>50</v>
      </c>
    </row>
    <row r="43" spans="1:5" x14ac:dyDescent="0.3">
      <c r="A43" s="31">
        <v>22</v>
      </c>
      <c r="B43" s="20" t="s">
        <v>23</v>
      </c>
      <c r="C43" s="26">
        <v>6</v>
      </c>
      <c r="D43">
        <v>6</v>
      </c>
    </row>
    <row r="44" spans="1:5" x14ac:dyDescent="0.3">
      <c r="A44" s="31">
        <v>23</v>
      </c>
      <c r="B44" s="9" t="s">
        <v>24</v>
      </c>
      <c r="C44" s="26">
        <v>5</v>
      </c>
      <c r="D44">
        <v>5</v>
      </c>
      <c r="E44" t="s">
        <v>51</v>
      </c>
    </row>
    <row r="45" spans="1:5" ht="14.5" thickBot="1" x14ac:dyDescent="0.35">
      <c r="A45" s="32">
        <v>24</v>
      </c>
      <c r="B45" s="33" t="s">
        <v>25</v>
      </c>
      <c r="C45" s="26">
        <v>5</v>
      </c>
      <c r="D45">
        <v>5</v>
      </c>
      <c r="E45" t="s">
        <v>49</v>
      </c>
    </row>
    <row r="48" spans="1:5" ht="14.5" thickBot="1" x14ac:dyDescent="0.35">
      <c r="A48" s="1" t="s">
        <v>36</v>
      </c>
      <c r="B48" s="18">
        <v>45229</v>
      </c>
    </row>
    <row r="49" spans="1:3" x14ac:dyDescent="0.3">
      <c r="A49" s="22" t="s">
        <v>27</v>
      </c>
      <c r="B49" s="30" t="s">
        <v>26</v>
      </c>
      <c r="C49" s="23" t="s">
        <v>28</v>
      </c>
    </row>
    <row r="50" spans="1:3" x14ac:dyDescent="0.3">
      <c r="A50" s="31">
        <v>1</v>
      </c>
      <c r="B50" s="9" t="s">
        <v>2</v>
      </c>
      <c r="C50" s="26">
        <v>8</v>
      </c>
    </row>
    <row r="51" spans="1:3" x14ac:dyDescent="0.3">
      <c r="A51" s="31">
        <v>2</v>
      </c>
      <c r="B51" s="14" t="s">
        <v>3</v>
      </c>
      <c r="C51" s="26">
        <v>8</v>
      </c>
    </row>
    <row r="52" spans="1:3" x14ac:dyDescent="0.3">
      <c r="A52" s="31">
        <v>3</v>
      </c>
      <c r="B52" s="12" t="s">
        <v>4</v>
      </c>
      <c r="C52" s="26">
        <v>8.5</v>
      </c>
    </row>
    <row r="53" spans="1:3" x14ac:dyDescent="0.3">
      <c r="A53" s="31">
        <v>4</v>
      </c>
      <c r="B53" s="14" t="s">
        <v>5</v>
      </c>
      <c r="C53" s="26">
        <v>8</v>
      </c>
    </row>
    <row r="54" spans="1:3" x14ac:dyDescent="0.3">
      <c r="A54" s="31">
        <v>5</v>
      </c>
      <c r="B54" s="20" t="s">
        <v>6</v>
      </c>
      <c r="C54" s="26">
        <v>7</v>
      </c>
    </row>
    <row r="55" spans="1:3" x14ac:dyDescent="0.3">
      <c r="A55" s="31">
        <v>6</v>
      </c>
      <c r="B55" s="6" t="s">
        <v>7</v>
      </c>
      <c r="C55" s="26">
        <v>7</v>
      </c>
    </row>
    <row r="56" spans="1:3" x14ac:dyDescent="0.3">
      <c r="A56" s="31">
        <v>7</v>
      </c>
      <c r="B56" s="21" t="s">
        <v>8</v>
      </c>
      <c r="C56" s="26">
        <v>7</v>
      </c>
    </row>
    <row r="57" spans="1:3" x14ac:dyDescent="0.3">
      <c r="A57" s="31">
        <v>8</v>
      </c>
      <c r="B57" s="6" t="s">
        <v>9</v>
      </c>
      <c r="C57" s="26">
        <v>7.5</v>
      </c>
    </row>
    <row r="58" spans="1:3" x14ac:dyDescent="0.3">
      <c r="A58" s="31">
        <v>9</v>
      </c>
      <c r="B58" s="21" t="s">
        <v>10</v>
      </c>
      <c r="C58" s="26">
        <v>7</v>
      </c>
    </row>
    <row r="59" spans="1:3" x14ac:dyDescent="0.3">
      <c r="A59" s="31">
        <v>10</v>
      </c>
      <c r="B59" s="9" t="s">
        <v>11</v>
      </c>
      <c r="C59" s="26">
        <v>7</v>
      </c>
    </row>
    <row r="60" spans="1:3" x14ac:dyDescent="0.3">
      <c r="A60" s="31">
        <v>11</v>
      </c>
      <c r="B60" s="20" t="s">
        <v>12</v>
      </c>
      <c r="C60" s="26">
        <v>7</v>
      </c>
    </row>
    <row r="61" spans="1:3" x14ac:dyDescent="0.3">
      <c r="A61" s="31">
        <v>12</v>
      </c>
      <c r="B61" s="14" t="s">
        <v>13</v>
      </c>
      <c r="C61" s="26">
        <v>8</v>
      </c>
    </row>
    <row r="62" spans="1:3" x14ac:dyDescent="0.3">
      <c r="A62" s="31">
        <v>13</v>
      </c>
      <c r="B62" s="6" t="s">
        <v>14</v>
      </c>
      <c r="C62" s="26">
        <v>7</v>
      </c>
    </row>
    <row r="63" spans="1:3" x14ac:dyDescent="0.3">
      <c r="A63" s="31">
        <v>14</v>
      </c>
      <c r="B63" s="12" t="s">
        <v>15</v>
      </c>
      <c r="C63" s="26">
        <v>6.5</v>
      </c>
    </row>
    <row r="64" spans="1:3" x14ac:dyDescent="0.3">
      <c r="A64" s="31">
        <v>15</v>
      </c>
      <c r="B64" s="6" t="s">
        <v>16</v>
      </c>
      <c r="C64" s="26">
        <v>7.5</v>
      </c>
    </row>
    <row r="65" spans="1:3" x14ac:dyDescent="0.3">
      <c r="A65" s="31">
        <v>16</v>
      </c>
      <c r="B65" s="21" t="s">
        <v>17</v>
      </c>
      <c r="C65" s="26">
        <v>7</v>
      </c>
    </row>
    <row r="66" spans="1:3" x14ac:dyDescent="0.3">
      <c r="A66" s="31">
        <v>17</v>
      </c>
      <c r="B66" s="9" t="s">
        <v>18</v>
      </c>
      <c r="C66" s="26">
        <v>7</v>
      </c>
    </row>
    <row r="67" spans="1:3" x14ac:dyDescent="0.3">
      <c r="A67" s="31">
        <v>18</v>
      </c>
      <c r="B67" s="14" t="s">
        <v>19</v>
      </c>
      <c r="C67" s="26">
        <v>7</v>
      </c>
    </row>
    <row r="68" spans="1:3" x14ac:dyDescent="0.3">
      <c r="A68" s="31">
        <v>19</v>
      </c>
      <c r="B68" s="12" t="s">
        <v>20</v>
      </c>
      <c r="C68" s="26">
        <v>6.5</v>
      </c>
    </row>
    <row r="69" spans="1:3" x14ac:dyDescent="0.3">
      <c r="A69" s="31">
        <v>20</v>
      </c>
      <c r="B69" s="20" t="s">
        <v>21</v>
      </c>
      <c r="C69" s="26">
        <v>7</v>
      </c>
    </row>
    <row r="70" spans="1:3" x14ac:dyDescent="0.3">
      <c r="A70" s="31">
        <v>21</v>
      </c>
      <c r="B70" s="12" t="s">
        <v>22</v>
      </c>
      <c r="C70" s="26">
        <v>6</v>
      </c>
    </row>
    <row r="71" spans="1:3" x14ac:dyDescent="0.3">
      <c r="A71" s="31">
        <v>22</v>
      </c>
      <c r="B71" s="20" t="s">
        <v>23</v>
      </c>
      <c r="C71" s="26">
        <v>6</v>
      </c>
    </row>
    <row r="72" spans="1:3" x14ac:dyDescent="0.3">
      <c r="A72" s="31">
        <v>23</v>
      </c>
      <c r="B72" s="9" t="s">
        <v>24</v>
      </c>
      <c r="C72" s="26">
        <v>6</v>
      </c>
    </row>
    <row r="73" spans="1:3" ht="14.5" thickBot="1" x14ac:dyDescent="0.35">
      <c r="A73" s="32">
        <v>24</v>
      </c>
      <c r="B73" s="33" t="s">
        <v>25</v>
      </c>
      <c r="C73" s="26">
        <v>6.5</v>
      </c>
    </row>
    <row r="76" spans="1:3" ht="14.5" thickBot="1" x14ac:dyDescent="0.35">
      <c r="A76" s="1" t="s">
        <v>36</v>
      </c>
      <c r="B76" s="18">
        <v>45243</v>
      </c>
    </row>
    <row r="77" spans="1:3" x14ac:dyDescent="0.3">
      <c r="A77" s="22" t="s">
        <v>27</v>
      </c>
      <c r="B77" s="30" t="s">
        <v>26</v>
      </c>
      <c r="C77" s="23" t="s">
        <v>28</v>
      </c>
    </row>
    <row r="78" spans="1:3" x14ac:dyDescent="0.3">
      <c r="A78" s="31">
        <v>1</v>
      </c>
      <c r="B78" s="9" t="s">
        <v>2</v>
      </c>
      <c r="C78" s="26">
        <v>7.5</v>
      </c>
    </row>
    <row r="79" spans="1:3" x14ac:dyDescent="0.3">
      <c r="A79" s="31">
        <v>2</v>
      </c>
      <c r="B79" s="14" t="s">
        <v>3</v>
      </c>
      <c r="C79" s="26">
        <v>8</v>
      </c>
    </row>
    <row r="80" spans="1:3" x14ac:dyDescent="0.3">
      <c r="A80" s="31">
        <v>3</v>
      </c>
      <c r="B80" s="12" t="s">
        <v>4</v>
      </c>
      <c r="C80" s="26">
        <v>7.5</v>
      </c>
    </row>
    <row r="81" spans="1:3" x14ac:dyDescent="0.3">
      <c r="A81" s="31">
        <v>4</v>
      </c>
      <c r="B81" s="14" t="s">
        <v>5</v>
      </c>
      <c r="C81" s="26">
        <v>8</v>
      </c>
    </row>
    <row r="82" spans="1:3" x14ac:dyDescent="0.3">
      <c r="A82" s="31">
        <v>5</v>
      </c>
      <c r="B82" s="20" t="s">
        <v>6</v>
      </c>
      <c r="C82" s="26">
        <v>7</v>
      </c>
    </row>
    <row r="83" spans="1:3" x14ac:dyDescent="0.3">
      <c r="A83" s="31">
        <v>6</v>
      </c>
      <c r="B83" s="6" t="s">
        <v>7</v>
      </c>
      <c r="C83" s="26">
        <v>7</v>
      </c>
    </row>
    <row r="84" spans="1:3" x14ac:dyDescent="0.3">
      <c r="A84" s="31">
        <v>7</v>
      </c>
      <c r="B84" s="21" t="s">
        <v>8</v>
      </c>
      <c r="C84" s="26">
        <v>7</v>
      </c>
    </row>
    <row r="85" spans="1:3" x14ac:dyDescent="0.3">
      <c r="A85" s="31">
        <v>8</v>
      </c>
      <c r="B85" s="6" t="s">
        <v>9</v>
      </c>
      <c r="C85" s="26">
        <v>7.5</v>
      </c>
    </row>
    <row r="86" spans="1:3" x14ac:dyDescent="0.3">
      <c r="A86" s="31">
        <v>9</v>
      </c>
      <c r="B86" s="21" t="s">
        <v>10</v>
      </c>
      <c r="C86" s="26">
        <v>7</v>
      </c>
    </row>
    <row r="87" spans="1:3" x14ac:dyDescent="0.3">
      <c r="A87" s="31">
        <v>10</v>
      </c>
      <c r="B87" s="9" t="s">
        <v>11</v>
      </c>
      <c r="C87" s="26">
        <v>7</v>
      </c>
    </row>
    <row r="88" spans="1:3" x14ac:dyDescent="0.3">
      <c r="A88" s="31">
        <v>11</v>
      </c>
      <c r="B88" s="20" t="s">
        <v>12</v>
      </c>
      <c r="C88" s="26">
        <v>7</v>
      </c>
    </row>
    <row r="89" spans="1:3" x14ac:dyDescent="0.3">
      <c r="A89" s="31">
        <v>12</v>
      </c>
      <c r="B89" s="14" t="s">
        <v>13</v>
      </c>
      <c r="C89" s="26">
        <v>7.5</v>
      </c>
    </row>
    <row r="90" spans="1:3" x14ac:dyDescent="0.3">
      <c r="A90" s="31">
        <v>13</v>
      </c>
      <c r="B90" s="6" t="s">
        <v>14</v>
      </c>
      <c r="C90" s="26">
        <v>7</v>
      </c>
    </row>
    <row r="91" spans="1:3" x14ac:dyDescent="0.3">
      <c r="A91" s="31">
        <v>14</v>
      </c>
      <c r="B91" s="12" t="s">
        <v>15</v>
      </c>
      <c r="C91" s="26">
        <v>6.5</v>
      </c>
    </row>
    <row r="92" spans="1:3" x14ac:dyDescent="0.3">
      <c r="A92" s="31">
        <v>15</v>
      </c>
      <c r="B92" s="6" t="s">
        <v>16</v>
      </c>
      <c r="C92" s="26">
        <v>7</v>
      </c>
    </row>
    <row r="93" spans="1:3" x14ac:dyDescent="0.3">
      <c r="A93" s="31">
        <v>16</v>
      </c>
      <c r="B93" s="21" t="s">
        <v>17</v>
      </c>
      <c r="C93" s="26">
        <v>6.5</v>
      </c>
    </row>
    <row r="94" spans="1:3" x14ac:dyDescent="0.3">
      <c r="A94" s="31">
        <v>17</v>
      </c>
      <c r="B94" s="9" t="s">
        <v>18</v>
      </c>
      <c r="C94" s="26">
        <v>7</v>
      </c>
    </row>
    <row r="95" spans="1:3" x14ac:dyDescent="0.3">
      <c r="A95" s="31">
        <v>18</v>
      </c>
      <c r="B95" s="14" t="s">
        <v>19</v>
      </c>
      <c r="C95" s="26">
        <v>7</v>
      </c>
    </row>
    <row r="96" spans="1:3" x14ac:dyDescent="0.3">
      <c r="A96" s="31">
        <v>19</v>
      </c>
      <c r="B96" s="12" t="s">
        <v>20</v>
      </c>
      <c r="C96" s="26">
        <v>6.5</v>
      </c>
    </row>
    <row r="97" spans="1:3" x14ac:dyDescent="0.3">
      <c r="A97" s="31">
        <v>20</v>
      </c>
      <c r="B97" s="20" t="s">
        <v>21</v>
      </c>
      <c r="C97" s="26">
        <v>6.5</v>
      </c>
    </row>
    <row r="98" spans="1:3" x14ac:dyDescent="0.3">
      <c r="A98" s="31">
        <v>21</v>
      </c>
      <c r="B98" s="12" t="s">
        <v>22</v>
      </c>
      <c r="C98" s="26">
        <v>6.5</v>
      </c>
    </row>
    <row r="99" spans="1:3" x14ac:dyDescent="0.3">
      <c r="A99" s="31">
        <v>22</v>
      </c>
      <c r="B99" s="20" t="s">
        <v>23</v>
      </c>
      <c r="C99" s="26">
        <v>6.5</v>
      </c>
    </row>
    <row r="100" spans="1:3" x14ac:dyDescent="0.3">
      <c r="A100" s="31">
        <v>23</v>
      </c>
      <c r="B100" s="9" t="s">
        <v>24</v>
      </c>
      <c r="C100" s="26">
        <v>6.5</v>
      </c>
    </row>
    <row r="101" spans="1:3" ht="14.5" thickBot="1" x14ac:dyDescent="0.35">
      <c r="A101" s="32">
        <v>24</v>
      </c>
      <c r="B101" s="33" t="s">
        <v>25</v>
      </c>
      <c r="C101" s="28">
        <v>7</v>
      </c>
    </row>
    <row r="104" spans="1:3" ht="14.5" thickBot="1" x14ac:dyDescent="0.35">
      <c r="A104" s="1" t="s">
        <v>36</v>
      </c>
      <c r="B104" s="18">
        <v>45257</v>
      </c>
    </row>
    <row r="105" spans="1:3" x14ac:dyDescent="0.3">
      <c r="A105" s="22" t="s">
        <v>27</v>
      </c>
      <c r="B105" s="30" t="s">
        <v>26</v>
      </c>
      <c r="C105" s="23" t="s">
        <v>28</v>
      </c>
    </row>
    <row r="106" spans="1:3" x14ac:dyDescent="0.3">
      <c r="A106" s="31">
        <v>1</v>
      </c>
      <c r="B106" s="9" t="s">
        <v>2</v>
      </c>
      <c r="C106" s="50">
        <v>8</v>
      </c>
    </row>
    <row r="107" spans="1:3" x14ac:dyDescent="0.3">
      <c r="A107" s="31">
        <v>2</v>
      </c>
      <c r="B107" s="14" t="s">
        <v>3</v>
      </c>
      <c r="C107" s="50">
        <v>8</v>
      </c>
    </row>
    <row r="108" spans="1:3" x14ac:dyDescent="0.3">
      <c r="A108" s="31">
        <v>3</v>
      </c>
      <c r="B108" s="12" t="s">
        <v>4</v>
      </c>
      <c r="C108" s="50">
        <v>7.5</v>
      </c>
    </row>
    <row r="109" spans="1:3" x14ac:dyDescent="0.3">
      <c r="A109" s="31">
        <v>4</v>
      </c>
      <c r="B109" s="14" t="s">
        <v>5</v>
      </c>
      <c r="C109" s="50">
        <v>8</v>
      </c>
    </row>
    <row r="110" spans="1:3" x14ac:dyDescent="0.3">
      <c r="A110" s="31">
        <v>5</v>
      </c>
      <c r="B110" s="20" t="s">
        <v>6</v>
      </c>
      <c r="C110" s="50">
        <v>7.5</v>
      </c>
    </row>
    <row r="111" spans="1:3" x14ac:dyDescent="0.3">
      <c r="A111" s="31">
        <v>6</v>
      </c>
      <c r="B111" s="6" t="s">
        <v>7</v>
      </c>
      <c r="C111" s="50">
        <v>7.5</v>
      </c>
    </row>
    <row r="112" spans="1:3" x14ac:dyDescent="0.3">
      <c r="A112" s="31">
        <v>7</v>
      </c>
      <c r="B112" s="21" t="s">
        <v>8</v>
      </c>
      <c r="C112" s="50">
        <v>7</v>
      </c>
    </row>
    <row r="113" spans="1:3" x14ac:dyDescent="0.3">
      <c r="A113" s="31">
        <v>8</v>
      </c>
      <c r="B113" s="6" t="s">
        <v>9</v>
      </c>
      <c r="C113" s="50">
        <v>7.5</v>
      </c>
    </row>
    <row r="114" spans="1:3" x14ac:dyDescent="0.3">
      <c r="A114" s="31">
        <v>9</v>
      </c>
      <c r="B114" s="21" t="s">
        <v>10</v>
      </c>
      <c r="C114" s="50">
        <v>7.5</v>
      </c>
    </row>
    <row r="115" spans="1:3" x14ac:dyDescent="0.3">
      <c r="A115" s="31">
        <v>10</v>
      </c>
      <c r="B115" s="9" t="s">
        <v>11</v>
      </c>
      <c r="C115" s="50">
        <v>7.5</v>
      </c>
    </row>
    <row r="116" spans="1:3" x14ac:dyDescent="0.3">
      <c r="A116" s="31">
        <v>11</v>
      </c>
      <c r="B116" s="20" t="s">
        <v>12</v>
      </c>
      <c r="C116" s="50">
        <v>7.5</v>
      </c>
    </row>
    <row r="117" spans="1:3" x14ac:dyDescent="0.3">
      <c r="A117" s="31">
        <v>12</v>
      </c>
      <c r="B117" s="14" t="s">
        <v>13</v>
      </c>
      <c r="C117" s="50">
        <v>8</v>
      </c>
    </row>
    <row r="118" spans="1:3" x14ac:dyDescent="0.3">
      <c r="A118" s="31">
        <v>13</v>
      </c>
      <c r="B118" s="6" t="s">
        <v>14</v>
      </c>
      <c r="C118" s="50">
        <v>7.5</v>
      </c>
    </row>
    <row r="119" spans="1:3" x14ac:dyDescent="0.3">
      <c r="A119" s="31">
        <v>14</v>
      </c>
      <c r="B119" s="12" t="s">
        <v>15</v>
      </c>
      <c r="C119" s="50">
        <v>7</v>
      </c>
    </row>
    <row r="120" spans="1:3" x14ac:dyDescent="0.3">
      <c r="A120" s="31">
        <v>15</v>
      </c>
      <c r="B120" s="6" t="s">
        <v>16</v>
      </c>
      <c r="C120" s="50">
        <v>7.5</v>
      </c>
    </row>
    <row r="121" spans="1:3" x14ac:dyDescent="0.3">
      <c r="A121" s="31">
        <v>16</v>
      </c>
      <c r="B121" s="21" t="s">
        <v>17</v>
      </c>
      <c r="C121" s="50">
        <v>7</v>
      </c>
    </row>
    <row r="122" spans="1:3" x14ac:dyDescent="0.3">
      <c r="A122" s="31">
        <v>17</v>
      </c>
      <c r="B122" s="9" t="s">
        <v>18</v>
      </c>
      <c r="C122" s="50">
        <v>7.5</v>
      </c>
    </row>
    <row r="123" spans="1:3" x14ac:dyDescent="0.3">
      <c r="A123" s="31">
        <v>18</v>
      </c>
      <c r="B123" s="14" t="s">
        <v>19</v>
      </c>
      <c r="C123" s="50">
        <v>7.5</v>
      </c>
    </row>
    <row r="124" spans="1:3" x14ac:dyDescent="0.3">
      <c r="A124" s="31">
        <v>19</v>
      </c>
      <c r="B124" s="12" t="s">
        <v>20</v>
      </c>
      <c r="C124" s="50">
        <v>7.5</v>
      </c>
    </row>
    <row r="125" spans="1:3" x14ac:dyDescent="0.3">
      <c r="A125" s="31">
        <v>20</v>
      </c>
      <c r="B125" s="20" t="s">
        <v>21</v>
      </c>
      <c r="C125" s="50">
        <v>7.5</v>
      </c>
    </row>
    <row r="126" spans="1:3" x14ac:dyDescent="0.3">
      <c r="A126" s="31">
        <v>21</v>
      </c>
      <c r="B126" s="12" t="s">
        <v>22</v>
      </c>
      <c r="C126" s="50">
        <v>7</v>
      </c>
    </row>
    <row r="127" spans="1:3" x14ac:dyDescent="0.3">
      <c r="A127" s="31">
        <v>22</v>
      </c>
      <c r="B127" s="20" t="s">
        <v>23</v>
      </c>
      <c r="C127" s="50">
        <v>7</v>
      </c>
    </row>
    <row r="128" spans="1:3" x14ac:dyDescent="0.3">
      <c r="A128" s="31">
        <v>23</v>
      </c>
      <c r="B128" s="9" t="s">
        <v>24</v>
      </c>
      <c r="C128" s="50">
        <v>7</v>
      </c>
    </row>
    <row r="129" spans="1:3" ht="14.5" thickBot="1" x14ac:dyDescent="0.35">
      <c r="A129" s="32">
        <v>24</v>
      </c>
      <c r="B129" s="33" t="s">
        <v>25</v>
      </c>
      <c r="C129" s="55">
        <v>7</v>
      </c>
    </row>
    <row r="132" spans="1:3" ht="14.5" thickBot="1" x14ac:dyDescent="0.35">
      <c r="A132" s="1" t="s">
        <v>36</v>
      </c>
      <c r="B132" s="18">
        <v>45271</v>
      </c>
    </row>
    <row r="133" spans="1:3" x14ac:dyDescent="0.3">
      <c r="A133" s="22" t="s">
        <v>27</v>
      </c>
      <c r="B133" s="30" t="s">
        <v>26</v>
      </c>
      <c r="C133" s="23" t="s">
        <v>28</v>
      </c>
    </row>
    <row r="134" spans="1:3" x14ac:dyDescent="0.3">
      <c r="A134" s="31">
        <v>1</v>
      </c>
      <c r="B134" s="9" t="s">
        <v>2</v>
      </c>
      <c r="C134" s="50">
        <v>8</v>
      </c>
    </row>
    <row r="135" spans="1:3" x14ac:dyDescent="0.3">
      <c r="A135" s="31">
        <v>2</v>
      </c>
      <c r="B135" s="14" t="s">
        <v>3</v>
      </c>
      <c r="C135" s="50">
        <v>8</v>
      </c>
    </row>
    <row r="136" spans="1:3" x14ac:dyDescent="0.3">
      <c r="A136" s="31">
        <v>3</v>
      </c>
      <c r="B136" s="12" t="s">
        <v>4</v>
      </c>
      <c r="C136" s="50">
        <v>7.5</v>
      </c>
    </row>
    <row r="137" spans="1:3" x14ac:dyDescent="0.3">
      <c r="A137" s="31">
        <v>4</v>
      </c>
      <c r="B137" s="14" t="s">
        <v>5</v>
      </c>
      <c r="C137" s="50">
        <v>8</v>
      </c>
    </row>
    <row r="138" spans="1:3" x14ac:dyDescent="0.3">
      <c r="A138" s="31">
        <v>5</v>
      </c>
      <c r="B138" s="20" t="s">
        <v>6</v>
      </c>
      <c r="C138" s="50">
        <v>7.5</v>
      </c>
    </row>
    <row r="139" spans="1:3" x14ac:dyDescent="0.3">
      <c r="A139" s="31">
        <v>6</v>
      </c>
      <c r="B139" s="6" t="s">
        <v>7</v>
      </c>
      <c r="C139" s="50">
        <v>7.5</v>
      </c>
    </row>
    <row r="140" spans="1:3" x14ac:dyDescent="0.3">
      <c r="A140" s="31">
        <v>7</v>
      </c>
      <c r="B140" s="21" t="s">
        <v>8</v>
      </c>
      <c r="C140" s="50">
        <v>7</v>
      </c>
    </row>
    <row r="141" spans="1:3" x14ac:dyDescent="0.3">
      <c r="A141" s="31">
        <v>8</v>
      </c>
      <c r="B141" s="6" t="s">
        <v>9</v>
      </c>
      <c r="C141" s="50">
        <v>7.5</v>
      </c>
    </row>
    <row r="142" spans="1:3" x14ac:dyDescent="0.3">
      <c r="A142" s="31">
        <v>9</v>
      </c>
      <c r="B142" s="21" t="s">
        <v>10</v>
      </c>
      <c r="C142" s="50">
        <v>7.5</v>
      </c>
    </row>
    <row r="143" spans="1:3" x14ac:dyDescent="0.3">
      <c r="A143" s="31">
        <v>10</v>
      </c>
      <c r="B143" s="9" t="s">
        <v>11</v>
      </c>
      <c r="C143" s="50">
        <v>7.5</v>
      </c>
    </row>
    <row r="144" spans="1:3" x14ac:dyDescent="0.3">
      <c r="A144" s="31">
        <v>11</v>
      </c>
      <c r="B144" s="20" t="s">
        <v>12</v>
      </c>
      <c r="C144" s="50">
        <v>7.5</v>
      </c>
    </row>
    <row r="145" spans="1:3" x14ac:dyDescent="0.3">
      <c r="A145" s="31">
        <v>12</v>
      </c>
      <c r="B145" s="14" t="s">
        <v>13</v>
      </c>
      <c r="C145" s="50">
        <v>8</v>
      </c>
    </row>
    <row r="146" spans="1:3" x14ac:dyDescent="0.3">
      <c r="A146" s="31">
        <v>13</v>
      </c>
      <c r="B146" s="6" t="s">
        <v>14</v>
      </c>
      <c r="C146" s="50">
        <v>7.5</v>
      </c>
    </row>
    <row r="147" spans="1:3" x14ac:dyDescent="0.3">
      <c r="A147" s="31">
        <v>14</v>
      </c>
      <c r="B147" s="12" t="s">
        <v>15</v>
      </c>
      <c r="C147" s="50">
        <v>7</v>
      </c>
    </row>
    <row r="148" spans="1:3" x14ac:dyDescent="0.3">
      <c r="A148" s="31">
        <v>15</v>
      </c>
      <c r="B148" s="6" t="s">
        <v>16</v>
      </c>
      <c r="C148" s="50">
        <v>7.5</v>
      </c>
    </row>
    <row r="149" spans="1:3" x14ac:dyDescent="0.3">
      <c r="A149" s="31">
        <v>16</v>
      </c>
      <c r="B149" s="21" t="s">
        <v>17</v>
      </c>
      <c r="C149" s="50">
        <v>7</v>
      </c>
    </row>
    <row r="150" spans="1:3" x14ac:dyDescent="0.3">
      <c r="A150" s="31">
        <v>17</v>
      </c>
      <c r="B150" s="9" t="s">
        <v>18</v>
      </c>
      <c r="C150" s="50">
        <v>7.5</v>
      </c>
    </row>
    <row r="151" spans="1:3" x14ac:dyDescent="0.3">
      <c r="A151" s="31">
        <v>18</v>
      </c>
      <c r="B151" s="14" t="s">
        <v>19</v>
      </c>
      <c r="C151" s="50">
        <v>7.5</v>
      </c>
    </row>
    <row r="152" spans="1:3" x14ac:dyDescent="0.3">
      <c r="A152" s="31">
        <v>19</v>
      </c>
      <c r="B152" s="12" t="s">
        <v>20</v>
      </c>
      <c r="C152" s="50">
        <v>7.5</v>
      </c>
    </row>
    <row r="153" spans="1:3" x14ac:dyDescent="0.3">
      <c r="A153" s="31">
        <v>20</v>
      </c>
      <c r="B153" s="20" t="s">
        <v>21</v>
      </c>
      <c r="C153" s="50">
        <v>7.5</v>
      </c>
    </row>
    <row r="154" spans="1:3" x14ac:dyDescent="0.3">
      <c r="A154" s="31">
        <v>21</v>
      </c>
      <c r="B154" s="12" t="s">
        <v>22</v>
      </c>
      <c r="C154" s="50">
        <v>7</v>
      </c>
    </row>
    <row r="155" spans="1:3" x14ac:dyDescent="0.3">
      <c r="A155" s="31">
        <v>22</v>
      </c>
      <c r="B155" s="20" t="s">
        <v>23</v>
      </c>
      <c r="C155" s="50">
        <v>7</v>
      </c>
    </row>
    <row r="156" spans="1:3" x14ac:dyDescent="0.3">
      <c r="A156" s="31">
        <v>23</v>
      </c>
      <c r="B156" s="9" t="s">
        <v>24</v>
      </c>
      <c r="C156" s="50">
        <v>7</v>
      </c>
    </row>
    <row r="157" spans="1:3" ht="14.5" thickBot="1" x14ac:dyDescent="0.35">
      <c r="A157" s="32">
        <v>24</v>
      </c>
      <c r="B157" s="33" t="s">
        <v>25</v>
      </c>
      <c r="C157" s="55">
        <v>7</v>
      </c>
    </row>
    <row r="160" spans="1:3" ht="14.5" thickBot="1" x14ac:dyDescent="0.35">
      <c r="A160" s="1" t="s">
        <v>36</v>
      </c>
      <c r="B160" s="18">
        <v>45287</v>
      </c>
    </row>
    <row r="161" spans="1:3" x14ac:dyDescent="0.3">
      <c r="A161" s="22" t="s">
        <v>27</v>
      </c>
      <c r="B161" s="30" t="s">
        <v>26</v>
      </c>
      <c r="C161" s="23" t="s">
        <v>28</v>
      </c>
    </row>
    <row r="162" spans="1:3" x14ac:dyDescent="0.3">
      <c r="A162" s="31">
        <v>1</v>
      </c>
      <c r="B162" s="9" t="s">
        <v>2</v>
      </c>
      <c r="C162" s="50">
        <v>7</v>
      </c>
    </row>
    <row r="163" spans="1:3" x14ac:dyDescent="0.3">
      <c r="A163" s="31">
        <v>2</v>
      </c>
      <c r="B163" s="14" t="s">
        <v>3</v>
      </c>
      <c r="C163" s="50">
        <v>7</v>
      </c>
    </row>
    <row r="164" spans="1:3" x14ac:dyDescent="0.3">
      <c r="A164" s="31">
        <v>3</v>
      </c>
      <c r="B164" s="12" t="s">
        <v>4</v>
      </c>
      <c r="C164" s="50">
        <v>7</v>
      </c>
    </row>
    <row r="165" spans="1:3" x14ac:dyDescent="0.3">
      <c r="A165" s="31">
        <v>4</v>
      </c>
      <c r="B165" s="14" t="s">
        <v>5</v>
      </c>
      <c r="C165" s="50">
        <v>7</v>
      </c>
    </row>
    <row r="166" spans="1:3" x14ac:dyDescent="0.3">
      <c r="A166" s="31">
        <v>5</v>
      </c>
      <c r="B166" s="20" t="s">
        <v>6</v>
      </c>
      <c r="C166" s="50">
        <v>6.5</v>
      </c>
    </row>
    <row r="167" spans="1:3" x14ac:dyDescent="0.3">
      <c r="A167" s="31">
        <v>6</v>
      </c>
      <c r="B167" s="6" t="s">
        <v>7</v>
      </c>
      <c r="C167" s="50">
        <v>7</v>
      </c>
    </row>
    <row r="168" spans="1:3" x14ac:dyDescent="0.3">
      <c r="A168" s="31">
        <v>7</v>
      </c>
      <c r="B168" s="21" t="s">
        <v>8</v>
      </c>
      <c r="C168" s="50">
        <v>7</v>
      </c>
    </row>
    <row r="169" spans="1:3" x14ac:dyDescent="0.3">
      <c r="A169" s="31">
        <v>8</v>
      </c>
      <c r="B169" s="6" t="s">
        <v>9</v>
      </c>
      <c r="C169" s="50">
        <v>7</v>
      </c>
    </row>
    <row r="170" spans="1:3" x14ac:dyDescent="0.3">
      <c r="A170" s="31">
        <v>9</v>
      </c>
      <c r="B170" s="21" t="s">
        <v>10</v>
      </c>
      <c r="C170" s="50">
        <v>7</v>
      </c>
    </row>
    <row r="171" spans="1:3" x14ac:dyDescent="0.3">
      <c r="A171" s="31">
        <v>10</v>
      </c>
      <c r="B171" s="9" t="s">
        <v>11</v>
      </c>
      <c r="C171" s="50">
        <v>7</v>
      </c>
    </row>
    <row r="172" spans="1:3" x14ac:dyDescent="0.3">
      <c r="A172" s="31">
        <v>11</v>
      </c>
      <c r="B172" s="20" t="s">
        <v>12</v>
      </c>
      <c r="C172" s="50">
        <v>6.5</v>
      </c>
    </row>
    <row r="173" spans="1:3" x14ac:dyDescent="0.3">
      <c r="A173" s="31">
        <v>12</v>
      </c>
      <c r="B173" s="14" t="s">
        <v>13</v>
      </c>
      <c r="C173" s="50">
        <v>7</v>
      </c>
    </row>
    <row r="174" spans="1:3" x14ac:dyDescent="0.3">
      <c r="A174" s="31">
        <v>13</v>
      </c>
      <c r="B174" s="6" t="s">
        <v>14</v>
      </c>
      <c r="C174" s="50">
        <v>7</v>
      </c>
    </row>
    <row r="175" spans="1:3" x14ac:dyDescent="0.3">
      <c r="A175" s="31">
        <v>14</v>
      </c>
      <c r="B175" s="12" t="s">
        <v>15</v>
      </c>
      <c r="C175" s="50">
        <v>6.5</v>
      </c>
    </row>
    <row r="176" spans="1:3" x14ac:dyDescent="0.3">
      <c r="A176" s="31">
        <v>15</v>
      </c>
      <c r="B176" s="6" t="s">
        <v>16</v>
      </c>
      <c r="C176" s="50">
        <v>6.5</v>
      </c>
    </row>
    <row r="177" spans="1:3" x14ac:dyDescent="0.3">
      <c r="A177" s="31">
        <v>16</v>
      </c>
      <c r="B177" s="21" t="s">
        <v>17</v>
      </c>
      <c r="C177" s="50">
        <v>6</v>
      </c>
    </row>
    <row r="178" spans="1:3" x14ac:dyDescent="0.3">
      <c r="A178" s="31">
        <v>17</v>
      </c>
      <c r="B178" s="9" t="s">
        <v>18</v>
      </c>
      <c r="C178" s="50">
        <v>7</v>
      </c>
    </row>
    <row r="179" spans="1:3" x14ac:dyDescent="0.3">
      <c r="A179" s="31">
        <v>18</v>
      </c>
      <c r="B179" s="14" t="s">
        <v>19</v>
      </c>
      <c r="C179" s="50">
        <v>6.5</v>
      </c>
    </row>
    <row r="180" spans="1:3" x14ac:dyDescent="0.3">
      <c r="A180" s="31">
        <v>19</v>
      </c>
      <c r="B180" s="12" t="s">
        <v>20</v>
      </c>
      <c r="C180" s="50">
        <v>6.5</v>
      </c>
    </row>
    <row r="181" spans="1:3" x14ac:dyDescent="0.3">
      <c r="A181" s="31">
        <v>20</v>
      </c>
      <c r="B181" s="20" t="s">
        <v>21</v>
      </c>
      <c r="C181" s="50">
        <v>6.5</v>
      </c>
    </row>
    <row r="182" spans="1:3" x14ac:dyDescent="0.3">
      <c r="A182" s="31">
        <v>21</v>
      </c>
      <c r="B182" s="12" t="s">
        <v>22</v>
      </c>
      <c r="C182" s="50">
        <v>7</v>
      </c>
    </row>
    <row r="183" spans="1:3" x14ac:dyDescent="0.3">
      <c r="A183" s="31">
        <v>22</v>
      </c>
      <c r="B183" s="20" t="s">
        <v>23</v>
      </c>
      <c r="C183" s="50">
        <v>6.5</v>
      </c>
    </row>
    <row r="184" spans="1:3" x14ac:dyDescent="0.3">
      <c r="A184" s="31">
        <v>23</v>
      </c>
      <c r="B184" s="9" t="s">
        <v>24</v>
      </c>
      <c r="C184" s="50">
        <v>7</v>
      </c>
    </row>
    <row r="185" spans="1:3" ht="14.5" thickBot="1" x14ac:dyDescent="0.35">
      <c r="A185" s="32">
        <v>24</v>
      </c>
      <c r="B185" s="33" t="s">
        <v>25</v>
      </c>
      <c r="C185" s="55">
        <v>6.5</v>
      </c>
    </row>
    <row r="187" spans="1:3" x14ac:dyDescent="0.3">
      <c r="A187" s="57">
        <v>45299</v>
      </c>
      <c r="B187" t="s">
        <v>61</v>
      </c>
    </row>
    <row r="188" spans="1:3" ht="14.5" thickBot="1" x14ac:dyDescent="0.35">
      <c r="A188" s="1" t="s">
        <v>36</v>
      </c>
      <c r="B188" s="18">
        <v>45313</v>
      </c>
    </row>
    <row r="189" spans="1:3" x14ac:dyDescent="0.3">
      <c r="A189" s="22" t="s">
        <v>27</v>
      </c>
      <c r="B189" s="30" t="s">
        <v>26</v>
      </c>
      <c r="C189" s="23" t="s">
        <v>28</v>
      </c>
    </row>
    <row r="190" spans="1:3" x14ac:dyDescent="0.3">
      <c r="A190" s="31">
        <v>1</v>
      </c>
      <c r="B190" s="9" t="s">
        <v>2</v>
      </c>
      <c r="C190" s="50">
        <v>6.5</v>
      </c>
    </row>
    <row r="191" spans="1:3" x14ac:dyDescent="0.3">
      <c r="A191" s="31">
        <v>2</v>
      </c>
      <c r="B191" s="14" t="s">
        <v>3</v>
      </c>
      <c r="C191" s="50">
        <v>6.5</v>
      </c>
    </row>
    <row r="192" spans="1:3" x14ac:dyDescent="0.3">
      <c r="A192" s="31">
        <v>3</v>
      </c>
      <c r="B192" s="12" t="s">
        <v>4</v>
      </c>
      <c r="C192" s="50">
        <v>7</v>
      </c>
    </row>
    <row r="193" spans="1:3" x14ac:dyDescent="0.3">
      <c r="A193" s="31">
        <v>4</v>
      </c>
      <c r="B193" s="14" t="s">
        <v>5</v>
      </c>
      <c r="C193" s="50">
        <v>7</v>
      </c>
    </row>
    <row r="194" spans="1:3" x14ac:dyDescent="0.3">
      <c r="A194" s="31">
        <v>5</v>
      </c>
      <c r="B194" s="20" t="s">
        <v>6</v>
      </c>
      <c r="C194" s="50">
        <v>6.5</v>
      </c>
    </row>
    <row r="195" spans="1:3" x14ac:dyDescent="0.3">
      <c r="A195" s="31">
        <v>6</v>
      </c>
      <c r="B195" s="6" t="s">
        <v>7</v>
      </c>
      <c r="C195" s="50">
        <v>7</v>
      </c>
    </row>
    <row r="196" spans="1:3" x14ac:dyDescent="0.3">
      <c r="A196" s="31">
        <v>7</v>
      </c>
      <c r="B196" s="21" t="s">
        <v>8</v>
      </c>
      <c r="C196" s="50">
        <v>7</v>
      </c>
    </row>
    <row r="197" spans="1:3" x14ac:dyDescent="0.3">
      <c r="A197" s="31">
        <v>8</v>
      </c>
      <c r="B197" s="6" t="s">
        <v>9</v>
      </c>
      <c r="C197" s="50">
        <v>7</v>
      </c>
    </row>
    <row r="198" spans="1:3" x14ac:dyDescent="0.3">
      <c r="A198" s="31">
        <v>9</v>
      </c>
      <c r="B198" s="21" t="s">
        <v>10</v>
      </c>
      <c r="C198" s="50">
        <v>7</v>
      </c>
    </row>
    <row r="199" spans="1:3" x14ac:dyDescent="0.3">
      <c r="A199" s="31">
        <v>10</v>
      </c>
      <c r="B199" s="9" t="s">
        <v>11</v>
      </c>
      <c r="C199" s="50">
        <v>7.5</v>
      </c>
    </row>
    <row r="200" spans="1:3" x14ac:dyDescent="0.3">
      <c r="A200" s="31">
        <v>11</v>
      </c>
      <c r="B200" s="20" t="s">
        <v>12</v>
      </c>
      <c r="C200" s="50">
        <v>7</v>
      </c>
    </row>
    <row r="201" spans="1:3" x14ac:dyDescent="0.3">
      <c r="A201" s="31">
        <v>12</v>
      </c>
      <c r="B201" s="14" t="s">
        <v>13</v>
      </c>
      <c r="C201" s="50">
        <v>7</v>
      </c>
    </row>
    <row r="202" spans="1:3" x14ac:dyDescent="0.3">
      <c r="A202" s="31">
        <v>13</v>
      </c>
      <c r="B202" s="6" t="s">
        <v>14</v>
      </c>
      <c r="C202" s="50">
        <v>7</v>
      </c>
    </row>
    <row r="203" spans="1:3" x14ac:dyDescent="0.3">
      <c r="A203" s="31">
        <v>14</v>
      </c>
      <c r="B203" s="12" t="s">
        <v>15</v>
      </c>
      <c r="C203" s="50">
        <v>6.5</v>
      </c>
    </row>
    <row r="204" spans="1:3" x14ac:dyDescent="0.3">
      <c r="A204" s="31">
        <v>15</v>
      </c>
      <c r="B204" s="6" t="s">
        <v>16</v>
      </c>
      <c r="C204" s="50">
        <v>6.5</v>
      </c>
    </row>
    <row r="205" spans="1:3" x14ac:dyDescent="0.3">
      <c r="A205" s="31">
        <v>16</v>
      </c>
      <c r="B205" s="21" t="s">
        <v>17</v>
      </c>
      <c r="C205" s="50">
        <v>6</v>
      </c>
    </row>
    <row r="206" spans="1:3" x14ac:dyDescent="0.3">
      <c r="A206" s="31">
        <v>17</v>
      </c>
      <c r="B206" s="9" t="s">
        <v>18</v>
      </c>
      <c r="C206" s="50">
        <v>7</v>
      </c>
    </row>
    <row r="207" spans="1:3" x14ac:dyDescent="0.3">
      <c r="A207" s="31">
        <v>18</v>
      </c>
      <c r="B207" s="14" t="s">
        <v>19</v>
      </c>
      <c r="C207" s="50">
        <v>6.5</v>
      </c>
    </row>
    <row r="208" spans="1:3" x14ac:dyDescent="0.3">
      <c r="A208" s="31">
        <v>19</v>
      </c>
      <c r="B208" s="12" t="s">
        <v>20</v>
      </c>
      <c r="C208" s="50">
        <v>6</v>
      </c>
    </row>
    <row r="209" spans="1:3" x14ac:dyDescent="0.3">
      <c r="A209" s="31">
        <v>20</v>
      </c>
      <c r="B209" s="20" t="s">
        <v>21</v>
      </c>
      <c r="C209" s="50">
        <v>6.5</v>
      </c>
    </row>
    <row r="210" spans="1:3" x14ac:dyDescent="0.3">
      <c r="A210" s="31">
        <v>21</v>
      </c>
      <c r="B210" s="12" t="s">
        <v>22</v>
      </c>
      <c r="C210" s="50">
        <v>6.5</v>
      </c>
    </row>
    <row r="211" spans="1:3" x14ac:dyDescent="0.3">
      <c r="A211" s="31">
        <v>22</v>
      </c>
      <c r="B211" s="20" t="s">
        <v>23</v>
      </c>
      <c r="C211" s="50">
        <v>6.5</v>
      </c>
    </row>
    <row r="212" spans="1:3" x14ac:dyDescent="0.3">
      <c r="A212" s="31">
        <v>23</v>
      </c>
      <c r="B212" s="9" t="s">
        <v>24</v>
      </c>
      <c r="C212" s="50">
        <v>7</v>
      </c>
    </row>
    <row r="213" spans="1:3" ht="14.5" thickBot="1" x14ac:dyDescent="0.35">
      <c r="A213" s="32">
        <v>24</v>
      </c>
      <c r="B213" s="33" t="s">
        <v>25</v>
      </c>
      <c r="C213" s="55">
        <v>7</v>
      </c>
    </row>
    <row r="216" spans="1:3" ht="14.5" thickBot="1" x14ac:dyDescent="0.35">
      <c r="A216" s="1" t="s">
        <v>36</v>
      </c>
      <c r="B216" s="18">
        <v>45327</v>
      </c>
    </row>
    <row r="217" spans="1:3" x14ac:dyDescent="0.3">
      <c r="A217" s="22" t="s">
        <v>27</v>
      </c>
      <c r="B217" s="30" t="s">
        <v>26</v>
      </c>
      <c r="C217" s="23" t="s">
        <v>28</v>
      </c>
    </row>
    <row r="218" spans="1:3" x14ac:dyDescent="0.3">
      <c r="A218" s="31">
        <v>1</v>
      </c>
      <c r="B218" s="9" t="s">
        <v>2</v>
      </c>
      <c r="C218" s="50">
        <v>6</v>
      </c>
    </row>
    <row r="219" spans="1:3" x14ac:dyDescent="0.3">
      <c r="A219" s="31">
        <v>2</v>
      </c>
      <c r="B219" s="14" t="s">
        <v>3</v>
      </c>
      <c r="C219" s="50">
        <v>6</v>
      </c>
    </row>
    <row r="220" spans="1:3" x14ac:dyDescent="0.3">
      <c r="A220" s="31">
        <v>3</v>
      </c>
      <c r="B220" s="12" t="s">
        <v>4</v>
      </c>
      <c r="C220" s="50">
        <v>6.5</v>
      </c>
    </row>
    <row r="221" spans="1:3" x14ac:dyDescent="0.3">
      <c r="A221" s="31">
        <v>4</v>
      </c>
      <c r="B221" s="14" t="s">
        <v>5</v>
      </c>
      <c r="C221" s="50">
        <v>6.5</v>
      </c>
    </row>
    <row r="222" spans="1:3" x14ac:dyDescent="0.3">
      <c r="A222" s="31">
        <v>5</v>
      </c>
      <c r="B222" s="20" t="s">
        <v>6</v>
      </c>
      <c r="C222" s="50">
        <v>6</v>
      </c>
    </row>
    <row r="223" spans="1:3" x14ac:dyDescent="0.3">
      <c r="A223" s="31">
        <v>6</v>
      </c>
      <c r="B223" s="6" t="s">
        <v>7</v>
      </c>
      <c r="C223" s="50">
        <v>6.5</v>
      </c>
    </row>
    <row r="224" spans="1:3" x14ac:dyDescent="0.3">
      <c r="A224" s="31">
        <v>7</v>
      </c>
      <c r="B224" s="21" t="s">
        <v>8</v>
      </c>
      <c r="C224" s="50">
        <v>6.5</v>
      </c>
    </row>
    <row r="225" spans="1:3" x14ac:dyDescent="0.3">
      <c r="A225" s="31">
        <v>8</v>
      </c>
      <c r="B225" s="6" t="s">
        <v>9</v>
      </c>
      <c r="C225" s="50">
        <v>6.5</v>
      </c>
    </row>
    <row r="226" spans="1:3" x14ac:dyDescent="0.3">
      <c r="A226" s="31">
        <v>9</v>
      </c>
      <c r="B226" s="21" t="s">
        <v>10</v>
      </c>
      <c r="C226" s="50">
        <v>7</v>
      </c>
    </row>
    <row r="227" spans="1:3" x14ac:dyDescent="0.3">
      <c r="A227" s="31">
        <v>10</v>
      </c>
      <c r="B227" s="9" t="s">
        <v>11</v>
      </c>
      <c r="C227" s="50">
        <v>7</v>
      </c>
    </row>
    <row r="228" spans="1:3" x14ac:dyDescent="0.3">
      <c r="A228" s="31">
        <v>11</v>
      </c>
      <c r="B228" s="20" t="s">
        <v>12</v>
      </c>
      <c r="C228" s="50">
        <v>7</v>
      </c>
    </row>
    <row r="229" spans="1:3" x14ac:dyDescent="0.3">
      <c r="A229" s="31">
        <v>12</v>
      </c>
      <c r="B229" s="14" t="s">
        <v>13</v>
      </c>
      <c r="C229" s="50">
        <v>6.5</v>
      </c>
    </row>
    <row r="230" spans="1:3" x14ac:dyDescent="0.3">
      <c r="A230" s="31">
        <v>13</v>
      </c>
      <c r="B230" s="6" t="s">
        <v>14</v>
      </c>
      <c r="C230" s="50">
        <v>6.5</v>
      </c>
    </row>
    <row r="231" spans="1:3" x14ac:dyDescent="0.3">
      <c r="A231" s="31">
        <v>14</v>
      </c>
      <c r="B231" s="12" t="s">
        <v>15</v>
      </c>
      <c r="C231" s="50">
        <v>6.5</v>
      </c>
    </row>
    <row r="232" spans="1:3" x14ac:dyDescent="0.3">
      <c r="A232" s="31">
        <v>15</v>
      </c>
      <c r="B232" s="6" t="s">
        <v>16</v>
      </c>
      <c r="C232" s="50">
        <v>6</v>
      </c>
    </row>
    <row r="233" spans="1:3" x14ac:dyDescent="0.3">
      <c r="A233" s="31">
        <v>16</v>
      </c>
      <c r="B233" s="21" t="s">
        <v>17</v>
      </c>
      <c r="C233" s="50">
        <v>5.5</v>
      </c>
    </row>
    <row r="234" spans="1:3" x14ac:dyDescent="0.3">
      <c r="A234" s="31">
        <v>17</v>
      </c>
      <c r="B234" s="9" t="s">
        <v>18</v>
      </c>
      <c r="C234" s="50">
        <v>6.5</v>
      </c>
    </row>
    <row r="235" spans="1:3" x14ac:dyDescent="0.3">
      <c r="A235" s="31">
        <v>18</v>
      </c>
      <c r="B235" s="14" t="s">
        <v>19</v>
      </c>
      <c r="C235" s="50">
        <v>6.5</v>
      </c>
    </row>
    <row r="236" spans="1:3" x14ac:dyDescent="0.3">
      <c r="A236" s="31">
        <v>19</v>
      </c>
      <c r="B236" s="12" t="s">
        <v>20</v>
      </c>
      <c r="C236" s="50">
        <v>5.5</v>
      </c>
    </row>
    <row r="237" spans="1:3" x14ac:dyDescent="0.3">
      <c r="A237" s="31">
        <v>20</v>
      </c>
      <c r="B237" s="20" t="s">
        <v>21</v>
      </c>
      <c r="C237" s="50">
        <v>6</v>
      </c>
    </row>
    <row r="238" spans="1:3" x14ac:dyDescent="0.3">
      <c r="A238" s="31">
        <v>21</v>
      </c>
      <c r="B238" s="12" t="s">
        <v>22</v>
      </c>
      <c r="C238" s="50">
        <v>6</v>
      </c>
    </row>
    <row r="239" spans="1:3" x14ac:dyDescent="0.3">
      <c r="A239" s="31">
        <v>22</v>
      </c>
      <c r="B239" s="20" t="s">
        <v>23</v>
      </c>
      <c r="C239" s="50">
        <v>6</v>
      </c>
    </row>
    <row r="240" spans="1:3" x14ac:dyDescent="0.3">
      <c r="A240" s="31">
        <v>23</v>
      </c>
      <c r="B240" s="9" t="s">
        <v>24</v>
      </c>
      <c r="C240" s="50">
        <v>7</v>
      </c>
    </row>
    <row r="241" spans="1:3" ht="14.5" thickBot="1" x14ac:dyDescent="0.35">
      <c r="A241" s="32">
        <v>24</v>
      </c>
      <c r="B241" s="33" t="s">
        <v>25</v>
      </c>
      <c r="C241" s="55">
        <v>6.5</v>
      </c>
    </row>
    <row r="244" spans="1:3" ht="14.5" thickBot="1" x14ac:dyDescent="0.35">
      <c r="A244" s="1" t="s">
        <v>36</v>
      </c>
      <c r="B244" s="18">
        <v>45341</v>
      </c>
    </row>
    <row r="245" spans="1:3" x14ac:dyDescent="0.3">
      <c r="A245" s="22" t="s">
        <v>27</v>
      </c>
      <c r="B245" s="30" t="s">
        <v>26</v>
      </c>
      <c r="C245" s="23" t="s">
        <v>28</v>
      </c>
    </row>
    <row r="246" spans="1:3" x14ac:dyDescent="0.3">
      <c r="A246" s="31">
        <v>1</v>
      </c>
      <c r="B246" s="9" t="s">
        <v>2</v>
      </c>
      <c r="C246" s="50">
        <v>6</v>
      </c>
    </row>
    <row r="247" spans="1:3" x14ac:dyDescent="0.3">
      <c r="A247" s="31">
        <v>2</v>
      </c>
      <c r="B247" s="14" t="s">
        <v>3</v>
      </c>
      <c r="C247" s="50">
        <v>6</v>
      </c>
    </row>
    <row r="248" spans="1:3" x14ac:dyDescent="0.3">
      <c r="A248" s="31">
        <v>3</v>
      </c>
      <c r="B248" s="12" t="s">
        <v>4</v>
      </c>
      <c r="C248" s="50">
        <v>6</v>
      </c>
    </row>
    <row r="249" spans="1:3" x14ac:dyDescent="0.3">
      <c r="A249" s="31">
        <v>4</v>
      </c>
      <c r="B249" s="14" t="s">
        <v>5</v>
      </c>
      <c r="C249" s="50">
        <v>6</v>
      </c>
    </row>
    <row r="250" spans="1:3" x14ac:dyDescent="0.3">
      <c r="A250" s="31">
        <v>5</v>
      </c>
      <c r="B250" s="20" t="s">
        <v>6</v>
      </c>
      <c r="C250" s="50">
        <v>5.5</v>
      </c>
    </row>
    <row r="251" spans="1:3" x14ac:dyDescent="0.3">
      <c r="A251" s="31">
        <v>6</v>
      </c>
      <c r="B251" s="6" t="s">
        <v>7</v>
      </c>
      <c r="C251" s="50">
        <v>6</v>
      </c>
    </row>
    <row r="252" spans="1:3" x14ac:dyDescent="0.3">
      <c r="A252" s="31">
        <v>7</v>
      </c>
      <c r="B252" s="21" t="s">
        <v>8</v>
      </c>
      <c r="C252" s="50">
        <v>6</v>
      </c>
    </row>
    <row r="253" spans="1:3" x14ac:dyDescent="0.3">
      <c r="A253" s="31">
        <v>8</v>
      </c>
      <c r="B253" s="6" t="s">
        <v>9</v>
      </c>
      <c r="C253" s="50">
        <v>6</v>
      </c>
    </row>
    <row r="254" spans="1:3" x14ac:dyDescent="0.3">
      <c r="A254" s="31">
        <v>9</v>
      </c>
      <c r="B254" s="21" t="s">
        <v>10</v>
      </c>
      <c r="C254" s="50">
        <v>6.5</v>
      </c>
    </row>
    <row r="255" spans="1:3" x14ac:dyDescent="0.3">
      <c r="A255" s="31">
        <v>10</v>
      </c>
      <c r="B255" s="9" t="s">
        <v>11</v>
      </c>
      <c r="C255" s="50">
        <v>6.5</v>
      </c>
    </row>
    <row r="256" spans="1:3" x14ac:dyDescent="0.3">
      <c r="A256" s="31">
        <v>11</v>
      </c>
      <c r="B256" s="20" t="s">
        <v>12</v>
      </c>
      <c r="C256" s="50">
        <v>6.5</v>
      </c>
    </row>
    <row r="257" spans="1:3" x14ac:dyDescent="0.3">
      <c r="A257" s="31">
        <v>12</v>
      </c>
      <c r="B257" s="14" t="s">
        <v>13</v>
      </c>
      <c r="C257" s="50">
        <v>6</v>
      </c>
    </row>
    <row r="258" spans="1:3" x14ac:dyDescent="0.3">
      <c r="A258" s="31">
        <v>13</v>
      </c>
      <c r="B258" s="6" t="s">
        <v>14</v>
      </c>
      <c r="C258" s="50">
        <v>6</v>
      </c>
    </row>
    <row r="259" spans="1:3" x14ac:dyDescent="0.3">
      <c r="A259" s="31">
        <v>14</v>
      </c>
      <c r="B259" s="12" t="s">
        <v>15</v>
      </c>
      <c r="C259" s="50">
        <v>6</v>
      </c>
    </row>
    <row r="260" spans="1:3" x14ac:dyDescent="0.3">
      <c r="A260" s="31">
        <v>15</v>
      </c>
      <c r="B260" s="6" t="s">
        <v>16</v>
      </c>
      <c r="C260" s="50">
        <v>6</v>
      </c>
    </row>
    <row r="261" spans="1:3" x14ac:dyDescent="0.3">
      <c r="A261" s="31">
        <v>16</v>
      </c>
      <c r="B261" s="21" t="s">
        <v>17</v>
      </c>
      <c r="C261" s="50">
        <v>5.5</v>
      </c>
    </row>
    <row r="262" spans="1:3" x14ac:dyDescent="0.3">
      <c r="A262" s="31">
        <v>17</v>
      </c>
      <c r="B262" s="9" t="s">
        <v>18</v>
      </c>
      <c r="C262" s="50">
        <v>6</v>
      </c>
    </row>
    <row r="263" spans="1:3" x14ac:dyDescent="0.3">
      <c r="A263" s="31">
        <v>18</v>
      </c>
      <c r="B263" s="14" t="s">
        <v>19</v>
      </c>
      <c r="C263" s="50">
        <v>6</v>
      </c>
    </row>
    <row r="264" spans="1:3" x14ac:dyDescent="0.3">
      <c r="A264" s="31">
        <v>19</v>
      </c>
      <c r="B264" s="12" t="s">
        <v>20</v>
      </c>
      <c r="C264" s="50">
        <v>5</v>
      </c>
    </row>
    <row r="265" spans="1:3" x14ac:dyDescent="0.3">
      <c r="A265" s="31">
        <v>20</v>
      </c>
      <c r="B265" s="20" t="s">
        <v>21</v>
      </c>
      <c r="C265" s="50">
        <v>6</v>
      </c>
    </row>
    <row r="266" spans="1:3" x14ac:dyDescent="0.3">
      <c r="A266" s="31">
        <v>21</v>
      </c>
      <c r="B266" s="12" t="s">
        <v>22</v>
      </c>
      <c r="C266" s="50">
        <v>5.5</v>
      </c>
    </row>
    <row r="267" spans="1:3" x14ac:dyDescent="0.3">
      <c r="A267" s="31">
        <v>22</v>
      </c>
      <c r="B267" s="20" t="s">
        <v>23</v>
      </c>
      <c r="C267" s="50">
        <v>5.5</v>
      </c>
    </row>
    <row r="268" spans="1:3" x14ac:dyDescent="0.3">
      <c r="A268" s="31">
        <v>23</v>
      </c>
      <c r="B268" s="9" t="s">
        <v>24</v>
      </c>
      <c r="C268" s="50">
        <v>6.5</v>
      </c>
    </row>
    <row r="269" spans="1:3" ht="14.5" thickBot="1" x14ac:dyDescent="0.35">
      <c r="A269" s="32">
        <v>24</v>
      </c>
      <c r="B269" s="33" t="s">
        <v>25</v>
      </c>
      <c r="C269" s="55">
        <v>5.5</v>
      </c>
    </row>
    <row r="272" spans="1:3" ht="14.5" thickBot="1" x14ac:dyDescent="0.35">
      <c r="A272" s="1" t="s">
        <v>36</v>
      </c>
      <c r="B272" s="18">
        <v>45356</v>
      </c>
    </row>
    <row r="273" spans="1:3" x14ac:dyDescent="0.3">
      <c r="A273" s="22" t="s">
        <v>27</v>
      </c>
      <c r="B273" s="30" t="s">
        <v>26</v>
      </c>
      <c r="C273" s="23" t="s">
        <v>28</v>
      </c>
    </row>
    <row r="274" spans="1:3" x14ac:dyDescent="0.3">
      <c r="A274" s="31">
        <v>1</v>
      </c>
      <c r="B274" s="9" t="s">
        <v>2</v>
      </c>
      <c r="C274" s="50">
        <v>6</v>
      </c>
    </row>
    <row r="275" spans="1:3" x14ac:dyDescent="0.3">
      <c r="A275" s="31">
        <v>2</v>
      </c>
      <c r="B275" s="14" t="s">
        <v>3</v>
      </c>
      <c r="C275" s="50">
        <v>5.5</v>
      </c>
    </row>
    <row r="276" spans="1:3" x14ac:dyDescent="0.3">
      <c r="A276" s="31">
        <v>3</v>
      </c>
      <c r="B276" s="12" t="s">
        <v>4</v>
      </c>
      <c r="C276" s="50">
        <v>6</v>
      </c>
    </row>
    <row r="277" spans="1:3" x14ac:dyDescent="0.3">
      <c r="A277" s="31">
        <v>4</v>
      </c>
      <c r="B277" s="14" t="s">
        <v>5</v>
      </c>
      <c r="C277" s="50">
        <v>6</v>
      </c>
    </row>
    <row r="278" spans="1:3" x14ac:dyDescent="0.3">
      <c r="A278" s="31">
        <v>5</v>
      </c>
      <c r="B278" s="20" t="s">
        <v>6</v>
      </c>
      <c r="C278" s="50">
        <v>5</v>
      </c>
    </row>
    <row r="279" spans="1:3" x14ac:dyDescent="0.3">
      <c r="A279" s="31">
        <v>6</v>
      </c>
      <c r="B279" s="6" t="s">
        <v>7</v>
      </c>
      <c r="C279" s="50">
        <v>6</v>
      </c>
    </row>
    <row r="280" spans="1:3" x14ac:dyDescent="0.3">
      <c r="A280" s="31">
        <v>7</v>
      </c>
      <c r="B280" s="21" t="s">
        <v>8</v>
      </c>
      <c r="C280" s="50">
        <v>6.5</v>
      </c>
    </row>
    <row r="281" spans="1:3" x14ac:dyDescent="0.3">
      <c r="A281" s="31">
        <v>8</v>
      </c>
      <c r="B281" s="6" t="s">
        <v>9</v>
      </c>
      <c r="C281" s="50">
        <v>5.5</v>
      </c>
    </row>
    <row r="282" spans="1:3" x14ac:dyDescent="0.3">
      <c r="A282" s="31">
        <v>9</v>
      </c>
      <c r="B282" s="21" t="s">
        <v>10</v>
      </c>
      <c r="C282" s="50">
        <v>6</v>
      </c>
    </row>
    <row r="283" spans="1:3" x14ac:dyDescent="0.3">
      <c r="A283" s="31">
        <v>10</v>
      </c>
      <c r="B283" s="9" t="s">
        <v>11</v>
      </c>
      <c r="C283" s="50">
        <v>6.5</v>
      </c>
    </row>
    <row r="284" spans="1:3" x14ac:dyDescent="0.3">
      <c r="A284" s="31">
        <v>11</v>
      </c>
      <c r="B284" s="20" t="s">
        <v>12</v>
      </c>
      <c r="C284" s="50">
        <v>6.5</v>
      </c>
    </row>
    <row r="285" spans="1:3" x14ac:dyDescent="0.3">
      <c r="A285" s="31">
        <v>12</v>
      </c>
      <c r="B285" s="14" t="s">
        <v>13</v>
      </c>
      <c r="C285" s="50">
        <v>5.5</v>
      </c>
    </row>
    <row r="286" spans="1:3" x14ac:dyDescent="0.3">
      <c r="A286" s="31">
        <v>13</v>
      </c>
      <c r="B286" s="6" t="s">
        <v>14</v>
      </c>
      <c r="C286" s="50">
        <v>5.5</v>
      </c>
    </row>
    <row r="287" spans="1:3" x14ac:dyDescent="0.3">
      <c r="A287" s="31">
        <v>14</v>
      </c>
      <c r="B287" s="12" t="s">
        <v>15</v>
      </c>
      <c r="C287" s="50">
        <v>5.5</v>
      </c>
    </row>
    <row r="288" spans="1:3" x14ac:dyDescent="0.3">
      <c r="A288" s="31">
        <v>15</v>
      </c>
      <c r="B288" s="6" t="s">
        <v>16</v>
      </c>
      <c r="C288" s="50">
        <v>5.5</v>
      </c>
    </row>
    <row r="289" spans="1:3" x14ac:dyDescent="0.3">
      <c r="A289" s="31">
        <v>16</v>
      </c>
      <c r="B289" s="21" t="s">
        <v>17</v>
      </c>
      <c r="C289" s="50">
        <v>5.5</v>
      </c>
    </row>
    <row r="290" spans="1:3" x14ac:dyDescent="0.3">
      <c r="A290" s="31">
        <v>17</v>
      </c>
      <c r="B290" s="9" t="s">
        <v>18</v>
      </c>
      <c r="C290" s="50">
        <v>6</v>
      </c>
    </row>
    <row r="291" spans="1:3" x14ac:dyDescent="0.3">
      <c r="A291" s="31">
        <v>18</v>
      </c>
      <c r="B291" s="14" t="s">
        <v>19</v>
      </c>
      <c r="C291" s="50">
        <v>5.5</v>
      </c>
    </row>
    <row r="292" spans="1:3" x14ac:dyDescent="0.3">
      <c r="A292" s="31">
        <v>19</v>
      </c>
      <c r="B292" s="12" t="s">
        <v>20</v>
      </c>
      <c r="C292" s="50">
        <v>5</v>
      </c>
    </row>
    <row r="293" spans="1:3" x14ac:dyDescent="0.3">
      <c r="A293" s="31">
        <v>20</v>
      </c>
      <c r="B293" s="20" t="s">
        <v>21</v>
      </c>
      <c r="C293" s="50">
        <v>6</v>
      </c>
    </row>
    <row r="294" spans="1:3" x14ac:dyDescent="0.3">
      <c r="A294" s="31">
        <v>21</v>
      </c>
      <c r="B294" s="12" t="s">
        <v>22</v>
      </c>
      <c r="C294" s="50">
        <v>5</v>
      </c>
    </row>
    <row r="295" spans="1:3" x14ac:dyDescent="0.3">
      <c r="A295" s="31">
        <v>22</v>
      </c>
      <c r="B295" s="20" t="s">
        <v>23</v>
      </c>
      <c r="C295" s="50">
        <v>5</v>
      </c>
    </row>
    <row r="296" spans="1:3" x14ac:dyDescent="0.3">
      <c r="A296" s="31">
        <v>23</v>
      </c>
      <c r="B296" s="9" t="s">
        <v>24</v>
      </c>
      <c r="C296" s="50">
        <v>5</v>
      </c>
    </row>
    <row r="297" spans="1:3" ht="14.5" thickBot="1" x14ac:dyDescent="0.35">
      <c r="A297" s="32">
        <v>24</v>
      </c>
      <c r="B297" s="33" t="s">
        <v>25</v>
      </c>
      <c r="C297" s="55">
        <v>5</v>
      </c>
    </row>
    <row r="300" spans="1:3" ht="14.5" thickBot="1" x14ac:dyDescent="0.35">
      <c r="A300" s="1" t="s">
        <v>36</v>
      </c>
      <c r="B300" s="18">
        <v>45369</v>
      </c>
    </row>
    <row r="301" spans="1:3" x14ac:dyDescent="0.3">
      <c r="A301" s="22" t="s">
        <v>27</v>
      </c>
      <c r="B301" s="30" t="s">
        <v>26</v>
      </c>
      <c r="C301" s="23" t="s">
        <v>28</v>
      </c>
    </row>
    <row r="302" spans="1:3" x14ac:dyDescent="0.3">
      <c r="A302" s="31">
        <v>1</v>
      </c>
      <c r="B302" s="9" t="s">
        <v>2</v>
      </c>
      <c r="C302" s="50">
        <v>6</v>
      </c>
    </row>
    <row r="303" spans="1:3" x14ac:dyDescent="0.3">
      <c r="A303" s="31">
        <v>2</v>
      </c>
      <c r="B303" s="14" t="s">
        <v>3</v>
      </c>
      <c r="C303" s="50">
        <v>6</v>
      </c>
    </row>
    <row r="304" spans="1:3" x14ac:dyDescent="0.3">
      <c r="A304" s="31">
        <v>3</v>
      </c>
      <c r="B304" s="12" t="s">
        <v>4</v>
      </c>
      <c r="C304" s="50">
        <v>6</v>
      </c>
    </row>
    <row r="305" spans="1:3" x14ac:dyDescent="0.3">
      <c r="A305" s="31">
        <v>4</v>
      </c>
      <c r="B305" s="14" t="s">
        <v>5</v>
      </c>
      <c r="C305" s="50">
        <v>6</v>
      </c>
    </row>
    <row r="306" spans="1:3" x14ac:dyDescent="0.3">
      <c r="A306" s="31">
        <v>5</v>
      </c>
      <c r="B306" s="20" t="s">
        <v>6</v>
      </c>
      <c r="C306" s="50">
        <v>4.5</v>
      </c>
    </row>
    <row r="307" spans="1:3" x14ac:dyDescent="0.3">
      <c r="A307" s="31">
        <v>6</v>
      </c>
      <c r="B307" s="6" t="s">
        <v>7</v>
      </c>
      <c r="C307" s="50">
        <v>5.5</v>
      </c>
    </row>
    <row r="308" spans="1:3" x14ac:dyDescent="0.3">
      <c r="A308" s="31">
        <v>7</v>
      </c>
      <c r="B308" s="21" t="s">
        <v>8</v>
      </c>
      <c r="C308" s="50">
        <v>6</v>
      </c>
    </row>
    <row r="309" spans="1:3" x14ac:dyDescent="0.3">
      <c r="A309" s="31">
        <v>8</v>
      </c>
      <c r="B309" s="6" t="s">
        <v>9</v>
      </c>
      <c r="C309" s="50">
        <v>5.5</v>
      </c>
    </row>
    <row r="310" spans="1:3" x14ac:dyDescent="0.3">
      <c r="A310" s="31">
        <v>9</v>
      </c>
      <c r="B310" s="21" t="s">
        <v>10</v>
      </c>
      <c r="C310" s="50">
        <v>5.5</v>
      </c>
    </row>
    <row r="311" spans="1:3" x14ac:dyDescent="0.3">
      <c r="A311" s="31">
        <v>10</v>
      </c>
      <c r="B311" s="9" t="s">
        <v>11</v>
      </c>
      <c r="C311" s="50">
        <v>6</v>
      </c>
    </row>
    <row r="312" spans="1:3" x14ac:dyDescent="0.3">
      <c r="A312" s="31">
        <v>11</v>
      </c>
      <c r="B312" s="20" t="s">
        <v>12</v>
      </c>
      <c r="C312" s="50">
        <v>6</v>
      </c>
    </row>
    <row r="313" spans="1:3" x14ac:dyDescent="0.3">
      <c r="A313" s="31">
        <v>12</v>
      </c>
      <c r="B313" s="14" t="s">
        <v>13</v>
      </c>
      <c r="C313" s="50">
        <v>5.5</v>
      </c>
    </row>
    <row r="314" spans="1:3" x14ac:dyDescent="0.3">
      <c r="A314" s="31">
        <v>13</v>
      </c>
      <c r="B314" s="6" t="s">
        <v>14</v>
      </c>
      <c r="C314" s="50">
        <v>5.5</v>
      </c>
    </row>
    <row r="315" spans="1:3" x14ac:dyDescent="0.3">
      <c r="A315" s="31">
        <v>14</v>
      </c>
      <c r="B315" s="12" t="s">
        <v>15</v>
      </c>
      <c r="C315" s="50">
        <v>5.5</v>
      </c>
    </row>
    <row r="316" spans="1:3" x14ac:dyDescent="0.3">
      <c r="A316" s="31">
        <v>15</v>
      </c>
      <c r="B316" s="6" t="s">
        <v>16</v>
      </c>
      <c r="C316" s="50">
        <v>5.5</v>
      </c>
    </row>
    <row r="317" spans="1:3" x14ac:dyDescent="0.3">
      <c r="A317" s="31">
        <v>16</v>
      </c>
      <c r="B317" s="21" t="s">
        <v>17</v>
      </c>
      <c r="C317" s="50">
        <v>5.5</v>
      </c>
    </row>
    <row r="318" spans="1:3" x14ac:dyDescent="0.3">
      <c r="A318" s="31">
        <v>17</v>
      </c>
      <c r="B318" s="9" t="s">
        <v>18</v>
      </c>
      <c r="C318" s="50">
        <v>5.5</v>
      </c>
    </row>
    <row r="319" spans="1:3" x14ac:dyDescent="0.3">
      <c r="A319" s="31">
        <v>18</v>
      </c>
      <c r="B319" s="14" t="s">
        <v>19</v>
      </c>
      <c r="C319" s="50">
        <v>6</v>
      </c>
    </row>
    <row r="320" spans="1:3" x14ac:dyDescent="0.3">
      <c r="A320" s="31">
        <v>19</v>
      </c>
      <c r="B320" s="12" t="s">
        <v>20</v>
      </c>
      <c r="C320" s="50">
        <v>5.5</v>
      </c>
    </row>
    <row r="321" spans="1:3" x14ac:dyDescent="0.3">
      <c r="A321" s="31">
        <v>20</v>
      </c>
      <c r="B321" s="20" t="s">
        <v>21</v>
      </c>
      <c r="C321" s="50">
        <v>6</v>
      </c>
    </row>
    <row r="322" spans="1:3" x14ac:dyDescent="0.3">
      <c r="A322" s="31">
        <v>21</v>
      </c>
      <c r="B322" s="12" t="s">
        <v>22</v>
      </c>
      <c r="C322" s="50">
        <v>5</v>
      </c>
    </row>
    <row r="323" spans="1:3" x14ac:dyDescent="0.3">
      <c r="A323" s="31">
        <v>22</v>
      </c>
      <c r="B323" s="20" t="s">
        <v>23</v>
      </c>
      <c r="C323" s="50">
        <v>5</v>
      </c>
    </row>
    <row r="324" spans="1:3" x14ac:dyDescent="0.3">
      <c r="A324" s="31">
        <v>23</v>
      </c>
      <c r="B324" s="9" t="s">
        <v>24</v>
      </c>
      <c r="C324" s="50">
        <v>4.5</v>
      </c>
    </row>
    <row r="325" spans="1:3" ht="14.5" thickBot="1" x14ac:dyDescent="0.35">
      <c r="A325" s="32">
        <v>24</v>
      </c>
      <c r="B325" s="33" t="s">
        <v>25</v>
      </c>
      <c r="C325" s="55">
        <v>5</v>
      </c>
    </row>
    <row r="328" spans="1:3" ht="14.5" thickBot="1" x14ac:dyDescent="0.35">
      <c r="A328" s="1" t="s">
        <v>36</v>
      </c>
      <c r="B328" s="18">
        <v>45384</v>
      </c>
    </row>
    <row r="329" spans="1:3" x14ac:dyDescent="0.3">
      <c r="A329" s="22" t="s">
        <v>27</v>
      </c>
      <c r="B329" s="30" t="s">
        <v>26</v>
      </c>
      <c r="C329" s="23" t="s">
        <v>28</v>
      </c>
    </row>
    <row r="330" spans="1:3" x14ac:dyDescent="0.3">
      <c r="A330" s="31">
        <v>1</v>
      </c>
      <c r="B330" s="9" t="s">
        <v>2</v>
      </c>
      <c r="C330" s="50">
        <v>7</v>
      </c>
    </row>
    <row r="331" spans="1:3" x14ac:dyDescent="0.3">
      <c r="A331" s="31">
        <v>2</v>
      </c>
      <c r="B331" s="14" t="s">
        <v>3</v>
      </c>
      <c r="C331" s="50">
        <v>7</v>
      </c>
    </row>
    <row r="332" spans="1:3" x14ac:dyDescent="0.3">
      <c r="A332" s="31">
        <v>3</v>
      </c>
      <c r="B332" s="12" t="s">
        <v>4</v>
      </c>
      <c r="C332" s="50">
        <v>6.5</v>
      </c>
    </row>
    <row r="333" spans="1:3" x14ac:dyDescent="0.3">
      <c r="A333" s="31">
        <v>4</v>
      </c>
      <c r="B333" s="14" t="s">
        <v>5</v>
      </c>
      <c r="C333" s="50">
        <v>6.5</v>
      </c>
    </row>
    <row r="334" spans="1:3" x14ac:dyDescent="0.3">
      <c r="A334" s="31">
        <v>5</v>
      </c>
      <c r="B334" s="20" t="s">
        <v>6</v>
      </c>
      <c r="C334" s="50">
        <v>6</v>
      </c>
    </row>
    <row r="335" spans="1:3" x14ac:dyDescent="0.3">
      <c r="A335" s="31">
        <v>6</v>
      </c>
      <c r="B335" s="6" t="s">
        <v>7</v>
      </c>
      <c r="C335" s="50">
        <v>6</v>
      </c>
    </row>
    <row r="336" spans="1:3" x14ac:dyDescent="0.3">
      <c r="A336" s="31">
        <v>7</v>
      </c>
      <c r="B336" s="21" t="s">
        <v>8</v>
      </c>
      <c r="C336" s="50">
        <v>7</v>
      </c>
    </row>
    <row r="337" spans="1:3" x14ac:dyDescent="0.3">
      <c r="A337" s="31">
        <v>8</v>
      </c>
      <c r="B337" s="6" t="s">
        <v>9</v>
      </c>
      <c r="C337" s="50">
        <v>6.5</v>
      </c>
    </row>
    <row r="338" spans="1:3" x14ac:dyDescent="0.3">
      <c r="A338" s="31">
        <v>9</v>
      </c>
      <c r="B338" s="21" t="s">
        <v>10</v>
      </c>
      <c r="C338" s="50">
        <v>6.5</v>
      </c>
    </row>
    <row r="339" spans="1:3" x14ac:dyDescent="0.3">
      <c r="A339" s="31">
        <v>10</v>
      </c>
      <c r="B339" s="9" t="s">
        <v>11</v>
      </c>
      <c r="C339" s="50">
        <v>6.5</v>
      </c>
    </row>
    <row r="340" spans="1:3" x14ac:dyDescent="0.3">
      <c r="A340" s="31">
        <v>11</v>
      </c>
      <c r="B340" s="20" t="s">
        <v>12</v>
      </c>
      <c r="C340" s="50">
        <v>7</v>
      </c>
    </row>
    <row r="341" spans="1:3" x14ac:dyDescent="0.3">
      <c r="A341" s="31">
        <v>12</v>
      </c>
      <c r="B341" s="14" t="s">
        <v>13</v>
      </c>
      <c r="C341" s="50">
        <v>7</v>
      </c>
    </row>
    <row r="342" spans="1:3" x14ac:dyDescent="0.3">
      <c r="A342" s="31">
        <v>13</v>
      </c>
      <c r="B342" s="6" t="s">
        <v>14</v>
      </c>
      <c r="C342" s="50">
        <v>7</v>
      </c>
    </row>
    <row r="343" spans="1:3" x14ac:dyDescent="0.3">
      <c r="A343" s="31">
        <v>14</v>
      </c>
      <c r="B343" s="12" t="s">
        <v>15</v>
      </c>
      <c r="C343" s="50">
        <v>7</v>
      </c>
    </row>
    <row r="344" spans="1:3" x14ac:dyDescent="0.3">
      <c r="A344" s="31">
        <v>15</v>
      </c>
      <c r="B344" s="6" t="s">
        <v>16</v>
      </c>
      <c r="C344" s="50">
        <v>7</v>
      </c>
    </row>
    <row r="345" spans="1:3" x14ac:dyDescent="0.3">
      <c r="A345" s="31">
        <v>16</v>
      </c>
      <c r="B345" s="21" t="s">
        <v>17</v>
      </c>
      <c r="C345" s="50">
        <v>7</v>
      </c>
    </row>
    <row r="346" spans="1:3" x14ac:dyDescent="0.3">
      <c r="A346" s="31">
        <v>17</v>
      </c>
      <c r="B346" s="9" t="s">
        <v>18</v>
      </c>
      <c r="C346" s="50">
        <v>7</v>
      </c>
    </row>
    <row r="347" spans="1:3" x14ac:dyDescent="0.3">
      <c r="A347" s="31">
        <v>18</v>
      </c>
      <c r="B347" s="14" t="s">
        <v>19</v>
      </c>
      <c r="C347" s="50">
        <v>7</v>
      </c>
    </row>
    <row r="348" spans="1:3" x14ac:dyDescent="0.3">
      <c r="A348" s="31">
        <v>19</v>
      </c>
      <c r="B348" s="12" t="s">
        <v>20</v>
      </c>
      <c r="C348" s="50">
        <v>7</v>
      </c>
    </row>
    <row r="349" spans="1:3" x14ac:dyDescent="0.3">
      <c r="A349" s="31">
        <v>20</v>
      </c>
      <c r="B349" s="20" t="s">
        <v>21</v>
      </c>
      <c r="C349" s="50">
        <v>7</v>
      </c>
    </row>
    <row r="350" spans="1:3" x14ac:dyDescent="0.3">
      <c r="A350" s="31">
        <v>21</v>
      </c>
      <c r="B350" s="12" t="s">
        <v>22</v>
      </c>
      <c r="C350" s="50">
        <v>6.5</v>
      </c>
    </row>
    <row r="351" spans="1:3" x14ac:dyDescent="0.3">
      <c r="A351" s="31">
        <v>22</v>
      </c>
      <c r="B351" s="20" t="s">
        <v>23</v>
      </c>
      <c r="C351" s="50">
        <v>6.5</v>
      </c>
    </row>
    <row r="352" spans="1:3" x14ac:dyDescent="0.3">
      <c r="A352" s="31">
        <v>23</v>
      </c>
      <c r="B352" s="9" t="s">
        <v>24</v>
      </c>
      <c r="C352" s="50">
        <v>6.5</v>
      </c>
    </row>
    <row r="353" spans="1:3" ht="14.5" thickBot="1" x14ac:dyDescent="0.35">
      <c r="A353" s="32">
        <v>24</v>
      </c>
      <c r="B353" s="33" t="s">
        <v>25</v>
      </c>
      <c r="C353" s="55">
        <v>6.5</v>
      </c>
    </row>
    <row r="356" spans="1:3" ht="14.5" thickBot="1" x14ac:dyDescent="0.35">
      <c r="A356" s="1" t="s">
        <v>36</v>
      </c>
      <c r="B356" s="18">
        <v>45399</v>
      </c>
    </row>
    <row r="357" spans="1:3" x14ac:dyDescent="0.3">
      <c r="A357" s="22" t="s">
        <v>27</v>
      </c>
      <c r="B357" s="30" t="s">
        <v>26</v>
      </c>
      <c r="C357" s="23" t="s">
        <v>28</v>
      </c>
    </row>
    <row r="358" spans="1:3" x14ac:dyDescent="0.3">
      <c r="A358" s="31">
        <v>1</v>
      </c>
      <c r="B358" s="9" t="s">
        <v>2</v>
      </c>
      <c r="C358" s="50">
        <v>7</v>
      </c>
    </row>
    <row r="359" spans="1:3" x14ac:dyDescent="0.3">
      <c r="A359" s="31">
        <v>2</v>
      </c>
      <c r="B359" s="14" t="s">
        <v>3</v>
      </c>
      <c r="C359" s="50">
        <v>7</v>
      </c>
    </row>
    <row r="360" spans="1:3" x14ac:dyDescent="0.3">
      <c r="A360" s="31">
        <v>3</v>
      </c>
      <c r="B360" s="12" t="s">
        <v>4</v>
      </c>
      <c r="C360" s="50">
        <v>7</v>
      </c>
    </row>
    <row r="361" spans="1:3" x14ac:dyDescent="0.3">
      <c r="A361" s="31">
        <v>4</v>
      </c>
      <c r="B361" s="14" t="s">
        <v>5</v>
      </c>
      <c r="C361" s="50">
        <v>6.5</v>
      </c>
    </row>
    <row r="362" spans="1:3" x14ac:dyDescent="0.3">
      <c r="A362" s="31">
        <v>5</v>
      </c>
      <c r="B362" s="20" t="s">
        <v>6</v>
      </c>
      <c r="C362" s="50">
        <v>6.5</v>
      </c>
    </row>
    <row r="363" spans="1:3" x14ac:dyDescent="0.3">
      <c r="A363" s="31">
        <v>6</v>
      </c>
      <c r="B363" s="6" t="s">
        <v>7</v>
      </c>
      <c r="C363" s="50">
        <v>6.5</v>
      </c>
    </row>
    <row r="364" spans="1:3" x14ac:dyDescent="0.3">
      <c r="A364" s="31">
        <v>7</v>
      </c>
      <c r="B364" s="21" t="s">
        <v>8</v>
      </c>
      <c r="C364" s="50">
        <v>7</v>
      </c>
    </row>
    <row r="365" spans="1:3" x14ac:dyDescent="0.3">
      <c r="A365" s="31">
        <v>8</v>
      </c>
      <c r="B365" s="6" t="s">
        <v>9</v>
      </c>
      <c r="C365" s="50">
        <v>7</v>
      </c>
    </row>
    <row r="366" spans="1:3" x14ac:dyDescent="0.3">
      <c r="A366" s="31">
        <v>9</v>
      </c>
      <c r="B366" s="21" t="s">
        <v>10</v>
      </c>
      <c r="C366" s="50">
        <v>7</v>
      </c>
    </row>
    <row r="367" spans="1:3" x14ac:dyDescent="0.3">
      <c r="A367" s="31">
        <v>10</v>
      </c>
      <c r="B367" s="9" t="s">
        <v>11</v>
      </c>
      <c r="C367" s="50">
        <v>7</v>
      </c>
    </row>
    <row r="368" spans="1:3" x14ac:dyDescent="0.3">
      <c r="A368" s="31">
        <v>11</v>
      </c>
      <c r="B368" s="20" t="s">
        <v>12</v>
      </c>
      <c r="C368" s="50">
        <v>7</v>
      </c>
    </row>
    <row r="369" spans="1:3" x14ac:dyDescent="0.3">
      <c r="A369" s="31">
        <v>12</v>
      </c>
      <c r="B369" s="14" t="s">
        <v>13</v>
      </c>
      <c r="C369" s="50">
        <v>7</v>
      </c>
    </row>
    <row r="370" spans="1:3" x14ac:dyDescent="0.3">
      <c r="A370" s="31">
        <v>13</v>
      </c>
      <c r="B370" s="6" t="s">
        <v>14</v>
      </c>
      <c r="C370" s="50">
        <v>7</v>
      </c>
    </row>
    <row r="371" spans="1:3" x14ac:dyDescent="0.3">
      <c r="A371" s="31">
        <v>14</v>
      </c>
      <c r="B371" s="12" t="s">
        <v>15</v>
      </c>
      <c r="C371" s="50">
        <v>7</v>
      </c>
    </row>
    <row r="372" spans="1:3" x14ac:dyDescent="0.3">
      <c r="A372" s="31">
        <v>15</v>
      </c>
      <c r="B372" s="6" t="s">
        <v>16</v>
      </c>
      <c r="C372" s="50">
        <v>7</v>
      </c>
    </row>
    <row r="373" spans="1:3" x14ac:dyDescent="0.3">
      <c r="A373" s="31">
        <v>16</v>
      </c>
      <c r="B373" s="21" t="s">
        <v>17</v>
      </c>
      <c r="C373" s="50">
        <v>7</v>
      </c>
    </row>
    <row r="374" spans="1:3" x14ac:dyDescent="0.3">
      <c r="A374" s="31">
        <v>17</v>
      </c>
      <c r="B374" s="9" t="s">
        <v>18</v>
      </c>
      <c r="C374" s="50">
        <v>7</v>
      </c>
    </row>
    <row r="375" spans="1:3" x14ac:dyDescent="0.3">
      <c r="A375" s="31">
        <v>18</v>
      </c>
      <c r="B375" s="14" t="s">
        <v>19</v>
      </c>
      <c r="C375" s="50">
        <v>7</v>
      </c>
    </row>
    <row r="376" spans="1:3" x14ac:dyDescent="0.3">
      <c r="A376" s="31">
        <v>19</v>
      </c>
      <c r="B376" s="12" t="s">
        <v>20</v>
      </c>
      <c r="C376" s="50">
        <v>7</v>
      </c>
    </row>
    <row r="377" spans="1:3" x14ac:dyDescent="0.3">
      <c r="A377" s="31">
        <v>20</v>
      </c>
      <c r="B377" s="20" t="s">
        <v>21</v>
      </c>
      <c r="C377" s="50">
        <v>7</v>
      </c>
    </row>
    <row r="378" spans="1:3" x14ac:dyDescent="0.3">
      <c r="A378" s="31">
        <v>21</v>
      </c>
      <c r="B378" s="12" t="s">
        <v>22</v>
      </c>
      <c r="C378" s="50">
        <v>7</v>
      </c>
    </row>
    <row r="379" spans="1:3" x14ac:dyDescent="0.3">
      <c r="A379" s="31">
        <v>22</v>
      </c>
      <c r="B379" s="20" t="s">
        <v>23</v>
      </c>
      <c r="C379" s="50">
        <v>7</v>
      </c>
    </row>
    <row r="380" spans="1:3" x14ac:dyDescent="0.3">
      <c r="A380" s="31">
        <v>23</v>
      </c>
      <c r="B380" s="9" t="s">
        <v>24</v>
      </c>
      <c r="C380" s="50">
        <v>7</v>
      </c>
    </row>
    <row r="381" spans="1:3" ht="14.5" thickBot="1" x14ac:dyDescent="0.35">
      <c r="A381" s="32">
        <v>24</v>
      </c>
      <c r="B381" s="33" t="s">
        <v>25</v>
      </c>
      <c r="C381" s="55">
        <v>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A59E-47B7-4F93-91FA-ECFC0BA68605}">
  <dimension ref="A1:AD379"/>
  <sheetViews>
    <sheetView topLeftCell="F1" zoomScale="98" zoomScaleNormal="98" workbookViewId="0">
      <selection activeCell="O3" sqref="O3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30" x14ac:dyDescent="0.3">
      <c r="A1" s="1" t="s">
        <v>39</v>
      </c>
      <c r="F1" s="1"/>
    </row>
    <row r="2" spans="1:30" ht="14.5" thickBot="1" x14ac:dyDescent="0.35">
      <c r="A2" s="1"/>
      <c r="E2" s="1" t="s">
        <v>53</v>
      </c>
      <c r="W2" s="1" t="s">
        <v>52</v>
      </c>
    </row>
    <row r="3" spans="1:30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  <c r="W3" s="22" t="s">
        <v>35</v>
      </c>
      <c r="X3" s="29"/>
      <c r="Y3" s="24" t="s">
        <v>34</v>
      </c>
      <c r="Z3" s="24" t="s">
        <v>68</v>
      </c>
      <c r="AA3" s="24" t="s">
        <v>69</v>
      </c>
      <c r="AB3" s="24" t="s">
        <v>70</v>
      </c>
      <c r="AC3" s="42" t="s">
        <v>71</v>
      </c>
      <c r="AD3" s="24" t="s">
        <v>72</v>
      </c>
    </row>
    <row r="4" spans="1:30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19">
        <f>AVERAGE(C26,C35,C28,C43)</f>
        <v>6.25</v>
      </c>
      <c r="H4" s="19">
        <f>AVERAGE(C20,C29,C36,C42)</f>
        <v>6.375</v>
      </c>
      <c r="I4" s="19">
        <f>AVERAGE(C25,C27,C32,C34)</f>
        <v>6.875</v>
      </c>
      <c r="J4" s="19">
        <f>AVERAGE(C21,C23,C31,C37)</f>
        <v>7</v>
      </c>
      <c r="K4" s="19">
        <f>AVERAGE(C38,C40,C22,C33)</f>
        <v>6.25</v>
      </c>
      <c r="L4" s="26">
        <f>AVERAGE(C41,C39,C30,C24)</f>
        <v>6.375</v>
      </c>
      <c r="W4" s="25">
        <v>1</v>
      </c>
      <c r="X4" s="39">
        <v>45216</v>
      </c>
      <c r="Y4" s="49">
        <f>AVERAGE(D26,D28,D35,D43)</f>
        <v>2.9075000000000002</v>
      </c>
      <c r="Z4" s="49">
        <f>AVERAGE(D29,D42,D36,D20)</f>
        <v>5.1025</v>
      </c>
      <c r="AA4" s="49">
        <f>AVERAGE(D25,D27,D32,D34)</f>
        <v>5.45</v>
      </c>
      <c r="AB4" s="49">
        <f>AVERAGE(D21,D23,D31,D37)</f>
        <v>4.4024999999999999</v>
      </c>
      <c r="AC4" s="49">
        <f>AVERAGE(D22,D33,D38,D40)</f>
        <v>5.8425000000000002</v>
      </c>
      <c r="AD4" s="50">
        <f>AVERAGE(D24,D30,D41,D39)</f>
        <v>3.7550000000000003</v>
      </c>
    </row>
    <row r="5" spans="1:30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19">
        <f>AVERAGE(C71,C56,C54,C63)</f>
        <v>6.75</v>
      </c>
      <c r="H5" s="19">
        <f>AVERAGE(C48,C57,C70,C64)</f>
        <v>7.125</v>
      </c>
      <c r="I5" s="19">
        <f>AVERAGE(C53,C55,C60,C62)</f>
        <v>7.25</v>
      </c>
      <c r="J5">
        <f>AVERAGE(C65,C59,C51,C49)</f>
        <v>7.625</v>
      </c>
      <c r="K5" s="19">
        <f>AVERAGE(C50,C61,C66,C68)</f>
        <v>6.875</v>
      </c>
      <c r="L5" s="26">
        <f>AVERAGE(C52,C58,C67,C69)</f>
        <v>7</v>
      </c>
      <c r="W5" s="25">
        <v>2</v>
      </c>
      <c r="X5" s="39">
        <v>45229</v>
      </c>
      <c r="Y5" s="49">
        <f>AVERAGE(D54,D56,D63,D71)</f>
        <v>5.1275000000000004</v>
      </c>
      <c r="Z5" s="49">
        <f>AVERAGE(D70,D64,D57,D48)</f>
        <v>6.3325000000000005</v>
      </c>
      <c r="AA5" s="49">
        <f>AVERAGE(D53,D55,D60,D62)</f>
        <v>6.665</v>
      </c>
      <c r="AB5" s="56">
        <f>AVERAGE(D49,D51,D59,D65)</f>
        <v>6.4524999999999997</v>
      </c>
      <c r="AC5" s="49">
        <f>AVERAGE(D50,D61,D66,D68)</f>
        <v>4.4649999999999999</v>
      </c>
      <c r="AD5" s="50">
        <f>AVERAGE(D52,D58,D67,D69)</f>
        <v>5.0225</v>
      </c>
    </row>
    <row r="6" spans="1:30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19">
        <f>AVERAGE(C82,C84,C91,C99)</f>
        <v>6.625</v>
      </c>
      <c r="H6" s="19">
        <f>AVERAGE(C76,C85,C92,C98)</f>
        <v>7</v>
      </c>
      <c r="I6" s="19">
        <f>AVERAGE(C81,C83,C88,C90)</f>
        <v>7.125</v>
      </c>
      <c r="J6" s="19">
        <f>AVERAGE(C87,C93,C79,C77)</f>
        <v>7.625</v>
      </c>
      <c r="K6" s="19">
        <f>AVERAGE(C89,C94,C96,C78)</f>
        <v>6.875</v>
      </c>
      <c r="L6" s="26">
        <f>AVERAGE(C80,C86,C95,C97)</f>
        <v>6.875</v>
      </c>
      <c r="W6" s="25">
        <v>3</v>
      </c>
      <c r="X6" s="39">
        <v>45243</v>
      </c>
      <c r="Y6" s="49">
        <f>AVERAGE(D82,D84,D99,D91)</f>
        <v>4.0874999999999995</v>
      </c>
      <c r="Z6" s="49">
        <f>AVERAGE(D76,D85,D92,D98)</f>
        <v>4.9849999999999994</v>
      </c>
      <c r="AA6" s="49">
        <f>AVERAGE(D81,D83,D88,D90)</f>
        <v>5.17</v>
      </c>
      <c r="AB6" s="49">
        <f>AVERAGE(D87,D93,D79,D77)</f>
        <v>5.0374999999999996</v>
      </c>
      <c r="AC6" s="49">
        <f>AVERAGE(D78,D89,D94,D96)</f>
        <v>4.0999999999999996</v>
      </c>
      <c r="AD6" s="50">
        <f>AVERAGE(D80,D86,D95,D97)</f>
        <v>5.58</v>
      </c>
    </row>
    <row r="7" spans="1:30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9">
        <f>AVERAGE(C110,C112,C119,C127)</f>
        <v>6.75</v>
      </c>
      <c r="H7" s="49">
        <f>AVERAGE(C104,C113,C120,C126)</f>
        <v>7</v>
      </c>
      <c r="I7" s="49">
        <f>AVERAGE(C109,C111,C116,C118)</f>
        <v>7.125</v>
      </c>
      <c r="J7" s="49">
        <f>AVERAGE(C105,C107,C115,C121)</f>
        <v>7.375</v>
      </c>
      <c r="K7" s="49">
        <f>AVERAGE(C106,C117,C122,C124)</f>
        <v>7</v>
      </c>
      <c r="L7" s="49">
        <f>AVERAGE(C108,C123,C114,C125)</f>
        <v>6.875</v>
      </c>
      <c r="W7" s="25">
        <v>4</v>
      </c>
      <c r="X7" s="39">
        <v>45257</v>
      </c>
      <c r="Y7" s="49">
        <f>AVERAGE(D110,D112,D119,D127)</f>
        <v>6.0850000000000009</v>
      </c>
      <c r="Z7" s="49">
        <f>AVERAGE(D104,D113,D120,D126)</f>
        <v>6.7474999999999996</v>
      </c>
      <c r="AA7" s="49">
        <f>AVERAGE(D109,D111,D116,D118)</f>
        <v>6.7824999999999998</v>
      </c>
      <c r="AB7" s="49">
        <f>AVERAGE(D105,D107,D115,D121)</f>
        <v>7.3125</v>
      </c>
      <c r="AC7" s="49">
        <f>AVERAGE(D106,D117,D122,D124)</f>
        <v>4.7275</v>
      </c>
      <c r="AD7" s="49">
        <f>AVERAGE(D125,D123,D114,D108)</f>
        <v>6.2825000000000006</v>
      </c>
    </row>
    <row r="8" spans="1:30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9">
        <f>AVERAGE(C138,C140,C147,C155)</f>
        <v>6.875</v>
      </c>
      <c r="H8" s="49">
        <f>AVERAGE(C154,C148,C141,C132)</f>
        <v>7.125</v>
      </c>
      <c r="I8" s="49">
        <f>AVERAGE(C137,C139,C144,C146)</f>
        <v>7.125</v>
      </c>
      <c r="J8" s="49">
        <f>AVERAGE(C133,C135,C143,C149)</f>
        <v>7.375</v>
      </c>
      <c r="K8" s="49">
        <f>AVERAGE(C134,C145,C150,C152)</f>
        <v>7.125</v>
      </c>
      <c r="L8" s="50">
        <f>AVERAGE(C153,C151,C142,C136)</f>
        <v>6.875</v>
      </c>
      <c r="W8" s="25">
        <v>5</v>
      </c>
      <c r="X8" s="39">
        <v>45271</v>
      </c>
      <c r="Y8" s="49">
        <f>AVERAGE(D140,D138,D147,D155)</f>
        <v>3.3050000000000002</v>
      </c>
      <c r="Z8" s="19">
        <f>AVERAGE(D154,D148,D141,D132)</f>
        <v>5.0149999999999997</v>
      </c>
      <c r="AA8" s="19">
        <f>AVERAGE(D137,D139,D144,D146)</f>
        <v>3.7849999999999997</v>
      </c>
      <c r="AB8" s="49">
        <f>AVERAGE(D135,D143,D149,D133)</f>
        <v>4.12</v>
      </c>
      <c r="AC8" s="19">
        <f>AVERAGE(D134,D145,D150,D152)</f>
        <v>6.53</v>
      </c>
      <c r="AD8" s="26">
        <f>AVERAGE(D142,D136,D151,D153)</f>
        <v>5.1374999999999993</v>
      </c>
    </row>
    <row r="9" spans="1:30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9">
        <f>AVERAGE(C166,C168,C175,C183)</f>
        <v>6.5</v>
      </c>
      <c r="H9" s="49">
        <f>AVERAGE(C160,C169,C176,C182)</f>
        <v>6.875</v>
      </c>
      <c r="I9" s="49">
        <f>AVERAGE(C165,C167,C174,C172)</f>
        <v>6.75</v>
      </c>
      <c r="J9" s="49">
        <f>AVERAGE(C161,C163,C171,C177)</f>
        <v>6.875</v>
      </c>
      <c r="K9" s="49">
        <f>AVERAGE(C162,C173,C178,C180)</f>
        <v>6.625</v>
      </c>
      <c r="L9" s="49">
        <f>AVERAGE(C164,C170,C179,C181)</f>
        <v>6.375</v>
      </c>
      <c r="W9" s="25">
        <v>7</v>
      </c>
      <c r="X9" s="39">
        <v>45313</v>
      </c>
      <c r="Y9" s="49">
        <f>AVERAGE(D194,D196,D203,D211)</f>
        <v>5.2374999999999989</v>
      </c>
      <c r="Z9" s="49">
        <f>AVERAGE(D188,D197,D204,D210)</f>
        <v>5.91</v>
      </c>
      <c r="AA9" s="49">
        <f>AVERAGE(D193,D195,D200,D202)</f>
        <v>6.5125000000000002</v>
      </c>
      <c r="AB9" s="49">
        <f>AVERAGE(D189,D191,D199,D205)</f>
        <v>4.3250000000000002</v>
      </c>
      <c r="AC9" s="49">
        <f>AVERAGE(D190,D201,D206,D208)</f>
        <v>4.3574999999999999</v>
      </c>
      <c r="AD9" s="49">
        <f>AVERAGE(D192,D198,D207,D209)</f>
        <v>3.8925000000000001</v>
      </c>
    </row>
    <row r="10" spans="1:30" x14ac:dyDescent="0.3">
      <c r="A10" s="34"/>
      <c r="B10" s="34"/>
      <c r="C10" s="34"/>
      <c r="D10" s="34"/>
      <c r="E10" s="25">
        <v>7</v>
      </c>
      <c r="F10" s="39">
        <v>45313</v>
      </c>
      <c r="G10" s="49">
        <f>AVERAGE(C194,C196,C203,C211)</f>
        <v>6.75</v>
      </c>
      <c r="H10" s="49">
        <f>AVERAGE(C188,C197,C204,C210)</f>
        <v>7</v>
      </c>
      <c r="I10" s="49">
        <f>AVERAGE(C200,C193,C195,C202)</f>
        <v>6.875</v>
      </c>
      <c r="J10" s="49">
        <f>AVERAGE(C199,C205,C191,C189)</f>
        <v>6.75</v>
      </c>
      <c r="K10" s="49">
        <f>AVERAGE(C190,C201,C206,C208)</f>
        <v>6.5</v>
      </c>
      <c r="L10" s="49">
        <f>AVERAGE(C192,C198,C207,C209)</f>
        <v>6.625</v>
      </c>
      <c r="W10" s="25">
        <v>8</v>
      </c>
      <c r="X10" s="39">
        <v>45327</v>
      </c>
      <c r="Y10" s="49">
        <f>AVERAGE(D222,D224,D231,D239)</f>
        <v>6.51</v>
      </c>
      <c r="Z10" s="49">
        <f>AVERAGE(D216,D225,D232,D238)</f>
        <v>4.9849999999999994</v>
      </c>
      <c r="AA10" s="49">
        <f>AVERAGE(D221,D223,D230,D228)</f>
        <v>6.1024999999999991</v>
      </c>
      <c r="AB10" s="49">
        <f>AVERAGE(D233,D227,D219,D217)</f>
        <v>6.29</v>
      </c>
      <c r="AC10" s="49">
        <f>AVERAGE(D236,D234,D229,D218)</f>
        <v>6.8849999999999998</v>
      </c>
      <c r="AD10" s="49">
        <f>AVERAGE(D220,D226,D235,D237)</f>
        <v>6.2424999999999997</v>
      </c>
    </row>
    <row r="11" spans="1:30" x14ac:dyDescent="0.3">
      <c r="A11" s="34"/>
      <c r="B11" s="34"/>
      <c r="C11" s="34"/>
      <c r="D11" s="34"/>
      <c r="E11" s="25">
        <v>8</v>
      </c>
      <c r="F11" s="39">
        <v>45327</v>
      </c>
      <c r="G11" s="49">
        <f>AVERAGE(C223,C225,C232,C240)</f>
        <v>6.666666666666667</v>
      </c>
      <c r="H11" s="49">
        <f>AVERAGE(C217,C226,C233,C239)</f>
        <v>6.5</v>
      </c>
      <c r="I11" s="49">
        <f>AVERAGE(C222,C224,C229,C231)</f>
        <v>6.375</v>
      </c>
      <c r="J11" s="49">
        <f>AVERAGE(C218,C220,C228,C234)</f>
        <v>6.125</v>
      </c>
      <c r="K11" s="49">
        <f>AVERAGE(C219,C230,C235,C237)</f>
        <v>6.125</v>
      </c>
      <c r="L11" s="49">
        <f>AVERAGE(C221,C227,C236,C238)</f>
        <v>6.5</v>
      </c>
      <c r="W11" s="25">
        <v>9</v>
      </c>
      <c r="X11" s="39">
        <v>45341</v>
      </c>
      <c r="Y11" s="49">
        <f>AVERAGE(D250,D252,D259,D267)</f>
        <v>4.3025000000000002</v>
      </c>
      <c r="Z11" s="49">
        <f>AVERAGE(D244,D253,D260,D266)</f>
        <v>4.4249999999999998</v>
      </c>
      <c r="AA11" s="49">
        <f>AVERAGE(D249,D251,D256,D258)</f>
        <v>5.0775000000000006</v>
      </c>
      <c r="AB11" s="49">
        <f>AVERAGE(D245,D247,D255,D261)</f>
        <v>5.46</v>
      </c>
      <c r="AC11" s="49">
        <f>AVERAGE(D246,D262,D264,D257)</f>
        <v>5.0150000000000006</v>
      </c>
      <c r="AD11" s="49">
        <f>AVERAGE(D248,D254,D263,D265)</f>
        <v>5.8975</v>
      </c>
    </row>
    <row r="12" spans="1:30" x14ac:dyDescent="0.3">
      <c r="A12" s="34"/>
      <c r="B12" s="34"/>
      <c r="C12" s="34"/>
      <c r="D12" s="34"/>
      <c r="E12" s="25">
        <v>9</v>
      </c>
      <c r="F12" s="39">
        <v>45355</v>
      </c>
      <c r="G12" s="49">
        <f>AVERAGE(C278,C280,C287,C295)</f>
        <v>5.75</v>
      </c>
      <c r="H12" s="49">
        <f>AVERAGE(C272,C281,C288,C294)</f>
        <v>5.875</v>
      </c>
      <c r="I12" s="49">
        <f>AVERAGE(C277,C279,C286,C284)</f>
        <v>5.625</v>
      </c>
      <c r="J12" s="49">
        <f>AVERAGE(C275,C273,C283,C289)</f>
        <v>5.75</v>
      </c>
      <c r="K12" s="49">
        <f>AVERAGE(C274,C285,C290,C292)</f>
        <v>5.375</v>
      </c>
      <c r="L12" s="49">
        <f>AVERAGE(C276,C282,C291,C293)</f>
        <v>5.625</v>
      </c>
      <c r="W12" s="25">
        <v>10</v>
      </c>
      <c r="X12" s="39">
        <v>45356</v>
      </c>
      <c r="Y12" s="49">
        <f>AVERAGE(D278,D280,D287,D295)</f>
        <v>4.2174999999999994</v>
      </c>
      <c r="Z12" s="49">
        <f>AVERAGE(D272,D281,D288,D294)</f>
        <v>6.1349999999999998</v>
      </c>
      <c r="AA12" s="49">
        <f>AVERAGE(D277,D279,D284,D286)</f>
        <v>5.0250000000000004</v>
      </c>
      <c r="AB12" s="49">
        <f>AVERAGE(D273,D275,D283,D289)</f>
        <v>4.9550000000000001</v>
      </c>
      <c r="AC12" s="49">
        <f>AVERAGE(D274,D285,D290,D292)</f>
        <v>3.0674999999999999</v>
      </c>
      <c r="AD12" s="49">
        <f>AVERAGE(D276,D282,D291,D293)</f>
        <v>4.6725000000000003</v>
      </c>
    </row>
    <row r="13" spans="1:30" x14ac:dyDescent="0.3">
      <c r="A13" s="34"/>
      <c r="B13" s="34"/>
      <c r="C13" s="34"/>
      <c r="D13" s="34"/>
      <c r="E13" s="25">
        <v>10</v>
      </c>
      <c r="F13" s="39">
        <v>45369</v>
      </c>
      <c r="G13" s="49">
        <f>AVERAGE(C306,C308,C315,C323)</f>
        <v>5.625</v>
      </c>
      <c r="H13" s="49">
        <f>AVERAGE(C300,C309,C316,C322)</f>
        <v>5.75</v>
      </c>
      <c r="I13" s="49">
        <f>AVERAGE(C305,C307,C314,C312)</f>
        <v>5.5</v>
      </c>
      <c r="J13" s="49">
        <f>AVERAGE(C301,C303,C311,C317)</f>
        <v>5.875</v>
      </c>
      <c r="K13" s="49">
        <f>AVERAGE(C302,C313,C318,C320)</f>
        <v>5.5</v>
      </c>
      <c r="L13" s="49">
        <f>AVERAGE(C304,C310,C319,C321)</f>
        <v>5.25</v>
      </c>
      <c r="W13" s="25">
        <v>11</v>
      </c>
      <c r="X13" s="39">
        <v>45369</v>
      </c>
      <c r="Y13" s="49">
        <f>AVERAGE(D306,D308,D315,D323)</f>
        <v>7.65</v>
      </c>
      <c r="Z13" s="49">
        <f>AVERAGE(D300,D309,D316,D322)</f>
        <v>4.335</v>
      </c>
      <c r="AA13" s="49">
        <f>AVERAGE(D305,D307,D312,D314)</f>
        <v>3.9450000000000003</v>
      </c>
      <c r="AB13" s="49">
        <f>AVERAGE(D301,D303,D311,D317)</f>
        <v>4.2799999999999994</v>
      </c>
      <c r="AC13" s="49">
        <f>AVERAGE(D302,D313,D318,D320)</f>
        <v>5.7</v>
      </c>
      <c r="AD13" s="49">
        <f>AVERAGE(D304,D310,D319,D321)</f>
        <v>4.6400000000000006</v>
      </c>
    </row>
    <row r="14" spans="1:30" x14ac:dyDescent="0.3">
      <c r="A14" s="34"/>
      <c r="B14" s="34"/>
      <c r="C14" s="34"/>
      <c r="D14" s="34"/>
      <c r="E14" s="25">
        <v>11</v>
      </c>
      <c r="F14" s="39">
        <v>45384</v>
      </c>
      <c r="G14" s="49">
        <f>AVERAGE(C334,C336,C343,C351)</f>
        <v>6.75</v>
      </c>
      <c r="H14" s="49">
        <f>AVERAGE(C328,C344,C350,C337)</f>
        <v>6.75</v>
      </c>
      <c r="I14" s="49">
        <f>AVERAGE(C333,C335,C340,C342)</f>
        <v>6.625</v>
      </c>
      <c r="J14" s="49">
        <f>AVERAGE(C329,C331,C339,C345)</f>
        <v>7</v>
      </c>
      <c r="K14" s="49">
        <f>AVERAGE(C330,C346,C348,C341)</f>
        <v>6.625</v>
      </c>
      <c r="L14" s="49">
        <f>AVERAGE(C332,C347,C338,C349)</f>
        <v>6.625</v>
      </c>
      <c r="W14" s="25">
        <v>12</v>
      </c>
      <c r="X14" s="39">
        <v>45383</v>
      </c>
      <c r="Y14" s="49">
        <f>AVERAGE(D334,D336,D343,D351)</f>
        <v>4.9649999999999999</v>
      </c>
      <c r="Z14" s="49">
        <f>AVERAGE(D328,D337,D344,D350)</f>
        <v>6.52</v>
      </c>
      <c r="AA14" s="49">
        <f>AVERAGE(D333,D335,D340,D342)</f>
        <v>4.38</v>
      </c>
      <c r="AB14" s="49">
        <f>AVERAGE(D329,D331,D339,D345)</f>
        <v>4.2725</v>
      </c>
      <c r="AC14" s="49">
        <f>AVERAGE(D330,D341,D346,D348)</f>
        <v>5.4874999999999998</v>
      </c>
      <c r="AD14" s="49">
        <f>AVERAGE(D332,D338,D347,D349)</f>
        <v>4.6825000000000001</v>
      </c>
    </row>
    <row r="15" spans="1:30" x14ac:dyDescent="0.3">
      <c r="A15" s="34"/>
      <c r="B15" s="34"/>
      <c r="C15" s="34"/>
      <c r="D15" s="34"/>
      <c r="E15" s="25">
        <v>12</v>
      </c>
      <c r="F15" s="39">
        <v>45399</v>
      </c>
      <c r="G15" s="49">
        <f>AVERAGE(C362,C364,C371,C379)</f>
        <v>7</v>
      </c>
      <c r="H15" s="49">
        <f>AVERAGE(C356,C365,C372,C378)</f>
        <v>7</v>
      </c>
      <c r="I15" s="49">
        <f>AVERAGE(C361,C363,C368,C370)</f>
        <v>6.875</v>
      </c>
      <c r="J15" s="49">
        <f>AVERAGE(C357,C359,C367,C373)</f>
        <v>7</v>
      </c>
      <c r="K15" s="49">
        <f>AVERAGE(C358,C369,C374,C376)</f>
        <v>6.875</v>
      </c>
      <c r="L15" s="49">
        <f>AVERAGE(C360,C366,C375,C377)</f>
        <v>6.875</v>
      </c>
      <c r="W15" s="25">
        <v>13</v>
      </c>
      <c r="X15" s="39">
        <v>45400</v>
      </c>
      <c r="Y15" s="49">
        <f>AVERAGE(D362,D364,D371,D379)</f>
        <v>4.7949999999999999</v>
      </c>
      <c r="Z15" s="49">
        <f>AVERAGE(D356,D365,D372,D378)</f>
        <v>4.4350000000000005</v>
      </c>
      <c r="AA15" s="49">
        <f>AVERAGE(D361,D363,D368,D370)</f>
        <v>4.0199999999999996</v>
      </c>
      <c r="AB15" s="49">
        <f>AVERAGE(D359,D367,D373,D357)</f>
        <v>3.0000000000000004</v>
      </c>
      <c r="AC15" s="49">
        <f>AVERAGE(D358,D369,D374,D376)</f>
        <v>4.335</v>
      </c>
      <c r="AD15" s="49">
        <f>AVERAGE(D360,D366,D375,D377)</f>
        <v>2.4299999999999997</v>
      </c>
    </row>
    <row r="16" spans="1:30" ht="14.5" thickBot="1" x14ac:dyDescent="0.35">
      <c r="A16" s="34"/>
      <c r="B16" s="34"/>
      <c r="C16" s="34"/>
      <c r="D16" s="34"/>
      <c r="E16" s="27">
        <v>13</v>
      </c>
      <c r="F16" s="40">
        <v>45411</v>
      </c>
      <c r="G16" s="41"/>
      <c r="H16" s="41"/>
      <c r="I16" s="41"/>
      <c r="J16" s="41"/>
      <c r="K16" s="41"/>
      <c r="L16" s="28"/>
    </row>
    <row r="18" spans="1:4" ht="14.5" thickBot="1" x14ac:dyDescent="0.35">
      <c r="A18" s="1" t="s">
        <v>36</v>
      </c>
      <c r="B18" s="18">
        <v>45216</v>
      </c>
    </row>
    <row r="19" spans="1:4" x14ac:dyDescent="0.3">
      <c r="A19" s="51" t="s">
        <v>27</v>
      </c>
      <c r="B19" s="52" t="s">
        <v>26</v>
      </c>
      <c r="C19" s="52" t="s">
        <v>28</v>
      </c>
      <c r="D19" s="53" t="s">
        <v>52</v>
      </c>
    </row>
    <row r="20" spans="1:4" x14ac:dyDescent="0.3">
      <c r="A20" s="31">
        <v>1</v>
      </c>
      <c r="B20" s="9" t="s">
        <v>2</v>
      </c>
      <c r="C20" s="19">
        <v>7.5</v>
      </c>
      <c r="D20" s="26">
        <v>8.17</v>
      </c>
    </row>
    <row r="21" spans="1:4" x14ac:dyDescent="0.3">
      <c r="A21" s="31">
        <v>2</v>
      </c>
      <c r="B21" s="14" t="s">
        <v>3</v>
      </c>
      <c r="C21" s="19">
        <v>7.5</v>
      </c>
      <c r="D21" s="26">
        <v>2</v>
      </c>
    </row>
    <row r="22" spans="1:4" x14ac:dyDescent="0.3">
      <c r="A22" s="31">
        <v>3</v>
      </c>
      <c r="B22" s="12" t="s">
        <v>4</v>
      </c>
      <c r="C22" s="19">
        <v>8</v>
      </c>
      <c r="D22" s="26">
        <v>8.74</v>
      </c>
    </row>
    <row r="23" spans="1:4" x14ac:dyDescent="0.3">
      <c r="A23" s="31">
        <v>4</v>
      </c>
      <c r="B23" s="14" t="s">
        <v>5</v>
      </c>
      <c r="C23" s="19">
        <v>7</v>
      </c>
      <c r="D23" s="26">
        <v>9</v>
      </c>
    </row>
    <row r="24" spans="1:4" x14ac:dyDescent="0.3">
      <c r="A24" s="31">
        <v>5</v>
      </c>
      <c r="B24" s="20" t="s">
        <v>6</v>
      </c>
      <c r="C24" s="19">
        <v>6.5</v>
      </c>
      <c r="D24" s="26">
        <v>4.84</v>
      </c>
    </row>
    <row r="25" spans="1:4" x14ac:dyDescent="0.3">
      <c r="A25" s="31">
        <v>6</v>
      </c>
      <c r="B25" s="6" t="s">
        <v>7</v>
      </c>
      <c r="C25" s="19">
        <v>7</v>
      </c>
      <c r="D25" s="26">
        <v>3.73</v>
      </c>
    </row>
    <row r="26" spans="1:4" x14ac:dyDescent="0.3">
      <c r="A26" s="31">
        <v>7</v>
      </c>
      <c r="B26" s="21" t="s">
        <v>8</v>
      </c>
      <c r="C26" s="19">
        <v>7.5</v>
      </c>
      <c r="D26" s="26">
        <v>1</v>
      </c>
    </row>
    <row r="27" spans="1:4" x14ac:dyDescent="0.3">
      <c r="A27" s="31">
        <v>8</v>
      </c>
      <c r="B27" s="6" t="s">
        <v>9</v>
      </c>
      <c r="C27" s="19">
        <v>7</v>
      </c>
      <c r="D27" s="26">
        <v>8.92</v>
      </c>
    </row>
    <row r="28" spans="1:4" x14ac:dyDescent="0.3">
      <c r="A28" s="31">
        <v>9</v>
      </c>
      <c r="B28" s="21" t="s">
        <v>10</v>
      </c>
      <c r="C28" s="19">
        <v>6</v>
      </c>
      <c r="D28" s="26">
        <v>3.67</v>
      </c>
    </row>
    <row r="29" spans="1:4" x14ac:dyDescent="0.3">
      <c r="A29" s="31">
        <v>10</v>
      </c>
      <c r="B29" s="9" t="s">
        <v>11</v>
      </c>
      <c r="C29" s="19">
        <v>7</v>
      </c>
      <c r="D29" s="26">
        <v>1.6</v>
      </c>
    </row>
    <row r="30" spans="1:4" x14ac:dyDescent="0.3">
      <c r="A30" s="31">
        <v>11</v>
      </c>
      <c r="B30" s="20" t="s">
        <v>12</v>
      </c>
      <c r="C30" s="19">
        <v>6</v>
      </c>
      <c r="D30" s="26">
        <v>1.83</v>
      </c>
    </row>
    <row r="31" spans="1:4" x14ac:dyDescent="0.3">
      <c r="A31" s="31">
        <v>12</v>
      </c>
      <c r="B31" s="14" t="s">
        <v>13</v>
      </c>
      <c r="C31" s="19">
        <v>7.5</v>
      </c>
      <c r="D31" s="26">
        <v>1.82</v>
      </c>
    </row>
    <row r="32" spans="1:4" x14ac:dyDescent="0.3">
      <c r="A32" s="31">
        <v>13</v>
      </c>
      <c r="B32" s="6" t="s">
        <v>14</v>
      </c>
      <c r="C32" s="19">
        <v>6.5</v>
      </c>
      <c r="D32" s="26">
        <v>3.07</v>
      </c>
    </row>
    <row r="33" spans="1:4" x14ac:dyDescent="0.3">
      <c r="A33" s="31">
        <v>14</v>
      </c>
      <c r="B33" s="12" t="s">
        <v>15</v>
      </c>
      <c r="C33" s="19">
        <v>6</v>
      </c>
      <c r="D33" s="26">
        <v>4.0599999999999996</v>
      </c>
    </row>
    <row r="34" spans="1:4" x14ac:dyDescent="0.3">
      <c r="A34" s="31">
        <v>15</v>
      </c>
      <c r="B34" s="6" t="s">
        <v>16</v>
      </c>
      <c r="C34" s="19">
        <v>7</v>
      </c>
      <c r="D34" s="26">
        <v>6.08</v>
      </c>
    </row>
    <row r="35" spans="1:4" x14ac:dyDescent="0.3">
      <c r="A35" s="31">
        <v>16</v>
      </c>
      <c r="B35" s="21" t="s">
        <v>17</v>
      </c>
      <c r="C35" s="19">
        <v>6.5</v>
      </c>
      <c r="D35" s="26">
        <v>2.2200000000000002</v>
      </c>
    </row>
    <row r="36" spans="1:4" x14ac:dyDescent="0.3">
      <c r="A36" s="31">
        <v>17</v>
      </c>
      <c r="B36" s="9" t="s">
        <v>18</v>
      </c>
      <c r="C36" s="19">
        <v>6</v>
      </c>
      <c r="D36" s="26">
        <v>5.32</v>
      </c>
    </row>
    <row r="37" spans="1:4" x14ac:dyDescent="0.3">
      <c r="A37" s="31">
        <v>18</v>
      </c>
      <c r="B37" s="14" t="s">
        <v>19</v>
      </c>
      <c r="C37" s="19">
        <v>6</v>
      </c>
      <c r="D37" s="26">
        <v>4.79</v>
      </c>
    </row>
    <row r="38" spans="1:4" x14ac:dyDescent="0.3">
      <c r="A38" s="31">
        <v>19</v>
      </c>
      <c r="B38" s="12" t="s">
        <v>20</v>
      </c>
      <c r="C38" s="19">
        <v>6</v>
      </c>
      <c r="D38" s="26">
        <v>4.57</v>
      </c>
    </row>
    <row r="39" spans="1:4" x14ac:dyDescent="0.3">
      <c r="A39" s="31">
        <v>20</v>
      </c>
      <c r="B39" s="20" t="s">
        <v>21</v>
      </c>
      <c r="C39" s="19">
        <v>7</v>
      </c>
      <c r="D39" s="26">
        <v>1.24</v>
      </c>
    </row>
    <row r="40" spans="1:4" x14ac:dyDescent="0.3">
      <c r="A40" s="31">
        <v>21</v>
      </c>
      <c r="B40" s="12" t="s">
        <v>22</v>
      </c>
      <c r="C40" s="19">
        <v>5</v>
      </c>
      <c r="D40" s="26">
        <v>6</v>
      </c>
    </row>
    <row r="41" spans="1:4" x14ac:dyDescent="0.3">
      <c r="A41" s="31">
        <v>22</v>
      </c>
      <c r="B41" s="20" t="s">
        <v>23</v>
      </c>
      <c r="C41" s="19">
        <v>6</v>
      </c>
      <c r="D41" s="26">
        <v>7.11</v>
      </c>
    </row>
    <row r="42" spans="1:4" x14ac:dyDescent="0.3">
      <c r="A42" s="31">
        <v>23</v>
      </c>
      <c r="B42" s="9" t="s">
        <v>24</v>
      </c>
      <c r="C42" s="19">
        <v>5</v>
      </c>
      <c r="D42" s="26">
        <v>5.32</v>
      </c>
    </row>
    <row r="43" spans="1:4" ht="14.5" thickBot="1" x14ac:dyDescent="0.35">
      <c r="A43" s="32">
        <v>24</v>
      </c>
      <c r="B43" s="33" t="s">
        <v>25</v>
      </c>
      <c r="C43" s="41">
        <v>5</v>
      </c>
      <c r="D43" s="28">
        <v>4.74</v>
      </c>
    </row>
    <row r="46" spans="1:4" ht="14.5" thickBot="1" x14ac:dyDescent="0.35">
      <c r="A46" s="1" t="s">
        <v>36</v>
      </c>
      <c r="B46" s="18">
        <v>45229</v>
      </c>
    </row>
    <row r="47" spans="1:4" x14ac:dyDescent="0.3">
      <c r="A47" s="51" t="s">
        <v>27</v>
      </c>
      <c r="B47" s="52" t="s">
        <v>26</v>
      </c>
      <c r="C47" s="52" t="s">
        <v>28</v>
      </c>
      <c r="D47" s="53" t="s">
        <v>52</v>
      </c>
    </row>
    <row r="48" spans="1:4" x14ac:dyDescent="0.3">
      <c r="A48" s="31">
        <v>1</v>
      </c>
      <c r="B48" s="9" t="s">
        <v>2</v>
      </c>
      <c r="C48" s="19">
        <v>8</v>
      </c>
      <c r="D48" s="26">
        <v>5.14</v>
      </c>
    </row>
    <row r="49" spans="1:4" x14ac:dyDescent="0.3">
      <c r="A49" s="31">
        <v>2</v>
      </c>
      <c r="B49" s="14" t="s">
        <v>3</v>
      </c>
      <c r="C49" s="19">
        <v>8</v>
      </c>
      <c r="D49" s="26">
        <v>5.87</v>
      </c>
    </row>
    <row r="50" spans="1:4" x14ac:dyDescent="0.3">
      <c r="A50" s="31">
        <v>3</v>
      </c>
      <c r="B50" s="12" t="s">
        <v>4</v>
      </c>
      <c r="C50" s="19">
        <v>8</v>
      </c>
      <c r="D50" s="26">
        <v>4.59</v>
      </c>
    </row>
    <row r="51" spans="1:4" x14ac:dyDescent="0.3">
      <c r="A51" s="31">
        <v>4</v>
      </c>
      <c r="B51" s="14" t="s">
        <v>5</v>
      </c>
      <c r="C51" s="19">
        <v>7.5</v>
      </c>
      <c r="D51" s="26">
        <v>7.58</v>
      </c>
    </row>
    <row r="52" spans="1:4" x14ac:dyDescent="0.3">
      <c r="A52" s="31">
        <v>5</v>
      </c>
      <c r="B52" s="20" t="s">
        <v>6</v>
      </c>
      <c r="C52" s="19">
        <v>7</v>
      </c>
      <c r="D52" s="26">
        <v>3.46</v>
      </c>
    </row>
    <row r="53" spans="1:4" x14ac:dyDescent="0.3">
      <c r="A53" s="31">
        <v>6</v>
      </c>
      <c r="B53" s="6" t="s">
        <v>7</v>
      </c>
      <c r="C53" s="19">
        <v>7</v>
      </c>
      <c r="D53" s="26">
        <v>5.55</v>
      </c>
    </row>
    <row r="54" spans="1:4" x14ac:dyDescent="0.3">
      <c r="A54" s="31">
        <v>7</v>
      </c>
      <c r="B54" s="21" t="s">
        <v>8</v>
      </c>
      <c r="C54" s="19">
        <v>7</v>
      </c>
      <c r="D54" s="26">
        <v>5.27</v>
      </c>
    </row>
    <row r="55" spans="1:4" x14ac:dyDescent="0.3">
      <c r="A55" s="31">
        <v>8</v>
      </c>
      <c r="B55" s="6" t="s">
        <v>9</v>
      </c>
      <c r="C55" s="19">
        <v>7.5</v>
      </c>
      <c r="D55" s="26">
        <v>7.65</v>
      </c>
    </row>
    <row r="56" spans="1:4" x14ac:dyDescent="0.3">
      <c r="A56" s="31">
        <v>9</v>
      </c>
      <c r="B56" s="21" t="s">
        <v>10</v>
      </c>
      <c r="C56" s="19">
        <v>7</v>
      </c>
      <c r="D56" s="26">
        <v>2.2200000000000002</v>
      </c>
    </row>
    <row r="57" spans="1:4" x14ac:dyDescent="0.3">
      <c r="A57" s="31">
        <v>10</v>
      </c>
      <c r="B57" s="9" t="s">
        <v>11</v>
      </c>
      <c r="C57" s="19">
        <v>7.5</v>
      </c>
      <c r="D57" s="26">
        <v>4.8899999999999997</v>
      </c>
    </row>
    <row r="58" spans="1:4" x14ac:dyDescent="0.3">
      <c r="A58" s="31">
        <v>11</v>
      </c>
      <c r="B58" s="20" t="s">
        <v>12</v>
      </c>
      <c r="C58" s="19">
        <v>7</v>
      </c>
      <c r="D58" s="26">
        <v>5.63</v>
      </c>
    </row>
    <row r="59" spans="1:4" x14ac:dyDescent="0.3">
      <c r="A59" s="31">
        <v>12</v>
      </c>
      <c r="B59" s="14" t="s">
        <v>13</v>
      </c>
      <c r="C59" s="19">
        <v>8</v>
      </c>
      <c r="D59" s="26">
        <v>3.36</v>
      </c>
    </row>
    <row r="60" spans="1:4" x14ac:dyDescent="0.3">
      <c r="A60" s="31">
        <v>13</v>
      </c>
      <c r="B60" s="6" t="s">
        <v>14</v>
      </c>
      <c r="C60" s="19">
        <v>7</v>
      </c>
      <c r="D60" s="26">
        <v>7.28</v>
      </c>
    </row>
    <row r="61" spans="1:4" x14ac:dyDescent="0.3">
      <c r="A61" s="31">
        <v>14</v>
      </c>
      <c r="B61" s="12" t="s">
        <v>15</v>
      </c>
      <c r="C61" s="19">
        <v>6.5</v>
      </c>
      <c r="D61" s="26">
        <v>6.27</v>
      </c>
    </row>
    <row r="62" spans="1:4" x14ac:dyDescent="0.3">
      <c r="A62" s="31">
        <v>15</v>
      </c>
      <c r="B62" s="6" t="s">
        <v>16</v>
      </c>
      <c r="C62" s="19">
        <v>7.5</v>
      </c>
      <c r="D62" s="26">
        <v>6.18</v>
      </c>
    </row>
    <row r="63" spans="1:4" x14ac:dyDescent="0.3">
      <c r="A63" s="31">
        <v>16</v>
      </c>
      <c r="B63" s="21" t="s">
        <v>17</v>
      </c>
      <c r="C63" s="19">
        <v>7</v>
      </c>
      <c r="D63" s="26">
        <v>6.2</v>
      </c>
    </row>
    <row r="64" spans="1:4" x14ac:dyDescent="0.3">
      <c r="A64" s="31">
        <v>17</v>
      </c>
      <c r="B64" s="9" t="s">
        <v>18</v>
      </c>
      <c r="C64" s="19">
        <v>7</v>
      </c>
      <c r="D64" s="26">
        <v>7.04</v>
      </c>
    </row>
    <row r="65" spans="1:4" x14ac:dyDescent="0.3">
      <c r="A65" s="31">
        <v>18</v>
      </c>
      <c r="B65" s="14" t="s">
        <v>19</v>
      </c>
      <c r="C65" s="19">
        <v>7</v>
      </c>
      <c r="D65" s="26">
        <v>9</v>
      </c>
    </row>
    <row r="66" spans="1:4" x14ac:dyDescent="0.3">
      <c r="A66" s="31">
        <v>19</v>
      </c>
      <c r="B66" s="12" t="s">
        <v>20</v>
      </c>
      <c r="C66" s="19">
        <v>7</v>
      </c>
      <c r="D66" s="26">
        <v>1</v>
      </c>
    </row>
    <row r="67" spans="1:4" x14ac:dyDescent="0.3">
      <c r="A67" s="31">
        <v>20</v>
      </c>
      <c r="B67" s="20" t="s">
        <v>21</v>
      </c>
      <c r="C67" s="19">
        <v>7.5</v>
      </c>
      <c r="D67" s="26">
        <v>5.5</v>
      </c>
    </row>
    <row r="68" spans="1:4" x14ac:dyDescent="0.3">
      <c r="A68" s="31">
        <v>21</v>
      </c>
      <c r="B68" s="12" t="s">
        <v>22</v>
      </c>
      <c r="C68" s="19">
        <v>6</v>
      </c>
      <c r="D68" s="26">
        <v>6</v>
      </c>
    </row>
    <row r="69" spans="1:4" x14ac:dyDescent="0.3">
      <c r="A69" s="31">
        <v>22</v>
      </c>
      <c r="B69" s="20" t="s">
        <v>23</v>
      </c>
      <c r="C69" s="19">
        <v>6.5</v>
      </c>
      <c r="D69" s="26">
        <v>5.5</v>
      </c>
    </row>
    <row r="70" spans="1:4" x14ac:dyDescent="0.3">
      <c r="A70" s="31">
        <v>23</v>
      </c>
      <c r="B70" s="9" t="s">
        <v>24</v>
      </c>
      <c r="C70" s="19">
        <v>6</v>
      </c>
      <c r="D70" s="26">
        <v>8.26</v>
      </c>
    </row>
    <row r="71" spans="1:4" ht="14.5" thickBot="1" x14ac:dyDescent="0.35">
      <c r="A71" s="32">
        <v>24</v>
      </c>
      <c r="B71" s="33" t="s">
        <v>25</v>
      </c>
      <c r="C71" s="41">
        <v>6</v>
      </c>
      <c r="D71" s="28">
        <v>6.82</v>
      </c>
    </row>
    <row r="74" spans="1:4" ht="14.5" thickBot="1" x14ac:dyDescent="0.35">
      <c r="A74" s="1" t="s">
        <v>36</v>
      </c>
      <c r="B74" s="18">
        <v>45243</v>
      </c>
    </row>
    <row r="75" spans="1:4" x14ac:dyDescent="0.3">
      <c r="A75" s="51" t="s">
        <v>27</v>
      </c>
      <c r="B75" s="52" t="s">
        <v>26</v>
      </c>
      <c r="C75" s="52" t="s">
        <v>28</v>
      </c>
      <c r="D75" s="53" t="s">
        <v>52</v>
      </c>
    </row>
    <row r="76" spans="1:4" x14ac:dyDescent="0.3">
      <c r="A76" s="31">
        <v>1</v>
      </c>
      <c r="B76" s="9" t="s">
        <v>2</v>
      </c>
      <c r="C76" s="19">
        <v>7.5</v>
      </c>
      <c r="D76" s="26">
        <v>6.41</v>
      </c>
    </row>
    <row r="77" spans="1:4" x14ac:dyDescent="0.3">
      <c r="A77" s="31">
        <v>2</v>
      </c>
      <c r="B77" s="14" t="s">
        <v>3</v>
      </c>
      <c r="C77" s="19">
        <v>8</v>
      </c>
      <c r="D77" s="26">
        <v>5.92</v>
      </c>
    </row>
    <row r="78" spans="1:4" x14ac:dyDescent="0.3">
      <c r="A78" s="31">
        <v>3</v>
      </c>
      <c r="B78" s="12" t="s">
        <v>4</v>
      </c>
      <c r="C78" s="19">
        <v>7.5</v>
      </c>
      <c r="D78" s="26">
        <v>1.86</v>
      </c>
    </row>
    <row r="79" spans="1:4" x14ac:dyDescent="0.3">
      <c r="A79" s="31">
        <v>4</v>
      </c>
      <c r="B79" s="14" t="s">
        <v>5</v>
      </c>
      <c r="C79" s="19">
        <v>8</v>
      </c>
      <c r="D79" s="26">
        <v>2.2599999999999998</v>
      </c>
    </row>
    <row r="80" spans="1:4" x14ac:dyDescent="0.3">
      <c r="A80" s="31">
        <v>5</v>
      </c>
      <c r="B80" s="20" t="s">
        <v>6</v>
      </c>
      <c r="C80" s="19">
        <v>7</v>
      </c>
      <c r="D80" s="26">
        <v>5.07</v>
      </c>
    </row>
    <row r="81" spans="1:4" x14ac:dyDescent="0.3">
      <c r="A81" s="31">
        <v>6</v>
      </c>
      <c r="B81" s="6" t="s">
        <v>7</v>
      </c>
      <c r="C81" s="19">
        <v>7</v>
      </c>
      <c r="D81" s="26">
        <v>7.26</v>
      </c>
    </row>
    <row r="82" spans="1:4" x14ac:dyDescent="0.3">
      <c r="A82" s="31">
        <v>7</v>
      </c>
      <c r="B82" s="21" t="s">
        <v>8</v>
      </c>
      <c r="C82" s="19">
        <v>7</v>
      </c>
      <c r="D82" s="26">
        <v>1.36</v>
      </c>
    </row>
    <row r="83" spans="1:4" x14ac:dyDescent="0.3">
      <c r="A83" s="31">
        <v>8</v>
      </c>
      <c r="B83" s="6" t="s">
        <v>9</v>
      </c>
      <c r="C83" s="19">
        <v>7.5</v>
      </c>
      <c r="D83" s="26">
        <v>1.27</v>
      </c>
    </row>
    <row r="84" spans="1:4" x14ac:dyDescent="0.3">
      <c r="A84" s="31">
        <v>9</v>
      </c>
      <c r="B84" s="21" t="s">
        <v>10</v>
      </c>
      <c r="C84" s="19">
        <v>6.5</v>
      </c>
      <c r="D84" s="26">
        <v>4.72</v>
      </c>
    </row>
    <row r="85" spans="1:4" x14ac:dyDescent="0.3">
      <c r="A85" s="31">
        <v>10</v>
      </c>
      <c r="B85" s="9" t="s">
        <v>11</v>
      </c>
      <c r="C85" s="19">
        <v>7</v>
      </c>
      <c r="D85" s="26">
        <v>1</v>
      </c>
    </row>
    <row r="86" spans="1:4" x14ac:dyDescent="0.3">
      <c r="A86" s="31">
        <v>11</v>
      </c>
      <c r="B86" s="20" t="s">
        <v>12</v>
      </c>
      <c r="C86" s="19">
        <v>7</v>
      </c>
      <c r="D86" s="26">
        <v>4.2699999999999996</v>
      </c>
    </row>
    <row r="87" spans="1:4" x14ac:dyDescent="0.3">
      <c r="A87" s="31">
        <v>12</v>
      </c>
      <c r="B87" s="14" t="s">
        <v>13</v>
      </c>
      <c r="C87" s="19">
        <v>7.5</v>
      </c>
      <c r="D87" s="26">
        <v>8.4499999999999993</v>
      </c>
    </row>
    <row r="88" spans="1:4" x14ac:dyDescent="0.3">
      <c r="A88" s="31">
        <v>13</v>
      </c>
      <c r="B88" s="6" t="s">
        <v>14</v>
      </c>
      <c r="C88" s="19">
        <v>7</v>
      </c>
      <c r="D88" s="26">
        <v>6.65</v>
      </c>
    </row>
    <row r="89" spans="1:4" x14ac:dyDescent="0.3">
      <c r="A89" s="31">
        <v>14</v>
      </c>
      <c r="B89" s="12" t="s">
        <v>15</v>
      </c>
      <c r="C89" s="19">
        <v>6.5</v>
      </c>
      <c r="D89" s="26">
        <v>6.85</v>
      </c>
    </row>
    <row r="90" spans="1:4" x14ac:dyDescent="0.3">
      <c r="A90" s="31">
        <v>15</v>
      </c>
      <c r="B90" s="6" t="s">
        <v>16</v>
      </c>
      <c r="C90" s="19">
        <v>7</v>
      </c>
      <c r="D90" s="26">
        <v>5.5</v>
      </c>
    </row>
    <row r="91" spans="1:4" x14ac:dyDescent="0.3">
      <c r="A91" s="31">
        <v>16</v>
      </c>
      <c r="B91" s="21" t="s">
        <v>17</v>
      </c>
      <c r="C91" s="19">
        <v>6.5</v>
      </c>
      <c r="D91" s="26">
        <v>3.72</v>
      </c>
    </row>
    <row r="92" spans="1:4" x14ac:dyDescent="0.3">
      <c r="A92" s="31">
        <v>17</v>
      </c>
      <c r="B92" s="9" t="s">
        <v>18</v>
      </c>
      <c r="C92" s="19">
        <v>7</v>
      </c>
      <c r="D92" s="26">
        <v>5.47</v>
      </c>
    </row>
    <row r="93" spans="1:4" x14ac:dyDescent="0.3">
      <c r="A93" s="31">
        <v>18</v>
      </c>
      <c r="B93" s="14" t="s">
        <v>19</v>
      </c>
      <c r="C93" s="19">
        <v>7</v>
      </c>
      <c r="D93" s="26">
        <v>3.52</v>
      </c>
    </row>
    <row r="94" spans="1:4" x14ac:dyDescent="0.3">
      <c r="A94" s="31">
        <v>19</v>
      </c>
      <c r="B94" s="12" t="s">
        <v>20</v>
      </c>
      <c r="C94" s="19">
        <v>7</v>
      </c>
      <c r="D94" s="26">
        <v>3.98</v>
      </c>
    </row>
    <row r="95" spans="1:4" x14ac:dyDescent="0.3">
      <c r="A95" s="31">
        <v>20</v>
      </c>
      <c r="B95" s="20" t="s">
        <v>21</v>
      </c>
      <c r="C95" s="19">
        <v>7</v>
      </c>
      <c r="D95" s="26">
        <v>3.98</v>
      </c>
    </row>
    <row r="96" spans="1:4" x14ac:dyDescent="0.3">
      <c r="A96" s="31">
        <v>21</v>
      </c>
      <c r="B96" s="12" t="s">
        <v>22</v>
      </c>
      <c r="C96" s="19">
        <v>6.5</v>
      </c>
      <c r="D96" s="26">
        <v>3.71</v>
      </c>
    </row>
    <row r="97" spans="1:4" x14ac:dyDescent="0.3">
      <c r="A97" s="31">
        <v>22</v>
      </c>
      <c r="B97" s="20" t="s">
        <v>23</v>
      </c>
      <c r="C97" s="19">
        <v>6.5</v>
      </c>
      <c r="D97" s="26">
        <v>9</v>
      </c>
    </row>
    <row r="98" spans="1:4" x14ac:dyDescent="0.3">
      <c r="A98" s="31">
        <v>23</v>
      </c>
      <c r="B98" s="9" t="s">
        <v>24</v>
      </c>
      <c r="C98" s="19">
        <v>6.5</v>
      </c>
      <c r="D98" s="26">
        <v>7.06</v>
      </c>
    </row>
    <row r="99" spans="1:4" ht="14.5" thickBot="1" x14ac:dyDescent="0.35">
      <c r="A99" s="32">
        <v>24</v>
      </c>
      <c r="B99" s="33" t="s">
        <v>25</v>
      </c>
      <c r="C99" s="41">
        <v>6.5</v>
      </c>
      <c r="D99" s="28">
        <v>6.55</v>
      </c>
    </row>
    <row r="102" spans="1:4" ht="14.5" thickBot="1" x14ac:dyDescent="0.35">
      <c r="A102" s="1" t="s">
        <v>36</v>
      </c>
      <c r="B102" s="18">
        <v>45257</v>
      </c>
    </row>
    <row r="103" spans="1:4" x14ac:dyDescent="0.3">
      <c r="A103" s="22" t="s">
        <v>27</v>
      </c>
      <c r="B103" s="30" t="s">
        <v>26</v>
      </c>
      <c r="C103" s="23" t="s">
        <v>28</v>
      </c>
      <c r="D103" s="53" t="s">
        <v>52</v>
      </c>
    </row>
    <row r="104" spans="1:4" x14ac:dyDescent="0.3">
      <c r="A104" s="31">
        <v>1</v>
      </c>
      <c r="B104" s="9" t="s">
        <v>2</v>
      </c>
      <c r="C104" s="50">
        <v>7.5</v>
      </c>
      <c r="D104" s="26">
        <v>8.01</v>
      </c>
    </row>
    <row r="105" spans="1:4" x14ac:dyDescent="0.3">
      <c r="A105" s="31">
        <v>2</v>
      </c>
      <c r="B105" s="14" t="s">
        <v>3</v>
      </c>
      <c r="C105" s="50">
        <v>7.5</v>
      </c>
      <c r="D105" s="26">
        <v>6.78</v>
      </c>
    </row>
    <row r="106" spans="1:4" x14ac:dyDescent="0.3">
      <c r="A106" s="31">
        <v>3</v>
      </c>
      <c r="B106" s="12" t="s">
        <v>4</v>
      </c>
      <c r="C106" s="50">
        <v>7.5</v>
      </c>
      <c r="D106" s="26">
        <v>6.85</v>
      </c>
    </row>
    <row r="107" spans="1:4" x14ac:dyDescent="0.3">
      <c r="A107" s="31">
        <v>4</v>
      </c>
      <c r="B107" s="14" t="s">
        <v>5</v>
      </c>
      <c r="C107" s="50">
        <v>7.5</v>
      </c>
      <c r="D107" s="26">
        <v>9</v>
      </c>
    </row>
    <row r="108" spans="1:4" x14ac:dyDescent="0.3">
      <c r="A108" s="31">
        <v>5</v>
      </c>
      <c r="B108" s="20" t="s">
        <v>6</v>
      </c>
      <c r="C108" s="50">
        <v>7</v>
      </c>
      <c r="D108" s="26">
        <v>6.24</v>
      </c>
    </row>
    <row r="109" spans="1:4" x14ac:dyDescent="0.3">
      <c r="A109" s="31">
        <v>6</v>
      </c>
      <c r="B109" s="6" t="s">
        <v>7</v>
      </c>
      <c r="C109" s="50">
        <v>7</v>
      </c>
      <c r="D109" s="26">
        <v>7.29</v>
      </c>
    </row>
    <row r="110" spans="1:4" x14ac:dyDescent="0.3">
      <c r="A110" s="31">
        <v>7</v>
      </c>
      <c r="B110" s="21" t="s">
        <v>8</v>
      </c>
      <c r="C110" s="50">
        <v>7</v>
      </c>
      <c r="D110" s="26">
        <v>7.37</v>
      </c>
    </row>
    <row r="111" spans="1:4" x14ac:dyDescent="0.3">
      <c r="A111" s="31">
        <v>8</v>
      </c>
      <c r="B111" s="6" t="s">
        <v>9</v>
      </c>
      <c r="C111" s="50">
        <v>7.5</v>
      </c>
      <c r="D111" s="26">
        <v>7.68</v>
      </c>
    </row>
    <row r="112" spans="1:4" x14ac:dyDescent="0.3">
      <c r="A112" s="31">
        <v>9</v>
      </c>
      <c r="B112" s="21" t="s">
        <v>10</v>
      </c>
      <c r="C112" s="50">
        <v>7</v>
      </c>
      <c r="D112" s="26">
        <v>5.63</v>
      </c>
    </row>
    <row r="113" spans="1:4" x14ac:dyDescent="0.3">
      <c r="A113" s="31">
        <v>10</v>
      </c>
      <c r="B113" s="9" t="s">
        <v>11</v>
      </c>
      <c r="C113" s="50">
        <v>7</v>
      </c>
      <c r="D113" s="26">
        <v>6.77</v>
      </c>
    </row>
    <row r="114" spans="1:4" x14ac:dyDescent="0.3">
      <c r="A114" s="31">
        <v>11</v>
      </c>
      <c r="B114" s="20" t="s">
        <v>12</v>
      </c>
      <c r="C114" s="50">
        <v>7</v>
      </c>
      <c r="D114" s="26">
        <v>6.3</v>
      </c>
    </row>
    <row r="115" spans="1:4" x14ac:dyDescent="0.3">
      <c r="A115" s="31">
        <v>12</v>
      </c>
      <c r="B115" s="14" t="s">
        <v>13</v>
      </c>
      <c r="C115" s="50">
        <v>7.5</v>
      </c>
      <c r="D115" s="26">
        <v>6.06</v>
      </c>
    </row>
    <row r="116" spans="1:4" x14ac:dyDescent="0.3">
      <c r="A116" s="31">
        <v>13</v>
      </c>
      <c r="B116" s="6" t="s">
        <v>14</v>
      </c>
      <c r="C116" s="50">
        <v>7</v>
      </c>
      <c r="D116" s="26">
        <v>6.55</v>
      </c>
    </row>
    <row r="117" spans="1:4" x14ac:dyDescent="0.3">
      <c r="A117" s="31">
        <v>14</v>
      </c>
      <c r="B117" s="12" t="s">
        <v>15</v>
      </c>
      <c r="C117" s="50">
        <v>7</v>
      </c>
      <c r="D117" s="26">
        <v>1</v>
      </c>
    </row>
    <row r="118" spans="1:4" x14ac:dyDescent="0.3">
      <c r="A118" s="31">
        <v>15</v>
      </c>
      <c r="B118" s="6" t="s">
        <v>16</v>
      </c>
      <c r="C118" s="50">
        <v>7</v>
      </c>
      <c r="D118" s="26">
        <v>5.61</v>
      </c>
    </row>
    <row r="119" spans="1:4" x14ac:dyDescent="0.3">
      <c r="A119" s="31">
        <v>16</v>
      </c>
      <c r="B119" s="21" t="s">
        <v>17</v>
      </c>
      <c r="C119" s="50">
        <v>6.5</v>
      </c>
      <c r="D119" s="26">
        <v>4.0999999999999996</v>
      </c>
    </row>
    <row r="120" spans="1:4" x14ac:dyDescent="0.3">
      <c r="A120" s="31">
        <v>17</v>
      </c>
      <c r="B120" s="9" t="s">
        <v>18</v>
      </c>
      <c r="C120" s="50">
        <v>7</v>
      </c>
      <c r="D120" s="26">
        <v>6.33</v>
      </c>
    </row>
    <row r="121" spans="1:4" x14ac:dyDescent="0.3">
      <c r="A121" s="31">
        <v>18</v>
      </c>
      <c r="B121" s="14" t="s">
        <v>19</v>
      </c>
      <c r="C121" s="50">
        <v>7</v>
      </c>
      <c r="D121" s="26">
        <v>7.41</v>
      </c>
    </row>
    <row r="122" spans="1:4" x14ac:dyDescent="0.3">
      <c r="A122" s="31">
        <v>19</v>
      </c>
      <c r="B122" s="12" t="s">
        <v>20</v>
      </c>
      <c r="C122" s="50">
        <v>7</v>
      </c>
      <c r="D122" s="26">
        <v>6.27</v>
      </c>
    </row>
    <row r="123" spans="1:4" x14ac:dyDescent="0.3">
      <c r="A123" s="31">
        <v>20</v>
      </c>
      <c r="B123" s="20" t="s">
        <v>21</v>
      </c>
      <c r="C123" s="50">
        <v>7</v>
      </c>
      <c r="D123" s="26">
        <v>6.07</v>
      </c>
    </row>
    <row r="124" spans="1:4" x14ac:dyDescent="0.3">
      <c r="A124" s="31">
        <v>21</v>
      </c>
      <c r="B124" s="12" t="s">
        <v>22</v>
      </c>
      <c r="C124" s="50">
        <v>6.5</v>
      </c>
      <c r="D124" s="26">
        <v>4.79</v>
      </c>
    </row>
    <row r="125" spans="1:4" x14ac:dyDescent="0.3">
      <c r="A125" s="31">
        <v>22</v>
      </c>
      <c r="B125" s="20" t="s">
        <v>23</v>
      </c>
      <c r="C125" s="50">
        <v>6.5</v>
      </c>
      <c r="D125" s="26">
        <v>6.52</v>
      </c>
    </row>
    <row r="126" spans="1:4" x14ac:dyDescent="0.3">
      <c r="A126" s="31">
        <v>23</v>
      </c>
      <c r="B126" s="9" t="s">
        <v>24</v>
      </c>
      <c r="C126" s="50">
        <v>6.5</v>
      </c>
      <c r="D126" s="26">
        <v>5.88</v>
      </c>
    </row>
    <row r="127" spans="1:4" ht="14.5" thickBot="1" x14ac:dyDescent="0.35">
      <c r="A127" s="32">
        <v>24</v>
      </c>
      <c r="B127" s="33" t="s">
        <v>25</v>
      </c>
      <c r="C127" s="55">
        <v>6.5</v>
      </c>
      <c r="D127" s="28">
        <v>7.24</v>
      </c>
    </row>
    <row r="130" spans="1:4" ht="14.5" thickBot="1" x14ac:dyDescent="0.35">
      <c r="A130" s="1" t="s">
        <v>36</v>
      </c>
      <c r="B130" s="18">
        <v>45271</v>
      </c>
    </row>
    <row r="131" spans="1:4" x14ac:dyDescent="0.3">
      <c r="A131" s="22" t="s">
        <v>27</v>
      </c>
      <c r="B131" s="30" t="s">
        <v>26</v>
      </c>
      <c r="C131" s="23" t="s">
        <v>28</v>
      </c>
      <c r="D131" s="53" t="s">
        <v>52</v>
      </c>
    </row>
    <row r="132" spans="1:4" x14ac:dyDescent="0.3">
      <c r="A132" s="31">
        <v>1</v>
      </c>
      <c r="B132" s="9" t="s">
        <v>2</v>
      </c>
      <c r="C132" s="50">
        <v>7.5</v>
      </c>
      <c r="D132" s="26">
        <v>5.66</v>
      </c>
    </row>
    <row r="133" spans="1:4" x14ac:dyDescent="0.3">
      <c r="A133" s="31">
        <v>2</v>
      </c>
      <c r="B133" s="14" t="s">
        <v>3</v>
      </c>
      <c r="C133" s="50">
        <v>7.5</v>
      </c>
      <c r="D133" s="26">
        <v>5.39</v>
      </c>
    </row>
    <row r="134" spans="1:4" x14ac:dyDescent="0.3">
      <c r="A134" s="31">
        <v>3</v>
      </c>
      <c r="B134" s="12" t="s">
        <v>4</v>
      </c>
      <c r="C134" s="50">
        <v>7.5</v>
      </c>
      <c r="D134" s="26">
        <v>3.15</v>
      </c>
    </row>
    <row r="135" spans="1:4" x14ac:dyDescent="0.3">
      <c r="A135" s="31">
        <v>4</v>
      </c>
      <c r="B135" s="14" t="s">
        <v>5</v>
      </c>
      <c r="C135" s="50">
        <v>7.5</v>
      </c>
      <c r="D135" s="26">
        <v>3.94</v>
      </c>
    </row>
    <row r="136" spans="1:4" x14ac:dyDescent="0.3">
      <c r="A136" s="31">
        <v>5</v>
      </c>
      <c r="B136" s="20" t="s">
        <v>6</v>
      </c>
      <c r="C136" s="50">
        <v>7</v>
      </c>
      <c r="D136" s="26">
        <v>2.84</v>
      </c>
    </row>
    <row r="137" spans="1:4" x14ac:dyDescent="0.3">
      <c r="A137" s="31">
        <v>6</v>
      </c>
      <c r="B137" s="6" t="s">
        <v>7</v>
      </c>
      <c r="C137" s="50">
        <v>7</v>
      </c>
      <c r="D137" s="26">
        <v>3.17</v>
      </c>
    </row>
    <row r="138" spans="1:4" x14ac:dyDescent="0.3">
      <c r="A138" s="31">
        <v>7</v>
      </c>
      <c r="B138" s="21" t="s">
        <v>8</v>
      </c>
      <c r="C138" s="50">
        <v>7</v>
      </c>
      <c r="D138" s="26">
        <v>4.38</v>
      </c>
    </row>
    <row r="139" spans="1:4" x14ac:dyDescent="0.3">
      <c r="A139" s="31">
        <v>8</v>
      </c>
      <c r="B139" s="6" t="s">
        <v>9</v>
      </c>
      <c r="C139" s="50">
        <v>7.5</v>
      </c>
      <c r="D139" s="26">
        <v>3.01</v>
      </c>
    </row>
    <row r="140" spans="1:4" x14ac:dyDescent="0.3">
      <c r="A140" s="31">
        <v>9</v>
      </c>
      <c r="B140" s="21" t="s">
        <v>10</v>
      </c>
      <c r="C140" s="50">
        <v>7</v>
      </c>
      <c r="D140" s="26">
        <v>1.92</v>
      </c>
    </row>
    <row r="141" spans="1:4" x14ac:dyDescent="0.3">
      <c r="A141" s="31">
        <v>10</v>
      </c>
      <c r="B141" s="9" t="s">
        <v>11</v>
      </c>
      <c r="C141" s="50">
        <v>7</v>
      </c>
      <c r="D141" s="26">
        <v>4.8899999999999997</v>
      </c>
    </row>
    <row r="142" spans="1:4" x14ac:dyDescent="0.3">
      <c r="A142" s="31">
        <v>11</v>
      </c>
      <c r="B142" s="20" t="s">
        <v>12</v>
      </c>
      <c r="C142" s="50">
        <v>7</v>
      </c>
      <c r="D142" s="26">
        <v>5.43</v>
      </c>
    </row>
    <row r="143" spans="1:4" x14ac:dyDescent="0.3">
      <c r="A143" s="31">
        <v>12</v>
      </c>
      <c r="B143" s="14" t="s">
        <v>13</v>
      </c>
      <c r="C143" s="50">
        <v>7.5</v>
      </c>
      <c r="D143" s="26">
        <v>1</v>
      </c>
    </row>
    <row r="144" spans="1:4" x14ac:dyDescent="0.3">
      <c r="A144" s="31">
        <v>13</v>
      </c>
      <c r="B144" s="6" t="s">
        <v>14</v>
      </c>
      <c r="C144" s="50">
        <v>7</v>
      </c>
      <c r="D144" s="26">
        <v>5.95</v>
      </c>
    </row>
    <row r="145" spans="1:4" x14ac:dyDescent="0.3">
      <c r="A145" s="31">
        <v>14</v>
      </c>
      <c r="B145" s="12" t="s">
        <v>15</v>
      </c>
      <c r="C145" s="50">
        <v>7</v>
      </c>
      <c r="D145" s="26">
        <v>9</v>
      </c>
    </row>
    <row r="146" spans="1:4" x14ac:dyDescent="0.3">
      <c r="A146" s="31">
        <v>15</v>
      </c>
      <c r="B146" s="6" t="s">
        <v>16</v>
      </c>
      <c r="C146" s="50">
        <v>7</v>
      </c>
      <c r="D146" s="26">
        <v>3.01</v>
      </c>
    </row>
    <row r="147" spans="1:4" x14ac:dyDescent="0.3">
      <c r="A147" s="31">
        <v>16</v>
      </c>
      <c r="B147" s="21" t="s">
        <v>17</v>
      </c>
      <c r="C147" s="50">
        <v>6.5</v>
      </c>
      <c r="D147" s="26">
        <v>3.78</v>
      </c>
    </row>
    <row r="148" spans="1:4" x14ac:dyDescent="0.3">
      <c r="A148" s="31">
        <v>17</v>
      </c>
      <c r="B148" s="9" t="s">
        <v>18</v>
      </c>
      <c r="C148" s="50">
        <v>7</v>
      </c>
      <c r="D148" s="26">
        <v>4.68</v>
      </c>
    </row>
    <row r="149" spans="1:4" x14ac:dyDescent="0.3">
      <c r="A149" s="31">
        <v>18</v>
      </c>
      <c r="B149" s="14" t="s">
        <v>19</v>
      </c>
      <c r="C149" s="50">
        <v>7</v>
      </c>
      <c r="D149" s="26">
        <v>6.15</v>
      </c>
    </row>
    <row r="150" spans="1:4" x14ac:dyDescent="0.3">
      <c r="A150" s="31">
        <v>19</v>
      </c>
      <c r="B150" s="12" t="s">
        <v>20</v>
      </c>
      <c r="C150" s="50">
        <v>7</v>
      </c>
      <c r="D150" s="26">
        <v>7.2</v>
      </c>
    </row>
    <row r="151" spans="1:4" x14ac:dyDescent="0.3">
      <c r="A151" s="31">
        <v>20</v>
      </c>
      <c r="B151" s="20" t="s">
        <v>21</v>
      </c>
      <c r="C151" s="50">
        <v>7</v>
      </c>
      <c r="D151" s="26">
        <v>5.93</v>
      </c>
    </row>
    <row r="152" spans="1:4" x14ac:dyDescent="0.3">
      <c r="A152" s="31">
        <v>21</v>
      </c>
      <c r="B152" s="12" t="s">
        <v>22</v>
      </c>
      <c r="C152" s="50">
        <v>7</v>
      </c>
      <c r="D152" s="26">
        <v>6.77</v>
      </c>
    </row>
    <row r="153" spans="1:4" x14ac:dyDescent="0.3">
      <c r="A153" s="31">
        <v>22</v>
      </c>
      <c r="B153" s="20" t="s">
        <v>23</v>
      </c>
      <c r="C153" s="50">
        <v>6.5</v>
      </c>
      <c r="D153" s="26">
        <v>6.35</v>
      </c>
    </row>
    <row r="154" spans="1:4" x14ac:dyDescent="0.3">
      <c r="A154" s="31">
        <v>23</v>
      </c>
      <c r="B154" s="9" t="s">
        <v>24</v>
      </c>
      <c r="C154" s="50">
        <v>7</v>
      </c>
      <c r="D154" s="26">
        <v>4.83</v>
      </c>
    </row>
    <row r="155" spans="1:4" ht="14.5" thickBot="1" x14ac:dyDescent="0.35">
      <c r="A155" s="32">
        <v>24</v>
      </c>
      <c r="B155" s="33" t="s">
        <v>25</v>
      </c>
      <c r="C155" s="55">
        <v>7</v>
      </c>
      <c r="D155" s="28">
        <v>3.14</v>
      </c>
    </row>
    <row r="158" spans="1:4" ht="14.5" thickBot="1" x14ac:dyDescent="0.35">
      <c r="A158" s="1" t="s">
        <v>36</v>
      </c>
      <c r="B158" s="18">
        <v>45287</v>
      </c>
    </row>
    <row r="159" spans="1:4" x14ac:dyDescent="0.3">
      <c r="A159" s="22" t="s">
        <v>27</v>
      </c>
      <c r="B159" s="30" t="s">
        <v>26</v>
      </c>
      <c r="C159" s="23" t="s">
        <v>28</v>
      </c>
      <c r="D159" s="53" t="s">
        <v>52</v>
      </c>
    </row>
    <row r="160" spans="1:4" x14ac:dyDescent="0.3">
      <c r="A160" s="31">
        <v>1</v>
      </c>
      <c r="B160" s="9" t="s">
        <v>2</v>
      </c>
      <c r="C160" s="50">
        <v>6.5</v>
      </c>
      <c r="D160" s="26">
        <v>1</v>
      </c>
    </row>
    <row r="161" spans="1:4" x14ac:dyDescent="0.3">
      <c r="A161" s="31">
        <v>2</v>
      </c>
      <c r="B161" s="14" t="s">
        <v>3</v>
      </c>
      <c r="C161" s="50">
        <v>7</v>
      </c>
      <c r="D161" s="26">
        <v>8.81</v>
      </c>
    </row>
    <row r="162" spans="1:4" x14ac:dyDescent="0.3">
      <c r="A162" s="31">
        <v>3</v>
      </c>
      <c r="B162" s="12" t="s">
        <v>4</v>
      </c>
      <c r="C162" s="50">
        <v>7</v>
      </c>
      <c r="D162" s="26">
        <v>6.69</v>
      </c>
    </row>
    <row r="163" spans="1:4" x14ac:dyDescent="0.3">
      <c r="A163" s="31">
        <v>4</v>
      </c>
      <c r="B163" s="14" t="s">
        <v>5</v>
      </c>
      <c r="C163" s="50">
        <v>7</v>
      </c>
      <c r="D163" s="26">
        <v>4.93</v>
      </c>
    </row>
    <row r="164" spans="1:4" x14ac:dyDescent="0.3">
      <c r="A164" s="31">
        <v>5</v>
      </c>
      <c r="B164" s="20" t="s">
        <v>6</v>
      </c>
      <c r="C164" s="50">
        <v>6.5</v>
      </c>
      <c r="D164" s="26">
        <v>7.05</v>
      </c>
    </row>
    <row r="165" spans="1:4" x14ac:dyDescent="0.3">
      <c r="A165" s="31">
        <v>6</v>
      </c>
      <c r="B165" s="6" t="s">
        <v>7</v>
      </c>
      <c r="C165" s="50">
        <v>7</v>
      </c>
      <c r="D165" s="26">
        <v>5.83</v>
      </c>
    </row>
    <row r="166" spans="1:4" x14ac:dyDescent="0.3">
      <c r="A166" s="31">
        <v>7</v>
      </c>
      <c r="B166" s="21" t="s">
        <v>8</v>
      </c>
      <c r="C166" s="50">
        <v>6.5</v>
      </c>
      <c r="D166" s="26">
        <v>2.56</v>
      </c>
    </row>
    <row r="167" spans="1:4" x14ac:dyDescent="0.3">
      <c r="A167" s="31">
        <v>8</v>
      </c>
      <c r="B167" s="6" t="s">
        <v>9</v>
      </c>
      <c r="C167" s="50">
        <v>7</v>
      </c>
      <c r="D167" s="26">
        <v>9</v>
      </c>
    </row>
    <row r="168" spans="1:4" x14ac:dyDescent="0.3">
      <c r="A168" s="31">
        <v>9</v>
      </c>
      <c r="B168" s="21" t="s">
        <v>10</v>
      </c>
      <c r="C168" s="50">
        <v>7</v>
      </c>
      <c r="D168" s="26">
        <v>5.77</v>
      </c>
    </row>
    <row r="169" spans="1:4" x14ac:dyDescent="0.3">
      <c r="A169" s="31">
        <v>10</v>
      </c>
      <c r="B169" s="9" t="s">
        <v>11</v>
      </c>
      <c r="C169" s="50">
        <v>7</v>
      </c>
      <c r="D169" s="26">
        <v>7.02</v>
      </c>
    </row>
    <row r="170" spans="1:4" x14ac:dyDescent="0.3">
      <c r="A170" s="31">
        <v>11</v>
      </c>
      <c r="B170" s="20" t="s">
        <v>12</v>
      </c>
      <c r="C170" s="50">
        <v>6.5</v>
      </c>
      <c r="D170" s="26">
        <v>5.8</v>
      </c>
    </row>
    <row r="171" spans="1:4" x14ac:dyDescent="0.3">
      <c r="A171" s="31">
        <v>12</v>
      </c>
      <c r="B171" s="14" t="s">
        <v>13</v>
      </c>
      <c r="C171" s="50">
        <v>7</v>
      </c>
      <c r="D171" s="26">
        <v>3.7</v>
      </c>
    </row>
    <row r="172" spans="1:4" x14ac:dyDescent="0.3">
      <c r="A172" s="31">
        <v>13</v>
      </c>
      <c r="B172" s="6" t="s">
        <v>14</v>
      </c>
      <c r="C172" s="50">
        <v>6.5</v>
      </c>
      <c r="D172" s="26">
        <v>5.48</v>
      </c>
    </row>
    <row r="173" spans="1:4" x14ac:dyDescent="0.3">
      <c r="A173" s="31">
        <v>14</v>
      </c>
      <c r="B173" s="12" t="s">
        <v>15</v>
      </c>
      <c r="C173" s="50">
        <v>6.5</v>
      </c>
      <c r="D173" s="26">
        <v>5.08</v>
      </c>
    </row>
    <row r="174" spans="1:4" x14ac:dyDescent="0.3">
      <c r="A174" s="31">
        <v>15</v>
      </c>
      <c r="B174" s="6" t="s">
        <v>16</v>
      </c>
      <c r="C174" s="50">
        <v>6.5</v>
      </c>
      <c r="D174" s="26">
        <v>3.96</v>
      </c>
    </row>
    <row r="175" spans="1:4" x14ac:dyDescent="0.3">
      <c r="A175" s="31">
        <v>16</v>
      </c>
      <c r="B175" s="21" t="s">
        <v>17</v>
      </c>
      <c r="C175" s="50">
        <v>6</v>
      </c>
      <c r="D175" s="26">
        <v>5.29</v>
      </c>
    </row>
    <row r="176" spans="1:4" x14ac:dyDescent="0.3">
      <c r="A176" s="31">
        <v>17</v>
      </c>
      <c r="B176" s="9" t="s">
        <v>18</v>
      </c>
      <c r="C176" s="50">
        <v>7</v>
      </c>
      <c r="D176" s="26">
        <v>5.29</v>
      </c>
    </row>
    <row r="177" spans="1:4" x14ac:dyDescent="0.3">
      <c r="A177" s="31">
        <v>18</v>
      </c>
      <c r="B177" s="14" t="s">
        <v>19</v>
      </c>
      <c r="C177" s="50">
        <v>6.5</v>
      </c>
      <c r="D177" s="26">
        <v>3.16</v>
      </c>
    </row>
    <row r="178" spans="1:4" x14ac:dyDescent="0.3">
      <c r="A178" s="31">
        <v>19</v>
      </c>
      <c r="B178" s="12" t="s">
        <v>20</v>
      </c>
      <c r="C178" s="50">
        <v>6.5</v>
      </c>
      <c r="D178" s="26">
        <v>5.24</v>
      </c>
    </row>
    <row r="179" spans="1:4" x14ac:dyDescent="0.3">
      <c r="A179" s="31">
        <v>20</v>
      </c>
      <c r="B179" s="20" t="s">
        <v>21</v>
      </c>
      <c r="C179" s="50">
        <v>6</v>
      </c>
      <c r="D179" s="26">
        <v>5.75</v>
      </c>
    </row>
    <row r="180" spans="1:4" x14ac:dyDescent="0.3">
      <c r="A180" s="31">
        <v>21</v>
      </c>
      <c r="B180" s="12" t="s">
        <v>22</v>
      </c>
      <c r="C180" s="50">
        <v>6.5</v>
      </c>
      <c r="D180" s="26">
        <v>7.03</v>
      </c>
    </row>
    <row r="181" spans="1:4" x14ac:dyDescent="0.3">
      <c r="A181" s="31">
        <v>22</v>
      </c>
      <c r="B181" s="20" t="s">
        <v>23</v>
      </c>
      <c r="C181" s="50">
        <v>6.5</v>
      </c>
      <c r="D181" s="26">
        <v>6.7</v>
      </c>
    </row>
    <row r="182" spans="1:4" x14ac:dyDescent="0.3">
      <c r="A182" s="31">
        <v>23</v>
      </c>
      <c r="B182" s="9" t="s">
        <v>24</v>
      </c>
      <c r="C182" s="50">
        <v>7</v>
      </c>
      <c r="D182" s="26">
        <v>4.58</v>
      </c>
    </row>
    <row r="183" spans="1:4" ht="14.5" thickBot="1" x14ac:dyDescent="0.35">
      <c r="A183" s="32">
        <v>24</v>
      </c>
      <c r="B183" s="33" t="s">
        <v>25</v>
      </c>
      <c r="C183" s="55">
        <v>6.5</v>
      </c>
      <c r="D183" s="28">
        <v>6.15</v>
      </c>
    </row>
    <row r="185" spans="1:4" x14ac:dyDescent="0.3">
      <c r="A185" s="57">
        <v>45299</v>
      </c>
      <c r="B185" t="s">
        <v>61</v>
      </c>
    </row>
    <row r="186" spans="1:4" ht="14.5" thickBot="1" x14ac:dyDescent="0.35">
      <c r="A186" s="1" t="s">
        <v>36</v>
      </c>
      <c r="B186" s="18">
        <v>45313</v>
      </c>
    </row>
    <row r="187" spans="1:4" x14ac:dyDescent="0.3">
      <c r="A187" s="22" t="s">
        <v>27</v>
      </c>
      <c r="B187" s="30" t="s">
        <v>26</v>
      </c>
      <c r="C187" s="23" t="s">
        <v>28</v>
      </c>
      <c r="D187" s="53" t="s">
        <v>52</v>
      </c>
    </row>
    <row r="188" spans="1:4" x14ac:dyDescent="0.3">
      <c r="A188" s="31">
        <v>1</v>
      </c>
      <c r="B188" s="9" t="s">
        <v>2</v>
      </c>
      <c r="C188" s="50">
        <v>6.5</v>
      </c>
      <c r="D188" s="26">
        <v>6.03</v>
      </c>
    </row>
    <row r="189" spans="1:4" x14ac:dyDescent="0.3">
      <c r="A189" s="31">
        <v>2</v>
      </c>
      <c r="B189" s="14" t="s">
        <v>3</v>
      </c>
      <c r="C189" s="50">
        <v>6.5</v>
      </c>
      <c r="D189" s="26">
        <v>4.28</v>
      </c>
    </row>
    <row r="190" spans="1:4" x14ac:dyDescent="0.3">
      <c r="A190" s="31">
        <v>3</v>
      </c>
      <c r="B190" s="12" t="s">
        <v>4</v>
      </c>
      <c r="C190" s="50">
        <v>7</v>
      </c>
      <c r="D190" s="26">
        <v>5.5</v>
      </c>
    </row>
    <row r="191" spans="1:4" x14ac:dyDescent="0.3">
      <c r="A191" s="31">
        <v>4</v>
      </c>
      <c r="B191" s="14" t="s">
        <v>5</v>
      </c>
      <c r="C191" s="50">
        <v>7</v>
      </c>
      <c r="D191" s="26">
        <v>3.37</v>
      </c>
    </row>
    <row r="192" spans="1:4" x14ac:dyDescent="0.3">
      <c r="A192" s="31">
        <v>5</v>
      </c>
      <c r="B192" s="20" t="s">
        <v>6</v>
      </c>
      <c r="C192" s="50">
        <v>6.5</v>
      </c>
      <c r="D192" s="26">
        <v>4.9400000000000004</v>
      </c>
    </row>
    <row r="193" spans="1:4" x14ac:dyDescent="0.3">
      <c r="A193" s="31">
        <v>6</v>
      </c>
      <c r="B193" s="6" t="s">
        <v>7</v>
      </c>
      <c r="C193" s="50">
        <v>7</v>
      </c>
      <c r="D193" s="26">
        <v>4.09</v>
      </c>
    </row>
    <row r="194" spans="1:4" x14ac:dyDescent="0.3">
      <c r="A194" s="31">
        <v>7</v>
      </c>
      <c r="B194" s="21" t="s">
        <v>8</v>
      </c>
      <c r="C194" s="50">
        <v>7</v>
      </c>
      <c r="D194" s="26">
        <v>4.28</v>
      </c>
    </row>
    <row r="195" spans="1:4" x14ac:dyDescent="0.3">
      <c r="A195" s="31">
        <v>8</v>
      </c>
      <c r="B195" s="6" t="s">
        <v>9</v>
      </c>
      <c r="C195" s="50">
        <v>7</v>
      </c>
      <c r="D195" s="26">
        <v>6.91</v>
      </c>
    </row>
    <row r="196" spans="1:4" x14ac:dyDescent="0.3">
      <c r="A196" s="31">
        <v>9</v>
      </c>
      <c r="B196" s="21" t="s">
        <v>10</v>
      </c>
      <c r="C196" s="50">
        <v>7</v>
      </c>
      <c r="D196" s="26">
        <v>8.6199999999999992</v>
      </c>
    </row>
    <row r="197" spans="1:4" x14ac:dyDescent="0.3">
      <c r="A197" s="31">
        <v>10</v>
      </c>
      <c r="B197" s="9" t="s">
        <v>11</v>
      </c>
      <c r="C197" s="50">
        <v>7.5</v>
      </c>
      <c r="D197" s="26">
        <v>4.66</v>
      </c>
    </row>
    <row r="198" spans="1:4" x14ac:dyDescent="0.3">
      <c r="A198" s="31">
        <v>11</v>
      </c>
      <c r="B198" s="20" t="s">
        <v>12</v>
      </c>
      <c r="C198" s="50">
        <v>7</v>
      </c>
      <c r="D198" s="26">
        <v>2.0499999999999998</v>
      </c>
    </row>
    <row r="199" spans="1:4" x14ac:dyDescent="0.3">
      <c r="A199" s="31">
        <v>12</v>
      </c>
      <c r="B199" s="14" t="s">
        <v>13</v>
      </c>
      <c r="C199" s="50">
        <v>7</v>
      </c>
      <c r="D199" s="26">
        <v>3.33</v>
      </c>
    </row>
    <row r="200" spans="1:4" x14ac:dyDescent="0.3">
      <c r="A200" s="31">
        <v>13</v>
      </c>
      <c r="B200" s="6" t="s">
        <v>14</v>
      </c>
      <c r="C200" s="50">
        <v>7</v>
      </c>
      <c r="D200" s="26">
        <v>9</v>
      </c>
    </row>
    <row r="201" spans="1:4" x14ac:dyDescent="0.3">
      <c r="A201" s="31">
        <v>14</v>
      </c>
      <c r="B201" s="12" t="s">
        <v>15</v>
      </c>
      <c r="C201" s="50">
        <v>6.5</v>
      </c>
      <c r="D201" s="26">
        <v>5.38</v>
      </c>
    </row>
    <row r="202" spans="1:4" x14ac:dyDescent="0.3">
      <c r="A202" s="31">
        <v>15</v>
      </c>
      <c r="B202" s="6" t="s">
        <v>16</v>
      </c>
      <c r="C202" s="50">
        <v>6.5</v>
      </c>
      <c r="D202" s="26">
        <v>6.05</v>
      </c>
    </row>
    <row r="203" spans="1:4" x14ac:dyDescent="0.3">
      <c r="A203" s="31">
        <v>16</v>
      </c>
      <c r="B203" s="21" t="s">
        <v>17</v>
      </c>
      <c r="C203" s="50">
        <v>6</v>
      </c>
      <c r="D203" s="26">
        <v>5.08</v>
      </c>
    </row>
    <row r="204" spans="1:4" x14ac:dyDescent="0.3">
      <c r="A204" s="31">
        <v>17</v>
      </c>
      <c r="B204" s="9" t="s">
        <v>18</v>
      </c>
      <c r="C204" s="50">
        <v>7</v>
      </c>
      <c r="D204" s="26">
        <v>6.67</v>
      </c>
    </row>
    <row r="205" spans="1:4" x14ac:dyDescent="0.3">
      <c r="A205" s="31">
        <v>18</v>
      </c>
      <c r="B205" s="14" t="s">
        <v>19</v>
      </c>
      <c r="C205" s="50">
        <v>6.5</v>
      </c>
      <c r="D205" s="26">
        <v>6.32</v>
      </c>
    </row>
    <row r="206" spans="1:4" x14ac:dyDescent="0.3">
      <c r="A206" s="31">
        <v>19</v>
      </c>
      <c r="B206" s="12" t="s">
        <v>20</v>
      </c>
      <c r="C206" s="50">
        <v>6</v>
      </c>
      <c r="D206" s="26">
        <v>5.55</v>
      </c>
    </row>
    <row r="207" spans="1:4" x14ac:dyDescent="0.3">
      <c r="A207" s="31">
        <v>20</v>
      </c>
      <c r="B207" s="20" t="s">
        <v>21</v>
      </c>
      <c r="C207" s="50">
        <v>6.5</v>
      </c>
      <c r="D207" s="26">
        <v>4.28</v>
      </c>
    </row>
    <row r="208" spans="1:4" x14ac:dyDescent="0.3">
      <c r="A208" s="31">
        <v>21</v>
      </c>
      <c r="B208" s="12" t="s">
        <v>22</v>
      </c>
      <c r="C208" s="50">
        <v>6.5</v>
      </c>
      <c r="D208" s="26">
        <v>1</v>
      </c>
    </row>
    <row r="209" spans="1:4" x14ac:dyDescent="0.3">
      <c r="A209" s="31">
        <v>22</v>
      </c>
      <c r="B209" s="20" t="s">
        <v>23</v>
      </c>
      <c r="C209" s="50">
        <v>6.5</v>
      </c>
      <c r="D209" s="26">
        <v>4.3</v>
      </c>
    </row>
    <row r="210" spans="1:4" x14ac:dyDescent="0.3">
      <c r="A210" s="31">
        <v>23</v>
      </c>
      <c r="B210" s="9" t="s">
        <v>24</v>
      </c>
      <c r="C210" s="50">
        <v>7</v>
      </c>
      <c r="D210" s="26">
        <v>6.28</v>
      </c>
    </row>
    <row r="211" spans="1:4" ht="14.5" thickBot="1" x14ac:dyDescent="0.35">
      <c r="A211" s="32">
        <v>24</v>
      </c>
      <c r="B211" s="33" t="s">
        <v>25</v>
      </c>
      <c r="C211" s="55">
        <v>7</v>
      </c>
      <c r="D211" s="28">
        <v>2.97</v>
      </c>
    </row>
    <row r="214" spans="1:4" ht="14.5" thickBot="1" x14ac:dyDescent="0.35">
      <c r="A214" s="1" t="s">
        <v>36</v>
      </c>
      <c r="B214" s="18">
        <v>45327</v>
      </c>
    </row>
    <row r="215" spans="1:4" x14ac:dyDescent="0.3">
      <c r="A215" s="22" t="s">
        <v>27</v>
      </c>
      <c r="B215" s="30" t="s">
        <v>26</v>
      </c>
      <c r="C215" s="23" t="s">
        <v>28</v>
      </c>
      <c r="D215" s="53" t="s">
        <v>52</v>
      </c>
    </row>
    <row r="216" spans="1:4" x14ac:dyDescent="0.3">
      <c r="A216" s="31">
        <v>1</v>
      </c>
      <c r="B216" s="9" t="s">
        <v>2</v>
      </c>
      <c r="C216" s="50">
        <v>6</v>
      </c>
      <c r="D216" s="26">
        <v>7.88</v>
      </c>
    </row>
    <row r="217" spans="1:4" x14ac:dyDescent="0.3">
      <c r="A217" s="31">
        <v>2</v>
      </c>
      <c r="B217" s="14" t="s">
        <v>3</v>
      </c>
      <c r="C217" s="50">
        <v>6</v>
      </c>
      <c r="D217" s="26">
        <v>6.34</v>
      </c>
    </row>
    <row r="218" spans="1:4" x14ac:dyDescent="0.3">
      <c r="A218" s="31">
        <v>3</v>
      </c>
      <c r="B218" s="12" t="s">
        <v>4</v>
      </c>
      <c r="C218" s="50">
        <v>6.5</v>
      </c>
      <c r="D218" s="26">
        <v>9</v>
      </c>
    </row>
    <row r="219" spans="1:4" x14ac:dyDescent="0.3">
      <c r="A219" s="31">
        <v>4</v>
      </c>
      <c r="B219" s="14" t="s">
        <v>5</v>
      </c>
      <c r="C219" s="50">
        <v>6.5</v>
      </c>
      <c r="D219" s="26">
        <v>7.36</v>
      </c>
    </row>
    <row r="220" spans="1:4" x14ac:dyDescent="0.3">
      <c r="A220" s="31">
        <v>5</v>
      </c>
      <c r="B220" s="20" t="s">
        <v>6</v>
      </c>
      <c r="C220" s="50">
        <v>6</v>
      </c>
      <c r="D220" s="26">
        <v>7.13</v>
      </c>
    </row>
    <row r="221" spans="1:4" x14ac:dyDescent="0.3">
      <c r="A221" s="31">
        <v>6</v>
      </c>
      <c r="B221" s="6" t="s">
        <v>7</v>
      </c>
      <c r="C221" s="50">
        <v>6.5</v>
      </c>
      <c r="D221" s="26">
        <v>6.39</v>
      </c>
    </row>
    <row r="222" spans="1:4" x14ac:dyDescent="0.3">
      <c r="A222" s="31">
        <v>7</v>
      </c>
      <c r="B222" s="21" t="s">
        <v>8</v>
      </c>
      <c r="C222" s="50">
        <v>6.5</v>
      </c>
      <c r="D222" s="26">
        <v>6.43</v>
      </c>
    </row>
    <row r="223" spans="1:4" x14ac:dyDescent="0.3">
      <c r="A223" s="31">
        <v>8</v>
      </c>
      <c r="B223" s="6" t="s">
        <v>9</v>
      </c>
      <c r="C223" s="50">
        <v>6.5</v>
      </c>
      <c r="D223" s="26">
        <v>5.91</v>
      </c>
    </row>
    <row r="224" spans="1:4" x14ac:dyDescent="0.3">
      <c r="A224" s="31">
        <v>9</v>
      </c>
      <c r="B224" s="21" t="s">
        <v>10</v>
      </c>
      <c r="C224" s="50">
        <v>7</v>
      </c>
      <c r="D224" s="26">
        <v>6.48</v>
      </c>
    </row>
    <row r="225" spans="1:4" x14ac:dyDescent="0.3">
      <c r="A225" s="31">
        <v>10</v>
      </c>
      <c r="B225" s="9" t="s">
        <v>11</v>
      </c>
      <c r="C225" s="50">
        <v>7</v>
      </c>
      <c r="D225" s="26">
        <v>4.9800000000000004</v>
      </c>
    </row>
    <row r="226" spans="1:4" x14ac:dyDescent="0.3">
      <c r="A226" s="31">
        <v>11</v>
      </c>
      <c r="B226" s="20" t="s">
        <v>12</v>
      </c>
      <c r="C226" s="50">
        <v>7</v>
      </c>
      <c r="D226" s="26">
        <v>6.05</v>
      </c>
    </row>
    <row r="227" spans="1:4" x14ac:dyDescent="0.3">
      <c r="A227" s="31">
        <v>12</v>
      </c>
      <c r="B227" s="14" t="s">
        <v>13</v>
      </c>
      <c r="C227" s="50">
        <v>6.5</v>
      </c>
      <c r="D227" s="26">
        <v>6.12</v>
      </c>
    </row>
    <row r="228" spans="1:4" x14ac:dyDescent="0.3">
      <c r="A228" s="31">
        <v>13</v>
      </c>
      <c r="B228" s="6" t="s">
        <v>14</v>
      </c>
      <c r="C228" s="50">
        <v>6.5</v>
      </c>
      <c r="D228" s="26">
        <v>6.51</v>
      </c>
    </row>
    <row r="229" spans="1:4" x14ac:dyDescent="0.3">
      <c r="A229" s="31">
        <v>14</v>
      </c>
      <c r="B229" s="12" t="s">
        <v>15</v>
      </c>
      <c r="C229" s="50">
        <v>6.5</v>
      </c>
      <c r="D229" s="26">
        <v>6.6</v>
      </c>
    </row>
    <row r="230" spans="1:4" x14ac:dyDescent="0.3">
      <c r="A230" s="31">
        <v>15</v>
      </c>
      <c r="B230" s="6" t="s">
        <v>16</v>
      </c>
      <c r="C230" s="50">
        <v>6</v>
      </c>
      <c r="D230" s="26">
        <v>5.6</v>
      </c>
    </row>
    <row r="231" spans="1:4" x14ac:dyDescent="0.3">
      <c r="A231" s="31">
        <v>16</v>
      </c>
      <c r="B231" s="21" t="s">
        <v>17</v>
      </c>
      <c r="C231" s="50">
        <v>5.5</v>
      </c>
      <c r="D231" s="26">
        <v>6.47</v>
      </c>
    </row>
    <row r="232" spans="1:4" x14ac:dyDescent="0.3">
      <c r="A232" s="31">
        <v>17</v>
      </c>
      <c r="B232" s="9" t="s">
        <v>18</v>
      </c>
      <c r="C232" s="50">
        <v>6.5</v>
      </c>
      <c r="D232" s="26">
        <v>1</v>
      </c>
    </row>
    <row r="233" spans="1:4" x14ac:dyDescent="0.3">
      <c r="A233" s="31">
        <v>18</v>
      </c>
      <c r="B233" s="14" t="s">
        <v>19</v>
      </c>
      <c r="C233" s="50">
        <v>6.5</v>
      </c>
      <c r="D233" s="26">
        <v>5.34</v>
      </c>
    </row>
    <row r="234" spans="1:4" x14ac:dyDescent="0.3">
      <c r="A234" s="31">
        <v>19</v>
      </c>
      <c r="B234" s="12" t="s">
        <v>20</v>
      </c>
      <c r="C234" s="50">
        <v>5.5</v>
      </c>
      <c r="D234" s="26">
        <v>6.1</v>
      </c>
    </row>
    <row r="235" spans="1:4" x14ac:dyDescent="0.3">
      <c r="A235" s="31">
        <v>20</v>
      </c>
      <c r="B235" s="20" t="s">
        <v>21</v>
      </c>
      <c r="C235" s="50">
        <v>6</v>
      </c>
      <c r="D235" s="26">
        <v>5.76</v>
      </c>
    </row>
    <row r="236" spans="1:4" x14ac:dyDescent="0.3">
      <c r="A236" s="31">
        <v>21</v>
      </c>
      <c r="B236" s="12" t="s">
        <v>22</v>
      </c>
      <c r="C236" s="50">
        <v>6</v>
      </c>
      <c r="D236" s="26">
        <v>5.84</v>
      </c>
    </row>
    <row r="237" spans="1:4" x14ac:dyDescent="0.3">
      <c r="A237" s="31">
        <v>22</v>
      </c>
      <c r="B237" s="20" t="s">
        <v>23</v>
      </c>
      <c r="C237" s="50">
        <v>6</v>
      </c>
      <c r="D237" s="26">
        <v>6.03</v>
      </c>
    </row>
    <row r="238" spans="1:4" x14ac:dyDescent="0.3">
      <c r="A238" s="31">
        <v>23</v>
      </c>
      <c r="B238" s="9" t="s">
        <v>24</v>
      </c>
      <c r="C238" s="50">
        <v>7</v>
      </c>
      <c r="D238" s="26">
        <v>6.08</v>
      </c>
    </row>
    <row r="239" spans="1:4" ht="14.5" thickBot="1" x14ac:dyDescent="0.35">
      <c r="A239" s="32">
        <v>24</v>
      </c>
      <c r="B239" s="33" t="s">
        <v>25</v>
      </c>
      <c r="C239" s="55">
        <v>6.5</v>
      </c>
      <c r="D239" s="28">
        <v>6.66</v>
      </c>
    </row>
    <row r="242" spans="1:4" ht="14.5" thickBot="1" x14ac:dyDescent="0.35">
      <c r="A242" s="1" t="s">
        <v>36</v>
      </c>
      <c r="B242" s="18">
        <v>45341</v>
      </c>
    </row>
    <row r="243" spans="1:4" x14ac:dyDescent="0.3">
      <c r="A243" s="22" t="s">
        <v>27</v>
      </c>
      <c r="B243" s="30" t="s">
        <v>26</v>
      </c>
      <c r="C243" s="23" t="s">
        <v>28</v>
      </c>
      <c r="D243" s="53" t="s">
        <v>52</v>
      </c>
    </row>
    <row r="244" spans="1:4" x14ac:dyDescent="0.3">
      <c r="A244" s="31">
        <v>1</v>
      </c>
      <c r="B244" s="9" t="s">
        <v>2</v>
      </c>
      <c r="C244" s="50">
        <v>6</v>
      </c>
      <c r="D244" s="26">
        <v>4.2699999999999996</v>
      </c>
    </row>
    <row r="245" spans="1:4" x14ac:dyDescent="0.3">
      <c r="A245" s="31">
        <v>2</v>
      </c>
      <c r="B245" s="14" t="s">
        <v>3</v>
      </c>
      <c r="C245" s="50">
        <v>6</v>
      </c>
      <c r="D245" s="26">
        <v>4.1399999999999997</v>
      </c>
    </row>
    <row r="246" spans="1:4" x14ac:dyDescent="0.3">
      <c r="A246" s="31">
        <v>3</v>
      </c>
      <c r="B246" s="12" t="s">
        <v>4</v>
      </c>
      <c r="C246" s="50">
        <v>6</v>
      </c>
      <c r="D246" s="26">
        <v>2.0699999999999998</v>
      </c>
    </row>
    <row r="247" spans="1:4" x14ac:dyDescent="0.3">
      <c r="A247" s="31">
        <v>4</v>
      </c>
      <c r="B247" s="14" t="s">
        <v>5</v>
      </c>
      <c r="C247" s="50">
        <v>6</v>
      </c>
      <c r="D247" s="26">
        <v>5.27</v>
      </c>
    </row>
    <row r="248" spans="1:4" x14ac:dyDescent="0.3">
      <c r="A248" s="31">
        <v>5</v>
      </c>
      <c r="B248" s="20" t="s">
        <v>6</v>
      </c>
      <c r="C248" s="50">
        <v>5.5</v>
      </c>
      <c r="D248" s="26">
        <v>6.18</v>
      </c>
    </row>
    <row r="249" spans="1:4" x14ac:dyDescent="0.3">
      <c r="A249" s="31">
        <v>6</v>
      </c>
      <c r="B249" s="6" t="s">
        <v>7</v>
      </c>
      <c r="C249" s="50">
        <v>6</v>
      </c>
      <c r="D249" s="26">
        <v>4.5599999999999996</v>
      </c>
    </row>
    <row r="250" spans="1:4" x14ac:dyDescent="0.3">
      <c r="A250" s="31">
        <v>7</v>
      </c>
      <c r="B250" s="21" t="s">
        <v>8</v>
      </c>
      <c r="C250" s="50">
        <v>6</v>
      </c>
      <c r="D250" s="26">
        <v>7.25</v>
      </c>
    </row>
    <row r="251" spans="1:4" x14ac:dyDescent="0.3">
      <c r="A251" s="31">
        <v>8</v>
      </c>
      <c r="B251" s="6" t="s">
        <v>9</v>
      </c>
      <c r="C251" s="50">
        <v>6</v>
      </c>
      <c r="D251" s="26">
        <v>6.21</v>
      </c>
    </row>
    <row r="252" spans="1:4" x14ac:dyDescent="0.3">
      <c r="A252" s="31">
        <v>9</v>
      </c>
      <c r="B252" s="21" t="s">
        <v>10</v>
      </c>
      <c r="C252" s="50">
        <v>6.5</v>
      </c>
      <c r="D252" s="26">
        <v>1</v>
      </c>
    </row>
    <row r="253" spans="1:4" x14ac:dyDescent="0.3">
      <c r="A253" s="31">
        <v>10</v>
      </c>
      <c r="B253" s="9" t="s">
        <v>11</v>
      </c>
      <c r="C253" s="50">
        <v>6.5</v>
      </c>
      <c r="D253" s="26">
        <v>4</v>
      </c>
    </row>
    <row r="254" spans="1:4" x14ac:dyDescent="0.3">
      <c r="A254" s="31">
        <v>11</v>
      </c>
      <c r="B254" s="20" t="s">
        <v>12</v>
      </c>
      <c r="C254" s="50">
        <v>6.5</v>
      </c>
      <c r="D254" s="26">
        <v>5.54</v>
      </c>
    </row>
    <row r="255" spans="1:4" x14ac:dyDescent="0.3">
      <c r="A255" s="31">
        <v>12</v>
      </c>
      <c r="B255" s="14" t="s">
        <v>13</v>
      </c>
      <c r="C255" s="50">
        <v>6</v>
      </c>
      <c r="D255" s="26">
        <v>5.68</v>
      </c>
    </row>
    <row r="256" spans="1:4" x14ac:dyDescent="0.3">
      <c r="A256" s="31">
        <v>13</v>
      </c>
      <c r="B256" s="6" t="s">
        <v>14</v>
      </c>
      <c r="C256" s="50">
        <v>6</v>
      </c>
      <c r="D256" s="26">
        <v>7.19</v>
      </c>
    </row>
    <row r="257" spans="1:4" x14ac:dyDescent="0.3">
      <c r="A257" s="31">
        <v>14</v>
      </c>
      <c r="B257" s="12" t="s">
        <v>15</v>
      </c>
      <c r="C257" s="50">
        <v>6</v>
      </c>
      <c r="D257" s="26">
        <v>6.6</v>
      </c>
    </row>
    <row r="258" spans="1:4" x14ac:dyDescent="0.3">
      <c r="A258" s="31">
        <v>15</v>
      </c>
      <c r="B258" s="6" t="s">
        <v>16</v>
      </c>
      <c r="C258" s="50">
        <v>6</v>
      </c>
      <c r="D258" s="26">
        <v>2.35</v>
      </c>
    </row>
    <row r="259" spans="1:4" x14ac:dyDescent="0.3">
      <c r="A259" s="31">
        <v>16</v>
      </c>
      <c r="B259" s="21" t="s">
        <v>17</v>
      </c>
      <c r="C259" s="50">
        <v>5.5</v>
      </c>
      <c r="D259" s="26">
        <v>4.6500000000000004</v>
      </c>
    </row>
    <row r="260" spans="1:4" x14ac:dyDescent="0.3">
      <c r="A260" s="31">
        <v>17</v>
      </c>
      <c r="B260" s="9" t="s">
        <v>18</v>
      </c>
      <c r="C260" s="50">
        <v>6</v>
      </c>
      <c r="D260" s="26">
        <v>5.79</v>
      </c>
    </row>
    <row r="261" spans="1:4" x14ac:dyDescent="0.3">
      <c r="A261" s="31">
        <v>18</v>
      </c>
      <c r="B261" s="14" t="s">
        <v>19</v>
      </c>
      <c r="C261" s="50">
        <v>6</v>
      </c>
      <c r="D261" s="26">
        <v>6.75</v>
      </c>
    </row>
    <row r="262" spans="1:4" x14ac:dyDescent="0.3">
      <c r="A262" s="31">
        <v>19</v>
      </c>
      <c r="B262" s="12" t="s">
        <v>20</v>
      </c>
      <c r="C262" s="50">
        <v>5</v>
      </c>
      <c r="D262" s="26">
        <v>5.67</v>
      </c>
    </row>
    <row r="263" spans="1:4" x14ac:dyDescent="0.3">
      <c r="A263" s="31">
        <v>20</v>
      </c>
      <c r="B263" s="20" t="s">
        <v>21</v>
      </c>
      <c r="C263" s="50">
        <v>6</v>
      </c>
      <c r="D263" s="26">
        <v>2.87</v>
      </c>
    </row>
    <row r="264" spans="1:4" x14ac:dyDescent="0.3">
      <c r="A264" s="31">
        <v>21</v>
      </c>
      <c r="B264" s="12" t="s">
        <v>22</v>
      </c>
      <c r="C264" s="50">
        <v>5.5</v>
      </c>
      <c r="D264" s="26">
        <v>5.72</v>
      </c>
    </row>
    <row r="265" spans="1:4" x14ac:dyDescent="0.3">
      <c r="A265" s="31">
        <v>22</v>
      </c>
      <c r="B265" s="20" t="s">
        <v>23</v>
      </c>
      <c r="C265" s="50">
        <v>5.5</v>
      </c>
      <c r="D265" s="26">
        <v>9</v>
      </c>
    </row>
    <row r="266" spans="1:4" x14ac:dyDescent="0.3">
      <c r="A266" s="31">
        <v>23</v>
      </c>
      <c r="B266" s="9" t="s">
        <v>24</v>
      </c>
      <c r="C266" s="50">
        <v>6.5</v>
      </c>
      <c r="D266" s="26">
        <v>3.64</v>
      </c>
    </row>
    <row r="267" spans="1:4" ht="14.5" thickBot="1" x14ac:dyDescent="0.35">
      <c r="A267" s="32">
        <v>24</v>
      </c>
      <c r="B267" s="33" t="s">
        <v>25</v>
      </c>
      <c r="C267" s="55">
        <v>5.5</v>
      </c>
      <c r="D267" s="28">
        <v>4.3099999999999996</v>
      </c>
    </row>
    <row r="270" spans="1:4" ht="14.5" thickBot="1" x14ac:dyDescent="0.35">
      <c r="A270" s="1" t="s">
        <v>36</v>
      </c>
      <c r="B270" s="18">
        <v>45356</v>
      </c>
    </row>
    <row r="271" spans="1:4" x14ac:dyDescent="0.3">
      <c r="A271" s="22" t="s">
        <v>27</v>
      </c>
      <c r="B271" s="30" t="s">
        <v>26</v>
      </c>
      <c r="C271" s="23" t="s">
        <v>28</v>
      </c>
      <c r="D271" s="53" t="s">
        <v>52</v>
      </c>
    </row>
    <row r="272" spans="1:4" x14ac:dyDescent="0.3">
      <c r="A272" s="31">
        <v>1</v>
      </c>
      <c r="B272" s="9" t="s">
        <v>2</v>
      </c>
      <c r="C272" s="50">
        <v>6</v>
      </c>
      <c r="D272" s="26">
        <v>5.28</v>
      </c>
    </row>
    <row r="273" spans="1:4" x14ac:dyDescent="0.3">
      <c r="A273" s="31">
        <v>2</v>
      </c>
      <c r="B273" s="14" t="s">
        <v>3</v>
      </c>
      <c r="C273" s="50">
        <v>6</v>
      </c>
      <c r="D273" s="26">
        <v>4.62</v>
      </c>
    </row>
    <row r="274" spans="1:4" x14ac:dyDescent="0.3">
      <c r="A274" s="31">
        <v>3</v>
      </c>
      <c r="B274" s="12" t="s">
        <v>4</v>
      </c>
      <c r="C274" s="50">
        <v>6</v>
      </c>
      <c r="D274" s="26">
        <v>4.58</v>
      </c>
    </row>
    <row r="275" spans="1:4" x14ac:dyDescent="0.3">
      <c r="A275" s="31">
        <v>4</v>
      </c>
      <c r="B275" s="14" t="s">
        <v>5</v>
      </c>
      <c r="C275" s="50">
        <v>6</v>
      </c>
      <c r="D275" s="26">
        <v>7.42</v>
      </c>
    </row>
    <row r="276" spans="1:4" x14ac:dyDescent="0.3">
      <c r="A276" s="31">
        <v>5</v>
      </c>
      <c r="B276" s="20" t="s">
        <v>6</v>
      </c>
      <c r="C276" s="50">
        <v>5</v>
      </c>
      <c r="D276" s="26">
        <v>3.06</v>
      </c>
    </row>
    <row r="277" spans="1:4" x14ac:dyDescent="0.3">
      <c r="A277" s="31">
        <v>6</v>
      </c>
      <c r="B277" s="6" t="s">
        <v>7</v>
      </c>
      <c r="C277" s="50">
        <v>6</v>
      </c>
      <c r="D277" s="26">
        <v>5.16</v>
      </c>
    </row>
    <row r="278" spans="1:4" x14ac:dyDescent="0.3">
      <c r="A278" s="31">
        <v>7</v>
      </c>
      <c r="B278" s="21" t="s">
        <v>8</v>
      </c>
      <c r="C278" s="50">
        <v>6</v>
      </c>
      <c r="D278" s="26">
        <v>4.6500000000000004</v>
      </c>
    </row>
    <row r="279" spans="1:4" x14ac:dyDescent="0.3">
      <c r="A279" s="31">
        <v>8</v>
      </c>
      <c r="B279" s="6" t="s">
        <v>9</v>
      </c>
      <c r="C279" s="50">
        <v>5.5</v>
      </c>
      <c r="D279" s="26">
        <v>5.4</v>
      </c>
    </row>
    <row r="280" spans="1:4" x14ac:dyDescent="0.3">
      <c r="A280" s="31">
        <v>9</v>
      </c>
      <c r="B280" s="21" t="s">
        <v>10</v>
      </c>
      <c r="C280" s="50">
        <v>6.5</v>
      </c>
      <c r="D280" s="26">
        <v>2.19</v>
      </c>
    </row>
    <row r="281" spans="1:4" x14ac:dyDescent="0.3">
      <c r="A281" s="31">
        <v>10</v>
      </c>
      <c r="B281" s="9" t="s">
        <v>11</v>
      </c>
      <c r="C281" s="50">
        <v>6.5</v>
      </c>
      <c r="D281" s="26">
        <v>9</v>
      </c>
    </row>
    <row r="282" spans="1:4" x14ac:dyDescent="0.3">
      <c r="A282" s="31">
        <v>11</v>
      </c>
      <c r="B282" s="20" t="s">
        <v>12</v>
      </c>
      <c r="C282" s="50">
        <v>6.5</v>
      </c>
      <c r="D282" s="26">
        <v>5.49</v>
      </c>
    </row>
    <row r="283" spans="1:4" x14ac:dyDescent="0.3">
      <c r="A283" s="31">
        <v>12</v>
      </c>
      <c r="B283" s="14" t="s">
        <v>13</v>
      </c>
      <c r="C283" s="50">
        <v>5.5</v>
      </c>
      <c r="D283" s="26">
        <v>4.28</v>
      </c>
    </row>
    <row r="284" spans="1:4" x14ac:dyDescent="0.3">
      <c r="A284" s="31">
        <v>13</v>
      </c>
      <c r="B284" s="6" t="s">
        <v>14</v>
      </c>
      <c r="C284" s="50">
        <v>5.5</v>
      </c>
      <c r="D284" s="26">
        <v>4.6100000000000003</v>
      </c>
    </row>
    <row r="285" spans="1:4" x14ac:dyDescent="0.3">
      <c r="A285" s="31">
        <v>14</v>
      </c>
      <c r="B285" s="12" t="s">
        <v>15</v>
      </c>
      <c r="C285" s="50">
        <v>5.5</v>
      </c>
      <c r="D285" s="26">
        <v>1</v>
      </c>
    </row>
    <row r="286" spans="1:4" x14ac:dyDescent="0.3">
      <c r="A286" s="31">
        <v>15</v>
      </c>
      <c r="B286" s="6" t="s">
        <v>16</v>
      </c>
      <c r="C286" s="50">
        <v>5.5</v>
      </c>
      <c r="D286" s="26">
        <v>4.93</v>
      </c>
    </row>
    <row r="287" spans="1:4" x14ac:dyDescent="0.3">
      <c r="A287" s="31">
        <v>16</v>
      </c>
      <c r="B287" s="21" t="s">
        <v>17</v>
      </c>
      <c r="C287" s="50">
        <v>5.5</v>
      </c>
      <c r="D287" s="26">
        <v>2.44</v>
      </c>
    </row>
    <row r="288" spans="1:4" x14ac:dyDescent="0.3">
      <c r="A288" s="31">
        <v>17</v>
      </c>
      <c r="B288" s="9" t="s">
        <v>18</v>
      </c>
      <c r="C288" s="50">
        <v>6</v>
      </c>
      <c r="D288" s="26">
        <v>4.8600000000000003</v>
      </c>
    </row>
    <row r="289" spans="1:4" x14ac:dyDescent="0.3">
      <c r="A289" s="31">
        <v>18</v>
      </c>
      <c r="B289" s="14" t="s">
        <v>19</v>
      </c>
      <c r="C289" s="50">
        <v>5.5</v>
      </c>
      <c r="D289" s="26">
        <v>3.5</v>
      </c>
    </row>
    <row r="290" spans="1:4" x14ac:dyDescent="0.3">
      <c r="A290" s="31">
        <v>19</v>
      </c>
      <c r="B290" s="12" t="s">
        <v>20</v>
      </c>
      <c r="C290" s="50">
        <v>5</v>
      </c>
      <c r="D290" s="26">
        <v>4.25</v>
      </c>
    </row>
    <row r="291" spans="1:4" x14ac:dyDescent="0.3">
      <c r="A291" s="31">
        <v>20</v>
      </c>
      <c r="B291" s="20" t="s">
        <v>21</v>
      </c>
      <c r="C291" s="50">
        <v>6</v>
      </c>
      <c r="D291" s="26">
        <v>4.46</v>
      </c>
    </row>
    <row r="292" spans="1:4" x14ac:dyDescent="0.3">
      <c r="A292" s="31">
        <v>21</v>
      </c>
      <c r="B292" s="12" t="s">
        <v>22</v>
      </c>
      <c r="C292" s="50">
        <v>5</v>
      </c>
      <c r="D292" s="26">
        <v>2.44</v>
      </c>
    </row>
    <row r="293" spans="1:4" x14ac:dyDescent="0.3">
      <c r="A293" s="31">
        <v>22</v>
      </c>
      <c r="B293" s="20" t="s">
        <v>23</v>
      </c>
      <c r="C293" s="50">
        <v>5</v>
      </c>
      <c r="D293" s="26">
        <v>5.68</v>
      </c>
    </row>
    <row r="294" spans="1:4" x14ac:dyDescent="0.3">
      <c r="A294" s="31">
        <v>23</v>
      </c>
      <c r="B294" s="9" t="s">
        <v>24</v>
      </c>
      <c r="C294" s="50">
        <v>5</v>
      </c>
      <c r="D294" s="26">
        <v>5.4</v>
      </c>
    </row>
    <row r="295" spans="1:4" ht="14.5" thickBot="1" x14ac:dyDescent="0.35">
      <c r="A295" s="32">
        <v>24</v>
      </c>
      <c r="B295" s="33" t="s">
        <v>25</v>
      </c>
      <c r="C295" s="55">
        <v>5</v>
      </c>
      <c r="D295" s="28">
        <v>7.59</v>
      </c>
    </row>
    <row r="298" spans="1:4" ht="14.5" thickBot="1" x14ac:dyDescent="0.35">
      <c r="A298" s="1" t="s">
        <v>36</v>
      </c>
      <c r="B298" s="18">
        <v>45369</v>
      </c>
    </row>
    <row r="299" spans="1:4" x14ac:dyDescent="0.3">
      <c r="A299" s="22" t="s">
        <v>27</v>
      </c>
      <c r="B299" s="30" t="s">
        <v>26</v>
      </c>
      <c r="C299" s="23" t="s">
        <v>28</v>
      </c>
      <c r="D299" s="53" t="s">
        <v>52</v>
      </c>
    </row>
    <row r="300" spans="1:4" x14ac:dyDescent="0.3">
      <c r="A300" s="31">
        <v>1</v>
      </c>
      <c r="B300" s="9" t="s">
        <v>2</v>
      </c>
      <c r="C300" s="50">
        <v>6</v>
      </c>
      <c r="D300" s="26">
        <v>7.24</v>
      </c>
    </row>
    <row r="301" spans="1:4" x14ac:dyDescent="0.3">
      <c r="A301" s="31">
        <v>2</v>
      </c>
      <c r="B301" s="14" t="s">
        <v>3</v>
      </c>
      <c r="C301" s="50">
        <v>6</v>
      </c>
      <c r="D301" s="26">
        <v>3.98</v>
      </c>
    </row>
    <row r="302" spans="1:4" x14ac:dyDescent="0.3">
      <c r="A302" s="31">
        <v>3</v>
      </c>
      <c r="B302" s="12" t="s">
        <v>4</v>
      </c>
      <c r="C302" s="50">
        <v>6</v>
      </c>
      <c r="D302" s="26">
        <v>4.57</v>
      </c>
    </row>
    <row r="303" spans="1:4" x14ac:dyDescent="0.3">
      <c r="A303" s="31">
        <v>4</v>
      </c>
      <c r="B303" s="14" t="s">
        <v>5</v>
      </c>
      <c r="C303" s="50">
        <v>6</v>
      </c>
      <c r="D303" s="26">
        <v>4.6100000000000003</v>
      </c>
    </row>
    <row r="304" spans="1:4" x14ac:dyDescent="0.3">
      <c r="A304" s="31">
        <v>5</v>
      </c>
      <c r="B304" s="20" t="s">
        <v>6</v>
      </c>
      <c r="C304" s="50">
        <v>4.5</v>
      </c>
      <c r="D304" s="26">
        <v>4.6900000000000004</v>
      </c>
    </row>
    <row r="305" spans="1:4" x14ac:dyDescent="0.3">
      <c r="A305" s="31">
        <v>6</v>
      </c>
      <c r="B305" s="6" t="s">
        <v>7</v>
      </c>
      <c r="C305" s="50">
        <v>5.5</v>
      </c>
      <c r="D305" s="26">
        <v>6.57</v>
      </c>
    </row>
    <row r="306" spans="1:4" x14ac:dyDescent="0.3">
      <c r="A306" s="31">
        <v>7</v>
      </c>
      <c r="B306" s="21" t="s">
        <v>8</v>
      </c>
      <c r="C306" s="50">
        <v>6</v>
      </c>
      <c r="D306" s="26">
        <v>5.69</v>
      </c>
    </row>
    <row r="307" spans="1:4" x14ac:dyDescent="0.3">
      <c r="A307" s="31">
        <v>8</v>
      </c>
      <c r="B307" s="6" t="s">
        <v>9</v>
      </c>
      <c r="C307" s="50">
        <v>5.5</v>
      </c>
      <c r="D307" s="26">
        <v>4.0999999999999996</v>
      </c>
    </row>
    <row r="308" spans="1:4" x14ac:dyDescent="0.3">
      <c r="A308" s="31">
        <v>9</v>
      </c>
      <c r="B308" s="21" t="s">
        <v>10</v>
      </c>
      <c r="C308" s="50">
        <v>5.5</v>
      </c>
      <c r="D308" s="26">
        <v>9</v>
      </c>
    </row>
    <row r="309" spans="1:4" x14ac:dyDescent="0.3">
      <c r="A309" s="31">
        <v>10</v>
      </c>
      <c r="B309" s="9" t="s">
        <v>11</v>
      </c>
      <c r="C309" s="50">
        <v>6</v>
      </c>
      <c r="D309" s="26">
        <v>3.33</v>
      </c>
    </row>
    <row r="310" spans="1:4" x14ac:dyDescent="0.3">
      <c r="A310" s="31">
        <v>11</v>
      </c>
      <c r="B310" s="20" t="s">
        <v>12</v>
      </c>
      <c r="C310" s="50">
        <v>6</v>
      </c>
      <c r="D310" s="26">
        <v>4.68</v>
      </c>
    </row>
    <row r="311" spans="1:4" x14ac:dyDescent="0.3">
      <c r="A311" s="31">
        <v>12</v>
      </c>
      <c r="B311" s="14" t="s">
        <v>13</v>
      </c>
      <c r="C311" s="50">
        <v>5.5</v>
      </c>
      <c r="D311" s="26">
        <v>3.77</v>
      </c>
    </row>
    <row r="312" spans="1:4" x14ac:dyDescent="0.3">
      <c r="A312" s="31">
        <v>13</v>
      </c>
      <c r="B312" s="6" t="s">
        <v>14</v>
      </c>
      <c r="C312" s="50">
        <v>5.5</v>
      </c>
      <c r="D312" s="26">
        <v>1</v>
      </c>
    </row>
    <row r="313" spans="1:4" x14ac:dyDescent="0.3">
      <c r="A313" s="31">
        <v>14</v>
      </c>
      <c r="B313" s="12" t="s">
        <v>15</v>
      </c>
      <c r="C313" s="50">
        <v>5.5</v>
      </c>
      <c r="D313" s="26">
        <v>6.93</v>
      </c>
    </row>
    <row r="314" spans="1:4" x14ac:dyDescent="0.3">
      <c r="A314" s="31">
        <v>15</v>
      </c>
      <c r="B314" s="6" t="s">
        <v>16</v>
      </c>
      <c r="C314" s="50">
        <v>5.5</v>
      </c>
      <c r="D314" s="26">
        <v>4.1100000000000003</v>
      </c>
    </row>
    <row r="315" spans="1:4" x14ac:dyDescent="0.3">
      <c r="A315" s="31">
        <v>16</v>
      </c>
      <c r="B315" s="21" t="s">
        <v>17</v>
      </c>
      <c r="C315" s="50">
        <v>5.5</v>
      </c>
      <c r="D315" s="26">
        <v>8.8699999999999992</v>
      </c>
    </row>
    <row r="316" spans="1:4" x14ac:dyDescent="0.3">
      <c r="A316" s="31">
        <v>17</v>
      </c>
      <c r="B316" s="9" t="s">
        <v>18</v>
      </c>
      <c r="C316" s="50">
        <v>5.5</v>
      </c>
      <c r="D316" s="26">
        <v>3.19</v>
      </c>
    </row>
    <row r="317" spans="1:4" x14ac:dyDescent="0.3">
      <c r="A317" s="31">
        <v>18</v>
      </c>
      <c r="B317" s="14" t="s">
        <v>19</v>
      </c>
      <c r="C317" s="50">
        <v>6</v>
      </c>
      <c r="D317" s="26">
        <v>4.76</v>
      </c>
    </row>
    <row r="318" spans="1:4" x14ac:dyDescent="0.3">
      <c r="A318" s="31">
        <v>19</v>
      </c>
      <c r="B318" s="12" t="s">
        <v>20</v>
      </c>
      <c r="C318" s="50">
        <v>5.5</v>
      </c>
      <c r="D318" s="26">
        <v>6.91</v>
      </c>
    </row>
    <row r="319" spans="1:4" x14ac:dyDescent="0.3">
      <c r="A319" s="31">
        <v>20</v>
      </c>
      <c r="B319" s="20" t="s">
        <v>21</v>
      </c>
      <c r="C319" s="50">
        <v>6</v>
      </c>
      <c r="D319" s="26">
        <v>4.28</v>
      </c>
    </row>
    <row r="320" spans="1:4" x14ac:dyDescent="0.3">
      <c r="A320" s="31">
        <v>21</v>
      </c>
      <c r="B320" s="12" t="s">
        <v>22</v>
      </c>
      <c r="C320" s="50">
        <v>5</v>
      </c>
      <c r="D320" s="26">
        <v>4.3899999999999997</v>
      </c>
    </row>
    <row r="321" spans="1:4" x14ac:dyDescent="0.3">
      <c r="A321" s="31">
        <v>22</v>
      </c>
      <c r="B321" s="20" t="s">
        <v>23</v>
      </c>
      <c r="C321" s="50">
        <v>4.5</v>
      </c>
      <c r="D321" s="26">
        <v>4.91</v>
      </c>
    </row>
    <row r="322" spans="1:4" x14ac:dyDescent="0.3">
      <c r="A322" s="31">
        <v>23</v>
      </c>
      <c r="B322" s="9" t="s">
        <v>24</v>
      </c>
      <c r="C322" s="50">
        <v>5.5</v>
      </c>
      <c r="D322" s="26">
        <v>3.58</v>
      </c>
    </row>
    <row r="323" spans="1:4" ht="14.5" thickBot="1" x14ac:dyDescent="0.35">
      <c r="A323" s="32">
        <v>24</v>
      </c>
      <c r="B323" s="33" t="s">
        <v>25</v>
      </c>
      <c r="C323" s="55">
        <v>5.5</v>
      </c>
      <c r="D323" s="28">
        <v>7.04</v>
      </c>
    </row>
    <row r="326" spans="1:4" ht="14.5" thickBot="1" x14ac:dyDescent="0.35">
      <c r="A326" s="1" t="s">
        <v>36</v>
      </c>
      <c r="B326" s="18">
        <v>45384</v>
      </c>
    </row>
    <row r="327" spans="1:4" x14ac:dyDescent="0.3">
      <c r="A327" s="22" t="s">
        <v>27</v>
      </c>
      <c r="B327" s="30" t="s">
        <v>26</v>
      </c>
      <c r="C327" s="23" t="s">
        <v>28</v>
      </c>
      <c r="D327" s="53" t="s">
        <v>52</v>
      </c>
    </row>
    <row r="328" spans="1:4" x14ac:dyDescent="0.3">
      <c r="A328" s="31">
        <v>1</v>
      </c>
      <c r="B328" s="9" t="s">
        <v>2</v>
      </c>
      <c r="C328" s="50">
        <v>7</v>
      </c>
      <c r="D328" s="26">
        <v>6.67</v>
      </c>
    </row>
    <row r="329" spans="1:4" x14ac:dyDescent="0.3">
      <c r="A329" s="31">
        <v>2</v>
      </c>
      <c r="B329" s="14" t="s">
        <v>3</v>
      </c>
      <c r="C329" s="50">
        <v>7</v>
      </c>
      <c r="D329" s="26">
        <v>1</v>
      </c>
    </row>
    <row r="330" spans="1:4" x14ac:dyDescent="0.3">
      <c r="A330" s="31">
        <v>3</v>
      </c>
      <c r="B330" s="12" t="s">
        <v>4</v>
      </c>
      <c r="C330" s="50">
        <v>6.5</v>
      </c>
      <c r="D330" s="26">
        <v>2.38</v>
      </c>
    </row>
    <row r="331" spans="1:4" x14ac:dyDescent="0.3">
      <c r="A331" s="31">
        <v>4</v>
      </c>
      <c r="B331" s="14" t="s">
        <v>5</v>
      </c>
      <c r="C331" s="50">
        <v>7</v>
      </c>
      <c r="D331" s="26">
        <v>3.33</v>
      </c>
    </row>
    <row r="332" spans="1:4" x14ac:dyDescent="0.3">
      <c r="A332" s="31">
        <v>5</v>
      </c>
      <c r="B332" s="20" t="s">
        <v>6</v>
      </c>
      <c r="C332" s="50">
        <v>6</v>
      </c>
      <c r="D332" s="26">
        <v>1.35</v>
      </c>
    </row>
    <row r="333" spans="1:4" x14ac:dyDescent="0.3">
      <c r="A333" s="31">
        <v>6</v>
      </c>
      <c r="B333" s="6" t="s">
        <v>7</v>
      </c>
      <c r="C333" s="50">
        <v>6</v>
      </c>
      <c r="D333" s="26">
        <v>7.26</v>
      </c>
    </row>
    <row r="334" spans="1:4" x14ac:dyDescent="0.3">
      <c r="A334" s="31">
        <v>7</v>
      </c>
      <c r="B334" s="21" t="s">
        <v>8</v>
      </c>
      <c r="C334" s="50">
        <v>7</v>
      </c>
      <c r="D334" s="26">
        <v>3.51</v>
      </c>
    </row>
    <row r="335" spans="1:4" x14ac:dyDescent="0.3">
      <c r="A335" s="31">
        <v>8</v>
      </c>
      <c r="B335" s="6" t="s">
        <v>9</v>
      </c>
      <c r="C335" s="50">
        <v>6.5</v>
      </c>
      <c r="D335" s="26">
        <v>5.49</v>
      </c>
    </row>
    <row r="336" spans="1:4" x14ac:dyDescent="0.3">
      <c r="A336" s="31">
        <v>9</v>
      </c>
      <c r="B336" s="21" t="s">
        <v>10</v>
      </c>
      <c r="C336" s="50">
        <v>6.5</v>
      </c>
      <c r="D336" s="26">
        <v>6.57</v>
      </c>
    </row>
    <row r="337" spans="1:4" x14ac:dyDescent="0.3">
      <c r="A337" s="31">
        <v>10</v>
      </c>
      <c r="B337" s="9" t="s">
        <v>11</v>
      </c>
      <c r="C337" s="50">
        <v>6.5</v>
      </c>
      <c r="D337" s="26">
        <v>7.3</v>
      </c>
    </row>
    <row r="338" spans="1:4" x14ac:dyDescent="0.3">
      <c r="A338" s="31">
        <v>11</v>
      </c>
      <c r="B338" s="20" t="s">
        <v>12</v>
      </c>
      <c r="C338" s="50">
        <v>7</v>
      </c>
      <c r="D338" s="26">
        <v>5.44</v>
      </c>
    </row>
    <row r="339" spans="1:4" x14ac:dyDescent="0.3">
      <c r="A339" s="31">
        <v>12</v>
      </c>
      <c r="B339" s="14" t="s">
        <v>13</v>
      </c>
      <c r="C339" s="50">
        <v>7</v>
      </c>
      <c r="D339" s="26">
        <v>7.98</v>
      </c>
    </row>
    <row r="340" spans="1:4" x14ac:dyDescent="0.3">
      <c r="A340" s="31">
        <v>13</v>
      </c>
      <c r="B340" s="6" t="s">
        <v>14</v>
      </c>
      <c r="C340" s="50">
        <v>7</v>
      </c>
      <c r="D340" s="26">
        <v>3.31</v>
      </c>
    </row>
    <row r="341" spans="1:4" x14ac:dyDescent="0.3">
      <c r="A341" s="31">
        <v>14</v>
      </c>
      <c r="B341" s="12" t="s">
        <v>15</v>
      </c>
      <c r="C341" s="50">
        <v>7</v>
      </c>
      <c r="D341" s="26">
        <v>4.59</v>
      </c>
    </row>
    <row r="342" spans="1:4" x14ac:dyDescent="0.3">
      <c r="A342" s="31">
        <v>15</v>
      </c>
      <c r="B342" s="6" t="s">
        <v>16</v>
      </c>
      <c r="C342" s="50">
        <v>7</v>
      </c>
      <c r="D342" s="26">
        <v>1.46</v>
      </c>
    </row>
    <row r="343" spans="1:4" x14ac:dyDescent="0.3">
      <c r="A343" s="31">
        <v>16</v>
      </c>
      <c r="B343" s="21" t="s">
        <v>17</v>
      </c>
      <c r="C343" s="50">
        <v>7</v>
      </c>
      <c r="D343" s="26">
        <v>5.16</v>
      </c>
    </row>
    <row r="344" spans="1:4" x14ac:dyDescent="0.3">
      <c r="A344" s="31">
        <v>17</v>
      </c>
      <c r="B344" s="9" t="s">
        <v>18</v>
      </c>
      <c r="C344" s="50">
        <v>7</v>
      </c>
      <c r="D344" s="26">
        <v>4.2300000000000004</v>
      </c>
    </row>
    <row r="345" spans="1:4" x14ac:dyDescent="0.3">
      <c r="A345" s="31">
        <v>18</v>
      </c>
      <c r="B345" s="14" t="s">
        <v>19</v>
      </c>
      <c r="C345" s="50">
        <v>7</v>
      </c>
      <c r="D345" s="26">
        <v>4.78</v>
      </c>
    </row>
    <row r="346" spans="1:4" x14ac:dyDescent="0.3">
      <c r="A346" s="31">
        <v>19</v>
      </c>
      <c r="B346" s="12" t="s">
        <v>20</v>
      </c>
      <c r="C346" s="50">
        <v>6.5</v>
      </c>
      <c r="D346" s="26">
        <v>5.98</v>
      </c>
    </row>
    <row r="347" spans="1:4" x14ac:dyDescent="0.3">
      <c r="A347" s="31">
        <v>20</v>
      </c>
      <c r="B347" s="20" t="s">
        <v>21</v>
      </c>
      <c r="C347" s="50">
        <v>7</v>
      </c>
      <c r="D347" s="26">
        <v>6.57</v>
      </c>
    </row>
    <row r="348" spans="1:4" x14ac:dyDescent="0.3">
      <c r="A348" s="31">
        <v>21</v>
      </c>
      <c r="B348" s="12" t="s">
        <v>22</v>
      </c>
      <c r="C348" s="50">
        <v>6.5</v>
      </c>
      <c r="D348" s="26">
        <v>9</v>
      </c>
    </row>
    <row r="349" spans="1:4" x14ac:dyDescent="0.3">
      <c r="A349" s="31">
        <v>22</v>
      </c>
      <c r="B349" s="20" t="s">
        <v>23</v>
      </c>
      <c r="C349" s="50">
        <v>6.5</v>
      </c>
      <c r="D349" s="26">
        <v>5.37</v>
      </c>
    </row>
    <row r="350" spans="1:4" x14ac:dyDescent="0.3">
      <c r="A350" s="31">
        <v>23</v>
      </c>
      <c r="B350" s="9" t="s">
        <v>24</v>
      </c>
      <c r="C350" s="50">
        <v>6.5</v>
      </c>
      <c r="D350" s="26">
        <v>7.88</v>
      </c>
    </row>
    <row r="351" spans="1:4" ht="14.5" thickBot="1" x14ac:dyDescent="0.35">
      <c r="A351" s="32">
        <v>24</v>
      </c>
      <c r="B351" s="33" t="s">
        <v>25</v>
      </c>
      <c r="C351" s="55">
        <v>6.5</v>
      </c>
      <c r="D351" s="28">
        <v>4.62</v>
      </c>
    </row>
    <row r="354" spans="1:4" ht="14.5" thickBot="1" x14ac:dyDescent="0.35">
      <c r="A354" s="1" t="s">
        <v>36</v>
      </c>
      <c r="B354" s="18">
        <v>45399</v>
      </c>
    </row>
    <row r="355" spans="1:4" x14ac:dyDescent="0.3">
      <c r="A355" s="22" t="s">
        <v>27</v>
      </c>
      <c r="B355" s="30" t="s">
        <v>26</v>
      </c>
      <c r="C355" s="23" t="s">
        <v>28</v>
      </c>
      <c r="D355" s="53" t="s">
        <v>52</v>
      </c>
    </row>
    <row r="356" spans="1:4" x14ac:dyDescent="0.3">
      <c r="A356" s="31">
        <v>1</v>
      </c>
      <c r="B356" s="9" t="s">
        <v>2</v>
      </c>
      <c r="C356" s="50">
        <v>7</v>
      </c>
      <c r="D356" s="26">
        <v>2.8</v>
      </c>
    </row>
    <row r="357" spans="1:4" x14ac:dyDescent="0.3">
      <c r="A357" s="31">
        <v>2</v>
      </c>
      <c r="B357" s="14" t="s">
        <v>3</v>
      </c>
      <c r="C357" s="50">
        <v>7</v>
      </c>
      <c r="D357" s="26">
        <v>1.1499999999999999</v>
      </c>
    </row>
    <row r="358" spans="1:4" x14ac:dyDescent="0.3">
      <c r="A358" s="31">
        <v>3</v>
      </c>
      <c r="B358" s="12" t="s">
        <v>4</v>
      </c>
      <c r="C358" s="50">
        <v>6.5</v>
      </c>
      <c r="D358" s="26">
        <v>1.32</v>
      </c>
    </row>
    <row r="359" spans="1:4" x14ac:dyDescent="0.3">
      <c r="A359" s="31">
        <v>4</v>
      </c>
      <c r="B359" s="14" t="s">
        <v>5</v>
      </c>
      <c r="C359" s="50">
        <v>7</v>
      </c>
      <c r="D359" s="26">
        <v>3.74</v>
      </c>
    </row>
    <row r="360" spans="1:4" x14ac:dyDescent="0.3">
      <c r="A360" s="31">
        <v>5</v>
      </c>
      <c r="B360" s="20" t="s">
        <v>6</v>
      </c>
      <c r="C360" s="50">
        <v>6.5</v>
      </c>
      <c r="D360" s="26">
        <v>1</v>
      </c>
    </row>
    <row r="361" spans="1:4" x14ac:dyDescent="0.3">
      <c r="A361" s="31">
        <v>6</v>
      </c>
      <c r="B361" s="6" t="s">
        <v>7</v>
      </c>
      <c r="C361" s="50">
        <v>6.5</v>
      </c>
      <c r="D361" s="26">
        <v>3.23</v>
      </c>
    </row>
    <row r="362" spans="1:4" x14ac:dyDescent="0.3">
      <c r="A362" s="31">
        <v>7</v>
      </c>
      <c r="B362" s="21" t="s">
        <v>8</v>
      </c>
      <c r="C362" s="50">
        <v>7</v>
      </c>
      <c r="D362" s="26">
        <v>1.08</v>
      </c>
    </row>
    <row r="363" spans="1:4" x14ac:dyDescent="0.3">
      <c r="A363" s="31">
        <v>8</v>
      </c>
      <c r="B363" s="6" t="s">
        <v>9</v>
      </c>
      <c r="C363" s="50">
        <v>7</v>
      </c>
      <c r="D363" s="26">
        <v>2.5099999999999998</v>
      </c>
    </row>
    <row r="364" spans="1:4" x14ac:dyDescent="0.3">
      <c r="A364" s="31">
        <v>9</v>
      </c>
      <c r="B364" s="21" t="s">
        <v>10</v>
      </c>
      <c r="C364" s="50">
        <v>7</v>
      </c>
      <c r="D364" s="26">
        <v>5.83</v>
      </c>
    </row>
    <row r="365" spans="1:4" x14ac:dyDescent="0.3">
      <c r="A365" s="31">
        <v>10</v>
      </c>
      <c r="B365" s="9" t="s">
        <v>11</v>
      </c>
      <c r="C365" s="50">
        <v>7</v>
      </c>
      <c r="D365" s="26">
        <v>5.43</v>
      </c>
    </row>
    <row r="366" spans="1:4" x14ac:dyDescent="0.3">
      <c r="A366" s="31">
        <v>11</v>
      </c>
      <c r="B366" s="20" t="s">
        <v>12</v>
      </c>
      <c r="C366" s="50">
        <v>7</v>
      </c>
      <c r="D366" s="26">
        <v>3.75</v>
      </c>
    </row>
    <row r="367" spans="1:4" x14ac:dyDescent="0.3">
      <c r="A367" s="31">
        <v>12</v>
      </c>
      <c r="B367" s="14" t="s">
        <v>13</v>
      </c>
      <c r="C367" s="50">
        <v>7</v>
      </c>
      <c r="D367" s="26">
        <v>5.73</v>
      </c>
    </row>
    <row r="368" spans="1:4" x14ac:dyDescent="0.3">
      <c r="A368" s="31">
        <v>13</v>
      </c>
      <c r="B368" s="6" t="s">
        <v>14</v>
      </c>
      <c r="C368" s="50">
        <v>7</v>
      </c>
      <c r="D368" s="26">
        <v>1.34</v>
      </c>
    </row>
    <row r="369" spans="1:4" x14ac:dyDescent="0.3">
      <c r="A369" s="31">
        <v>14</v>
      </c>
      <c r="B369" s="12" t="s">
        <v>15</v>
      </c>
      <c r="C369" s="50">
        <v>7</v>
      </c>
      <c r="D369" s="26">
        <v>2.94</v>
      </c>
    </row>
    <row r="370" spans="1:4" x14ac:dyDescent="0.3">
      <c r="A370" s="31">
        <v>15</v>
      </c>
      <c r="B370" s="6" t="s">
        <v>16</v>
      </c>
      <c r="C370" s="50">
        <v>7</v>
      </c>
      <c r="D370" s="26">
        <v>9</v>
      </c>
    </row>
    <row r="371" spans="1:4" x14ac:dyDescent="0.3">
      <c r="A371" s="31">
        <v>16</v>
      </c>
      <c r="B371" s="21" t="s">
        <v>17</v>
      </c>
      <c r="C371" s="50">
        <v>7</v>
      </c>
      <c r="D371" s="26">
        <v>5.65</v>
      </c>
    </row>
    <row r="372" spans="1:4" x14ac:dyDescent="0.3">
      <c r="A372" s="31">
        <v>17</v>
      </c>
      <c r="B372" s="9" t="s">
        <v>18</v>
      </c>
      <c r="C372" s="50">
        <v>7</v>
      </c>
      <c r="D372" s="26">
        <v>2.0499999999999998</v>
      </c>
    </row>
    <row r="373" spans="1:4" x14ac:dyDescent="0.3">
      <c r="A373" s="31">
        <v>18</v>
      </c>
      <c r="B373" s="14" t="s">
        <v>19</v>
      </c>
      <c r="C373" s="50">
        <v>7</v>
      </c>
      <c r="D373" s="26">
        <v>1.38</v>
      </c>
    </row>
    <row r="374" spans="1:4" x14ac:dyDescent="0.3">
      <c r="A374" s="31">
        <v>19</v>
      </c>
      <c r="B374" s="12" t="s">
        <v>20</v>
      </c>
      <c r="C374" s="50">
        <v>7</v>
      </c>
      <c r="D374" s="26">
        <v>7.98</v>
      </c>
    </row>
    <row r="375" spans="1:4" x14ac:dyDescent="0.3">
      <c r="A375" s="31">
        <v>20</v>
      </c>
      <c r="B375" s="20" t="s">
        <v>21</v>
      </c>
      <c r="C375" s="50">
        <v>7</v>
      </c>
      <c r="D375" s="26">
        <v>3.44</v>
      </c>
    </row>
    <row r="376" spans="1:4" x14ac:dyDescent="0.3">
      <c r="A376" s="31">
        <v>21</v>
      </c>
      <c r="B376" s="12" t="s">
        <v>22</v>
      </c>
      <c r="C376" s="50">
        <v>7</v>
      </c>
      <c r="D376" s="26">
        <v>5.0999999999999996</v>
      </c>
    </row>
    <row r="377" spans="1:4" x14ac:dyDescent="0.3">
      <c r="A377" s="31">
        <v>22</v>
      </c>
      <c r="B377" s="20" t="s">
        <v>23</v>
      </c>
      <c r="C377" s="50">
        <v>7</v>
      </c>
      <c r="D377" s="26">
        <v>1.53</v>
      </c>
    </row>
    <row r="378" spans="1:4" x14ac:dyDescent="0.3">
      <c r="A378" s="31">
        <v>23</v>
      </c>
      <c r="B378" s="9" t="s">
        <v>24</v>
      </c>
      <c r="C378" s="50">
        <v>7</v>
      </c>
      <c r="D378" s="26">
        <v>7.46</v>
      </c>
    </row>
    <row r="379" spans="1:4" ht="14.5" thickBot="1" x14ac:dyDescent="0.35">
      <c r="A379" s="32">
        <v>24</v>
      </c>
      <c r="B379" s="33" t="s">
        <v>25</v>
      </c>
      <c r="C379" s="55">
        <v>7</v>
      </c>
      <c r="D379" s="28">
        <v>6.62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1FF9-42B7-4D75-988A-D053B381CEB1}">
  <dimension ref="A1:O380"/>
  <sheetViews>
    <sheetView workbookViewId="0">
      <pane xSplit="3" ySplit="17" topLeftCell="K18" activePane="bottomRight" state="frozen"/>
      <selection pane="topRight" activeCell="D1" sqref="D1"/>
      <selection pane="bottomLeft" activeCell="A20" sqref="A20"/>
      <selection pane="bottomRight" activeCell="O3" sqref="O3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39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19">
        <f>AVERAGE(C27,C36,C29,C44)</f>
        <v>6.25</v>
      </c>
      <c r="H4" s="19">
        <f>AVERAGE(C21,C30,C37,C43)</f>
        <v>6.375</v>
      </c>
      <c r="I4" s="19">
        <f>AVERAGE(C26,C28,C33,C35)</f>
        <v>6.875</v>
      </c>
      <c r="J4" s="19">
        <f>AVERAGE(C22,C24,C32,C38)</f>
        <v>7</v>
      </c>
      <c r="K4" s="19">
        <f>AVERAGE(C39,C41,C23,C34)</f>
        <v>6.25</v>
      </c>
      <c r="L4" s="26">
        <f>AVERAGE(C42,C40,C31,C25)</f>
        <v>6.375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19">
        <f>AVERAGE(C72,C57,C55,C64)</f>
        <v>6.75</v>
      </c>
      <c r="H5" s="19">
        <f>AVERAGE(C49,C58,C71,C65)</f>
        <v>6.875</v>
      </c>
      <c r="I5" s="19">
        <f>AVERAGE(C54,C56,C61,C63)</f>
        <v>7</v>
      </c>
      <c r="J5">
        <f>AVERAGE(C66,C60,C52,C50)</f>
        <v>7.375</v>
      </c>
      <c r="K5" s="19">
        <f>AVERAGE(C51,C62,C67,C69)</f>
        <v>7</v>
      </c>
      <c r="L5" s="26">
        <f>AVERAGE(C53,C59,C68,C70)</f>
        <v>6.75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19">
        <f>AVERAGE(C83,C85,C92,C100)</f>
        <v>6.75</v>
      </c>
      <c r="H6" s="19">
        <f>AVERAGE(C77,C86,C93,C99)</f>
        <v>6.625</v>
      </c>
      <c r="I6" s="19">
        <f>AVERAGE(C82,C84,C89,C91)</f>
        <v>7</v>
      </c>
      <c r="J6" s="19">
        <f>AVERAGE(C88,C94,C80,C78)</f>
        <v>7.375</v>
      </c>
      <c r="K6" s="19">
        <f>AVERAGE(C90,C95,C97,C79)</f>
        <v>6.5</v>
      </c>
      <c r="L6" s="26">
        <f>AVERAGE(C81,C87,C96,C98)</f>
        <v>6.625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9">
        <f>AVERAGE(C111,C113,C120,C128)</f>
        <v>6.875</v>
      </c>
      <c r="H7" s="49">
        <f>AVERAGE(C105,C114,C121,C127)</f>
        <v>7</v>
      </c>
      <c r="I7" s="49">
        <f>AVERAGE(C110,C112,C117,C119)</f>
        <v>7.125</v>
      </c>
      <c r="J7" s="49">
        <f>AVERAGE(C106,C108,C116,C122)</f>
        <v>7.375</v>
      </c>
      <c r="K7" s="49">
        <f>AVERAGE(C107,C118,C123,C125)</f>
        <v>6.875</v>
      </c>
      <c r="L7" s="49">
        <f>AVERAGE(C109,C124,C115,C126)</f>
        <v>7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9">
        <f>AVERAGE(C139,C141,C148,C156)</f>
        <v>6.875</v>
      </c>
      <c r="H8" s="49">
        <f>AVERAGE(C155,C149,C142,C133)</f>
        <v>7</v>
      </c>
      <c r="I8" s="49">
        <f>AVERAGE(C138,C140,C145,C147)</f>
        <v>7.125</v>
      </c>
      <c r="J8" s="49">
        <f>AVERAGE(C134,C136,C144,C150)</f>
        <v>7.375</v>
      </c>
      <c r="K8" s="49">
        <f>AVERAGE(C135,C146,C151,C153)</f>
        <v>6.875</v>
      </c>
      <c r="L8" s="50">
        <f>AVERAGE(C154,C152,C143,C137)</f>
        <v>7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9">
        <f>AVERAGE(C167,C169,C176,C184)</f>
        <v>6.375</v>
      </c>
      <c r="H9" s="49">
        <f>AVERAGE(C161,C170,C177,C183)</f>
        <v>6.75</v>
      </c>
      <c r="I9" s="49">
        <f>AVERAGE(C168,C173,C166,C175)</f>
        <v>6.75</v>
      </c>
      <c r="J9" s="49">
        <f>AVERAGE(C162,C164,C172,C178)</f>
        <v>6.625</v>
      </c>
      <c r="K9" s="49">
        <f>AVERAGE(C163,C179,C181,C174)</f>
        <v>6.875</v>
      </c>
      <c r="L9" s="49">
        <f>AVERAGE(C165,C171,C180,C182)</f>
        <v>6.5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9">
        <f>AVERAGE(C195,C197,C204,C212)</f>
        <v>6.375</v>
      </c>
      <c r="H10" s="49">
        <f>AVERAGE(C189,C198,C205,C211)</f>
        <v>6.875</v>
      </c>
      <c r="I10" s="49">
        <f>AVERAGE(C201,C194,C196,C203)</f>
        <v>6.75</v>
      </c>
      <c r="J10" s="49">
        <f>AVERAGE(C200,C206,C192,C190)</f>
        <v>6.625</v>
      </c>
      <c r="K10" s="49">
        <f>AVERAGE(C191,C202,C207,C209)</f>
        <v>6.375</v>
      </c>
      <c r="L10" s="49">
        <f>AVERAGE(C193,C199,C208,C210)</f>
        <v>6.5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9">
        <f>AVERAGE(C223,C225,C232,C240)</f>
        <v>5.875</v>
      </c>
      <c r="H11" s="49">
        <f>AVERAGE(C217,C226,C233,C239)</f>
        <v>6.25</v>
      </c>
      <c r="I11" s="49">
        <f>AVERAGE(C222,C224,C229,C231)</f>
        <v>6.25</v>
      </c>
      <c r="J11" s="49">
        <f>AVERAGE(C218,C220,C228,C234)</f>
        <v>6.125</v>
      </c>
      <c r="K11" s="49">
        <f>AVERAGE(C219,C230,C235,C237)</f>
        <v>5.875</v>
      </c>
      <c r="L11" s="49">
        <f>AVERAGE(C221,C227,C236,C238)</f>
        <v>6</v>
      </c>
    </row>
    <row r="12" spans="1:15" x14ac:dyDescent="0.3">
      <c r="A12" s="34"/>
      <c r="B12" s="34"/>
      <c r="C12" s="34"/>
      <c r="D12" s="34"/>
      <c r="E12" s="25">
        <v>9</v>
      </c>
      <c r="F12" s="39">
        <v>45341</v>
      </c>
      <c r="G12" s="49">
        <f>AVERAGE(C251,C253,C260,C268)</f>
        <v>5.625</v>
      </c>
      <c r="H12" s="49">
        <f>AVERAGE(C245,C254,C261,C267)</f>
        <v>6.125</v>
      </c>
      <c r="I12" s="49">
        <f>AVERAGE(C250,C252,C257,C259)</f>
        <v>5.875</v>
      </c>
      <c r="J12" s="49">
        <f>AVERAGE(C246,C248,C256,C262)</f>
        <v>5.75</v>
      </c>
      <c r="K12" s="49">
        <f>AVERAGE(C247,C258,C263,C265)</f>
        <v>5.625</v>
      </c>
      <c r="L12" s="49">
        <f>AVERAGE(C249,C255,C264,C266)</f>
        <v>5.5</v>
      </c>
    </row>
    <row r="13" spans="1:15" x14ac:dyDescent="0.3">
      <c r="A13" s="34"/>
      <c r="B13" s="34"/>
      <c r="C13" s="34"/>
      <c r="D13" s="34"/>
      <c r="E13" s="25">
        <v>10</v>
      </c>
      <c r="F13" s="39">
        <v>45355</v>
      </c>
      <c r="G13" s="49">
        <f>AVERAGE(C279,C281,C288,C296)</f>
        <v>5.625</v>
      </c>
      <c r="H13" s="49">
        <f>AVERAGE(C273,C282,C289,C295)</f>
        <v>5.75</v>
      </c>
      <c r="I13" s="49">
        <f>AVERAGE(C278,C280,C287,C285)</f>
        <v>5.625</v>
      </c>
      <c r="J13" s="49">
        <f>AVERAGE(C276,C274,C284,C290)</f>
        <v>5.5</v>
      </c>
      <c r="K13" s="49">
        <f>AVERAGE(C275,C286,C291,C293)</f>
        <v>5.5</v>
      </c>
      <c r="L13" s="49">
        <f>AVERAGE(C277,C283,C292,C294)</f>
        <v>5.75</v>
      </c>
    </row>
    <row r="14" spans="1:15" x14ac:dyDescent="0.3">
      <c r="A14" s="34"/>
      <c r="B14" s="34"/>
      <c r="C14" s="34"/>
      <c r="D14" s="34"/>
      <c r="E14" s="25">
        <v>11</v>
      </c>
      <c r="F14" s="39">
        <v>45369</v>
      </c>
      <c r="G14" s="49">
        <f>AVERAGE(C307,C309,C316,C324)</f>
        <v>5.375</v>
      </c>
      <c r="H14" s="49">
        <f>AVERAGE(C301,C310,C317,C323)</f>
        <v>5.375</v>
      </c>
      <c r="I14" s="49">
        <f>AVERAGE(C306,C308,C315,C313)</f>
        <v>5.5</v>
      </c>
      <c r="J14" s="49">
        <f>AVERAGE(C302,C304,C312,C318)</f>
        <v>5.5</v>
      </c>
      <c r="K14" s="49">
        <f>AVERAGE(C303,C314,C319,C321)</f>
        <v>5.625</v>
      </c>
      <c r="L14" s="49">
        <f>AVERAGE(C305,C311,C320,C322)</f>
        <v>5.625</v>
      </c>
    </row>
    <row r="15" spans="1:15" x14ac:dyDescent="0.3">
      <c r="A15" s="34"/>
      <c r="B15" s="34"/>
      <c r="C15" s="34"/>
      <c r="D15" s="34"/>
      <c r="E15" s="25">
        <v>12</v>
      </c>
      <c r="F15" s="39">
        <v>45383</v>
      </c>
      <c r="G15" s="49">
        <f>AVERAGE(C335,C337,C344,C352)</f>
        <v>6.375</v>
      </c>
      <c r="H15" s="49">
        <f>AVERAGE(C329,C345,C351,C338)</f>
        <v>6.375</v>
      </c>
      <c r="I15" s="49">
        <f>AVERAGE(C334,C336,C341,C343)</f>
        <v>6.25</v>
      </c>
      <c r="J15" s="49">
        <f>AVERAGE(C330,C332,C340,C346)</f>
        <v>6.5</v>
      </c>
      <c r="K15" s="49">
        <f>AVERAGE(C331,C347,C349,C342)</f>
        <v>6.125</v>
      </c>
      <c r="L15" s="49">
        <f>AVERAGE(C333,C348,C339,C350)</f>
        <v>6.375</v>
      </c>
    </row>
    <row r="16" spans="1:15" x14ac:dyDescent="0.3">
      <c r="A16" s="34"/>
      <c r="B16" s="34"/>
      <c r="C16" s="34"/>
      <c r="D16" s="34"/>
      <c r="E16" s="25">
        <v>13</v>
      </c>
      <c r="F16" s="39">
        <v>45397</v>
      </c>
      <c r="G16" s="49">
        <f>AVERAGE(C363,C365,C372,C380)</f>
        <v>6.875</v>
      </c>
      <c r="H16" s="49">
        <f>AVERAGE(C357,C366,C373,C379)</f>
        <v>6.875</v>
      </c>
      <c r="I16" s="49">
        <f>AVERAGE(C362,C364,C369,C371)</f>
        <v>6.75</v>
      </c>
      <c r="J16" s="49">
        <f>AVERAGE(C358,C360,C368,C374)</f>
        <v>7</v>
      </c>
      <c r="K16" s="49">
        <f>AVERAGE(C359,C370,C375,C377)</f>
        <v>6.625</v>
      </c>
      <c r="L16" s="49">
        <f>AVERAGE(C361,C367,C376,C378)</f>
        <v>6.875</v>
      </c>
    </row>
    <row r="19" spans="1:3" ht="14.5" thickBot="1" x14ac:dyDescent="0.35">
      <c r="A19" s="1" t="s">
        <v>36</v>
      </c>
      <c r="B19" s="18">
        <v>45216</v>
      </c>
    </row>
    <row r="20" spans="1:3" x14ac:dyDescent="0.3">
      <c r="A20" s="22" t="s">
        <v>27</v>
      </c>
      <c r="B20" s="30" t="s">
        <v>26</v>
      </c>
      <c r="C20" s="23" t="s">
        <v>28</v>
      </c>
    </row>
    <row r="21" spans="1:3" x14ac:dyDescent="0.3">
      <c r="A21" s="31">
        <v>1</v>
      </c>
      <c r="B21" s="9" t="s">
        <v>2</v>
      </c>
      <c r="C21" s="26">
        <v>7.5</v>
      </c>
    </row>
    <row r="22" spans="1:3" x14ac:dyDescent="0.3">
      <c r="A22" s="31">
        <v>2</v>
      </c>
      <c r="B22" s="14" t="s">
        <v>3</v>
      </c>
      <c r="C22" s="26">
        <v>7.5</v>
      </c>
    </row>
    <row r="23" spans="1:3" x14ac:dyDescent="0.3">
      <c r="A23" s="31">
        <v>3</v>
      </c>
      <c r="B23" s="12" t="s">
        <v>4</v>
      </c>
      <c r="C23" s="26">
        <v>8</v>
      </c>
    </row>
    <row r="24" spans="1:3" x14ac:dyDescent="0.3">
      <c r="A24" s="31">
        <v>4</v>
      </c>
      <c r="B24" s="14" t="s">
        <v>5</v>
      </c>
      <c r="C24" s="26">
        <v>7</v>
      </c>
    </row>
    <row r="25" spans="1:3" x14ac:dyDescent="0.3">
      <c r="A25" s="31">
        <v>5</v>
      </c>
      <c r="B25" s="20" t="s">
        <v>6</v>
      </c>
      <c r="C25" s="26">
        <v>6.5</v>
      </c>
    </row>
    <row r="26" spans="1:3" x14ac:dyDescent="0.3">
      <c r="A26" s="31">
        <v>6</v>
      </c>
      <c r="B26" s="6" t="s">
        <v>7</v>
      </c>
      <c r="C26" s="26">
        <v>7</v>
      </c>
    </row>
    <row r="27" spans="1:3" x14ac:dyDescent="0.3">
      <c r="A27" s="31">
        <v>7</v>
      </c>
      <c r="B27" s="21" t="s">
        <v>8</v>
      </c>
      <c r="C27" s="26">
        <v>7.5</v>
      </c>
    </row>
    <row r="28" spans="1:3" x14ac:dyDescent="0.3">
      <c r="A28" s="31">
        <v>8</v>
      </c>
      <c r="B28" s="6" t="s">
        <v>9</v>
      </c>
      <c r="C28" s="26">
        <v>7</v>
      </c>
    </row>
    <row r="29" spans="1:3" x14ac:dyDescent="0.3">
      <c r="A29" s="31">
        <v>9</v>
      </c>
      <c r="B29" s="21" t="s">
        <v>10</v>
      </c>
      <c r="C29" s="26">
        <v>6</v>
      </c>
    </row>
    <row r="30" spans="1:3" x14ac:dyDescent="0.3">
      <c r="A30" s="31">
        <v>10</v>
      </c>
      <c r="B30" s="9" t="s">
        <v>11</v>
      </c>
      <c r="C30" s="26">
        <v>7</v>
      </c>
    </row>
    <row r="31" spans="1:3" x14ac:dyDescent="0.3">
      <c r="A31" s="31">
        <v>11</v>
      </c>
      <c r="B31" s="20" t="s">
        <v>12</v>
      </c>
      <c r="C31" s="26">
        <v>6</v>
      </c>
    </row>
    <row r="32" spans="1:3" x14ac:dyDescent="0.3">
      <c r="A32" s="31">
        <v>12</v>
      </c>
      <c r="B32" s="14" t="s">
        <v>13</v>
      </c>
      <c r="C32" s="26">
        <v>7.5</v>
      </c>
    </row>
    <row r="33" spans="1:3" x14ac:dyDescent="0.3">
      <c r="A33" s="31">
        <v>13</v>
      </c>
      <c r="B33" s="6" t="s">
        <v>14</v>
      </c>
      <c r="C33" s="26">
        <v>6.5</v>
      </c>
    </row>
    <row r="34" spans="1:3" x14ac:dyDescent="0.3">
      <c r="A34" s="31">
        <v>14</v>
      </c>
      <c r="B34" s="12" t="s">
        <v>15</v>
      </c>
      <c r="C34" s="26">
        <v>6</v>
      </c>
    </row>
    <row r="35" spans="1:3" x14ac:dyDescent="0.3">
      <c r="A35" s="31">
        <v>15</v>
      </c>
      <c r="B35" s="6" t="s">
        <v>16</v>
      </c>
      <c r="C35" s="26">
        <v>7</v>
      </c>
    </row>
    <row r="36" spans="1:3" x14ac:dyDescent="0.3">
      <c r="A36" s="31">
        <v>16</v>
      </c>
      <c r="B36" s="21" t="s">
        <v>17</v>
      </c>
      <c r="C36" s="26">
        <v>6.5</v>
      </c>
    </row>
    <row r="37" spans="1:3" x14ac:dyDescent="0.3">
      <c r="A37" s="31">
        <v>17</v>
      </c>
      <c r="B37" s="9" t="s">
        <v>18</v>
      </c>
      <c r="C37" s="26">
        <v>6</v>
      </c>
    </row>
    <row r="38" spans="1:3" x14ac:dyDescent="0.3">
      <c r="A38" s="31">
        <v>18</v>
      </c>
      <c r="B38" s="14" t="s">
        <v>19</v>
      </c>
      <c r="C38" s="26">
        <v>6</v>
      </c>
    </row>
    <row r="39" spans="1:3" x14ac:dyDescent="0.3">
      <c r="A39" s="31">
        <v>19</v>
      </c>
      <c r="B39" s="12" t="s">
        <v>20</v>
      </c>
      <c r="C39" s="26">
        <v>6</v>
      </c>
    </row>
    <row r="40" spans="1:3" x14ac:dyDescent="0.3">
      <c r="A40" s="31">
        <v>20</v>
      </c>
      <c r="B40" s="20" t="s">
        <v>21</v>
      </c>
      <c r="C40" s="26">
        <v>7</v>
      </c>
    </row>
    <row r="41" spans="1:3" x14ac:dyDescent="0.3">
      <c r="A41" s="31">
        <v>21</v>
      </c>
      <c r="B41" s="12" t="s">
        <v>22</v>
      </c>
      <c r="C41" s="26">
        <v>5</v>
      </c>
    </row>
    <row r="42" spans="1:3" x14ac:dyDescent="0.3">
      <c r="A42" s="31">
        <v>22</v>
      </c>
      <c r="B42" s="20" t="s">
        <v>23</v>
      </c>
      <c r="C42" s="26">
        <v>6</v>
      </c>
    </row>
    <row r="43" spans="1:3" x14ac:dyDescent="0.3">
      <c r="A43" s="31">
        <v>23</v>
      </c>
      <c r="B43" s="9" t="s">
        <v>24</v>
      </c>
      <c r="C43" s="26">
        <v>5</v>
      </c>
    </row>
    <row r="44" spans="1:3" ht="14.5" thickBot="1" x14ac:dyDescent="0.35">
      <c r="A44" s="32">
        <v>24</v>
      </c>
      <c r="B44" s="33" t="s">
        <v>25</v>
      </c>
      <c r="C44" s="26">
        <v>5</v>
      </c>
    </row>
    <row r="47" spans="1:3" ht="14.5" thickBot="1" x14ac:dyDescent="0.35">
      <c r="A47" s="1" t="s">
        <v>36</v>
      </c>
      <c r="B47" s="18">
        <v>45229</v>
      </c>
    </row>
    <row r="48" spans="1:3" x14ac:dyDescent="0.3">
      <c r="A48" s="22" t="s">
        <v>27</v>
      </c>
      <c r="B48" s="30" t="s">
        <v>26</v>
      </c>
      <c r="C48" s="23" t="s">
        <v>28</v>
      </c>
    </row>
    <row r="49" spans="1:3" x14ac:dyDescent="0.3">
      <c r="A49" s="31">
        <v>1</v>
      </c>
      <c r="B49" s="9" t="s">
        <v>2</v>
      </c>
      <c r="C49" s="26">
        <v>7.5</v>
      </c>
    </row>
    <row r="50" spans="1:3" x14ac:dyDescent="0.3">
      <c r="A50" s="31">
        <v>2</v>
      </c>
      <c r="B50" s="14" t="s">
        <v>3</v>
      </c>
      <c r="C50" s="26">
        <v>7.5</v>
      </c>
    </row>
    <row r="51" spans="1:3" x14ac:dyDescent="0.3">
      <c r="A51" s="31">
        <v>3</v>
      </c>
      <c r="B51" s="12" t="s">
        <v>4</v>
      </c>
      <c r="C51" s="26">
        <v>8</v>
      </c>
    </row>
    <row r="52" spans="1:3" x14ac:dyDescent="0.3">
      <c r="A52" s="31">
        <v>4</v>
      </c>
      <c r="B52" s="14" t="s">
        <v>5</v>
      </c>
      <c r="C52" s="26">
        <v>7.5</v>
      </c>
    </row>
    <row r="53" spans="1:3" x14ac:dyDescent="0.3">
      <c r="A53" s="31">
        <v>5</v>
      </c>
      <c r="B53" s="20" t="s">
        <v>6</v>
      </c>
      <c r="C53" s="26">
        <v>7</v>
      </c>
    </row>
    <row r="54" spans="1:3" x14ac:dyDescent="0.3">
      <c r="A54" s="31">
        <v>6</v>
      </c>
      <c r="B54" s="6" t="s">
        <v>7</v>
      </c>
      <c r="C54" s="26">
        <v>6.5</v>
      </c>
    </row>
    <row r="55" spans="1:3" x14ac:dyDescent="0.3">
      <c r="A55" s="31">
        <v>7</v>
      </c>
      <c r="B55" s="21" t="s">
        <v>8</v>
      </c>
      <c r="C55" s="26">
        <v>7</v>
      </c>
    </row>
    <row r="56" spans="1:3" x14ac:dyDescent="0.3">
      <c r="A56" s="31">
        <v>8</v>
      </c>
      <c r="B56" s="6" t="s">
        <v>9</v>
      </c>
      <c r="C56" s="26">
        <v>7.5</v>
      </c>
    </row>
    <row r="57" spans="1:3" x14ac:dyDescent="0.3">
      <c r="A57" s="31">
        <v>9</v>
      </c>
      <c r="B57" s="21" t="s">
        <v>10</v>
      </c>
      <c r="C57" s="26">
        <v>7</v>
      </c>
    </row>
    <row r="58" spans="1:3" x14ac:dyDescent="0.3">
      <c r="A58" s="31">
        <v>10</v>
      </c>
      <c r="B58" s="9" t="s">
        <v>11</v>
      </c>
      <c r="C58" s="26">
        <v>7</v>
      </c>
    </row>
    <row r="59" spans="1:3" x14ac:dyDescent="0.3">
      <c r="A59" s="31">
        <v>11</v>
      </c>
      <c r="B59" s="20" t="s">
        <v>12</v>
      </c>
      <c r="C59" s="26">
        <v>7</v>
      </c>
    </row>
    <row r="60" spans="1:3" x14ac:dyDescent="0.3">
      <c r="A60" s="31">
        <v>12</v>
      </c>
      <c r="B60" s="14" t="s">
        <v>13</v>
      </c>
      <c r="C60" s="26">
        <v>7.5</v>
      </c>
    </row>
    <row r="61" spans="1:3" x14ac:dyDescent="0.3">
      <c r="A61" s="31">
        <v>13</v>
      </c>
      <c r="B61" s="6" t="s">
        <v>14</v>
      </c>
      <c r="C61" s="26">
        <v>7</v>
      </c>
    </row>
    <row r="62" spans="1:3" x14ac:dyDescent="0.3">
      <c r="A62" s="31">
        <v>14</v>
      </c>
      <c r="B62" s="12" t="s">
        <v>15</v>
      </c>
      <c r="C62" s="26">
        <v>7</v>
      </c>
    </row>
    <row r="63" spans="1:3" x14ac:dyDescent="0.3">
      <c r="A63" s="31">
        <v>15</v>
      </c>
      <c r="B63" s="6" t="s">
        <v>16</v>
      </c>
      <c r="C63" s="26">
        <v>7</v>
      </c>
    </row>
    <row r="64" spans="1:3" x14ac:dyDescent="0.3">
      <c r="A64" s="31">
        <v>16</v>
      </c>
      <c r="B64" s="21" t="s">
        <v>17</v>
      </c>
      <c r="C64" s="26">
        <v>7</v>
      </c>
    </row>
    <row r="65" spans="1:3" x14ac:dyDescent="0.3">
      <c r="A65" s="31">
        <v>17</v>
      </c>
      <c r="B65" s="9" t="s">
        <v>18</v>
      </c>
      <c r="C65" s="26">
        <v>7</v>
      </c>
    </row>
    <row r="66" spans="1:3" x14ac:dyDescent="0.3">
      <c r="A66" s="31">
        <v>18</v>
      </c>
      <c r="B66" s="14" t="s">
        <v>19</v>
      </c>
      <c r="C66" s="26">
        <v>7</v>
      </c>
    </row>
    <row r="67" spans="1:3" x14ac:dyDescent="0.3">
      <c r="A67" s="31">
        <v>19</v>
      </c>
      <c r="B67" s="12" t="s">
        <v>20</v>
      </c>
      <c r="C67" s="26">
        <v>7</v>
      </c>
    </row>
    <row r="68" spans="1:3" x14ac:dyDescent="0.3">
      <c r="A68" s="31">
        <v>20</v>
      </c>
      <c r="B68" s="20" t="s">
        <v>21</v>
      </c>
      <c r="C68" s="26">
        <v>7</v>
      </c>
    </row>
    <row r="69" spans="1:3" x14ac:dyDescent="0.3">
      <c r="A69" s="31">
        <v>21</v>
      </c>
      <c r="B69" s="12" t="s">
        <v>22</v>
      </c>
      <c r="C69" s="26">
        <v>6</v>
      </c>
    </row>
    <row r="70" spans="1:3" x14ac:dyDescent="0.3">
      <c r="A70" s="31">
        <v>22</v>
      </c>
      <c r="B70" s="20" t="s">
        <v>23</v>
      </c>
      <c r="C70" s="26">
        <v>6</v>
      </c>
    </row>
    <row r="71" spans="1:3" x14ac:dyDescent="0.3">
      <c r="A71" s="31">
        <v>23</v>
      </c>
      <c r="B71" s="9" t="s">
        <v>24</v>
      </c>
      <c r="C71" s="26">
        <v>6</v>
      </c>
    </row>
    <row r="72" spans="1:3" ht="14.5" thickBot="1" x14ac:dyDescent="0.35">
      <c r="A72" s="32">
        <v>24</v>
      </c>
      <c r="B72" s="33" t="s">
        <v>25</v>
      </c>
      <c r="C72" s="28">
        <v>6</v>
      </c>
    </row>
    <row r="75" spans="1:3" ht="14.5" thickBot="1" x14ac:dyDescent="0.35">
      <c r="A75" s="1" t="s">
        <v>36</v>
      </c>
      <c r="B75" s="18">
        <v>45243</v>
      </c>
    </row>
    <row r="76" spans="1:3" x14ac:dyDescent="0.3">
      <c r="A76" s="22" t="s">
        <v>27</v>
      </c>
      <c r="B76" s="30" t="s">
        <v>26</v>
      </c>
      <c r="C76" s="23" t="s">
        <v>28</v>
      </c>
    </row>
    <row r="77" spans="1:3" x14ac:dyDescent="0.3">
      <c r="A77" s="31">
        <v>1</v>
      </c>
      <c r="B77" s="9" t="s">
        <v>2</v>
      </c>
      <c r="C77" s="26">
        <v>7</v>
      </c>
    </row>
    <row r="78" spans="1:3" x14ac:dyDescent="0.3">
      <c r="A78" s="31">
        <v>2</v>
      </c>
      <c r="B78" s="14" t="s">
        <v>3</v>
      </c>
      <c r="C78" s="26">
        <v>8</v>
      </c>
    </row>
    <row r="79" spans="1:3" x14ac:dyDescent="0.3">
      <c r="A79" s="31">
        <v>3</v>
      </c>
      <c r="B79" s="12" t="s">
        <v>4</v>
      </c>
      <c r="C79" s="26">
        <v>7</v>
      </c>
    </row>
    <row r="80" spans="1:3" x14ac:dyDescent="0.3">
      <c r="A80" s="31">
        <v>4</v>
      </c>
      <c r="B80" s="14" t="s">
        <v>5</v>
      </c>
      <c r="C80" s="26">
        <v>7.5</v>
      </c>
    </row>
    <row r="81" spans="1:3" x14ac:dyDescent="0.3">
      <c r="A81" s="31">
        <v>5</v>
      </c>
      <c r="B81" s="20" t="s">
        <v>6</v>
      </c>
      <c r="C81" s="26">
        <v>7.5</v>
      </c>
    </row>
    <row r="82" spans="1:3" x14ac:dyDescent="0.3">
      <c r="A82" s="31">
        <v>6</v>
      </c>
      <c r="B82" s="6" t="s">
        <v>7</v>
      </c>
      <c r="C82" s="26">
        <v>6.5</v>
      </c>
    </row>
    <row r="83" spans="1:3" x14ac:dyDescent="0.3">
      <c r="A83" s="31">
        <v>7</v>
      </c>
      <c r="B83" s="21" t="s">
        <v>8</v>
      </c>
      <c r="C83" s="26">
        <v>7</v>
      </c>
    </row>
    <row r="84" spans="1:3" x14ac:dyDescent="0.3">
      <c r="A84" s="31">
        <v>8</v>
      </c>
      <c r="B84" s="6" t="s">
        <v>9</v>
      </c>
      <c r="C84" s="26">
        <v>7.5</v>
      </c>
    </row>
    <row r="85" spans="1:3" x14ac:dyDescent="0.3">
      <c r="A85" s="31">
        <v>9</v>
      </c>
      <c r="B85" s="21" t="s">
        <v>10</v>
      </c>
      <c r="C85" s="26">
        <v>6.5</v>
      </c>
    </row>
    <row r="86" spans="1:3" x14ac:dyDescent="0.3">
      <c r="A86" s="31">
        <v>10</v>
      </c>
      <c r="B86" s="9" t="s">
        <v>11</v>
      </c>
      <c r="C86" s="26">
        <v>6.5</v>
      </c>
    </row>
    <row r="87" spans="1:3" x14ac:dyDescent="0.3">
      <c r="A87" s="31">
        <v>11</v>
      </c>
      <c r="B87" s="20" t="s">
        <v>12</v>
      </c>
      <c r="C87" s="26">
        <v>6.5</v>
      </c>
    </row>
    <row r="88" spans="1:3" x14ac:dyDescent="0.3">
      <c r="A88" s="31">
        <v>12</v>
      </c>
      <c r="B88" s="14" t="s">
        <v>13</v>
      </c>
      <c r="C88" s="26">
        <v>7</v>
      </c>
    </row>
    <row r="89" spans="1:3" x14ac:dyDescent="0.3">
      <c r="A89" s="31">
        <v>13</v>
      </c>
      <c r="B89" s="6" t="s">
        <v>14</v>
      </c>
      <c r="C89" s="26">
        <v>7</v>
      </c>
    </row>
    <row r="90" spans="1:3" x14ac:dyDescent="0.3">
      <c r="A90" s="31">
        <v>14</v>
      </c>
      <c r="B90" s="12" t="s">
        <v>15</v>
      </c>
      <c r="C90" s="26">
        <v>6.5</v>
      </c>
    </row>
    <row r="91" spans="1:3" x14ac:dyDescent="0.3">
      <c r="A91" s="31">
        <v>15</v>
      </c>
      <c r="B91" s="6" t="s">
        <v>16</v>
      </c>
      <c r="C91" s="26">
        <v>7</v>
      </c>
    </row>
    <row r="92" spans="1:3" x14ac:dyDescent="0.3">
      <c r="A92" s="31">
        <v>16</v>
      </c>
      <c r="B92" s="21" t="s">
        <v>17</v>
      </c>
      <c r="C92" s="26">
        <v>7</v>
      </c>
    </row>
    <row r="93" spans="1:3" x14ac:dyDescent="0.3">
      <c r="A93" s="31">
        <v>17</v>
      </c>
      <c r="B93" s="9" t="s">
        <v>18</v>
      </c>
      <c r="C93" s="26">
        <v>7</v>
      </c>
    </row>
    <row r="94" spans="1:3" x14ac:dyDescent="0.3">
      <c r="A94" s="31">
        <v>18</v>
      </c>
      <c r="B94" s="14" t="s">
        <v>19</v>
      </c>
      <c r="C94" s="26">
        <v>7</v>
      </c>
    </row>
    <row r="95" spans="1:3" x14ac:dyDescent="0.3">
      <c r="A95" s="31">
        <v>19</v>
      </c>
      <c r="B95" s="12" t="s">
        <v>20</v>
      </c>
      <c r="C95" s="26">
        <v>6.5</v>
      </c>
    </row>
    <row r="96" spans="1:3" x14ac:dyDescent="0.3">
      <c r="A96" s="31">
        <v>20</v>
      </c>
      <c r="B96" s="20" t="s">
        <v>21</v>
      </c>
      <c r="C96" s="26">
        <v>6.5</v>
      </c>
    </row>
    <row r="97" spans="1:3" x14ac:dyDescent="0.3">
      <c r="A97" s="31">
        <v>21</v>
      </c>
      <c r="B97" s="12" t="s">
        <v>22</v>
      </c>
      <c r="C97" s="26">
        <v>6</v>
      </c>
    </row>
    <row r="98" spans="1:3" x14ac:dyDescent="0.3">
      <c r="A98" s="31">
        <v>22</v>
      </c>
      <c r="B98" s="20" t="s">
        <v>23</v>
      </c>
      <c r="C98" s="26">
        <v>6</v>
      </c>
    </row>
    <row r="99" spans="1:3" x14ac:dyDescent="0.3">
      <c r="A99" s="31">
        <v>23</v>
      </c>
      <c r="B99" s="9" t="s">
        <v>24</v>
      </c>
      <c r="C99" s="26">
        <v>6</v>
      </c>
    </row>
    <row r="100" spans="1:3" ht="14.5" thickBot="1" x14ac:dyDescent="0.35">
      <c r="A100" s="32">
        <v>24</v>
      </c>
      <c r="B100" s="33" t="s">
        <v>25</v>
      </c>
      <c r="C100" s="28">
        <v>6.5</v>
      </c>
    </row>
    <row r="103" spans="1:3" ht="14.5" thickBot="1" x14ac:dyDescent="0.35">
      <c r="A103" s="1" t="s">
        <v>36</v>
      </c>
      <c r="B103" s="18">
        <v>45257</v>
      </c>
    </row>
    <row r="104" spans="1:3" x14ac:dyDescent="0.3">
      <c r="A104" s="22" t="s">
        <v>27</v>
      </c>
      <c r="B104" s="30" t="s">
        <v>26</v>
      </c>
      <c r="C104" s="23" t="s">
        <v>28</v>
      </c>
    </row>
    <row r="105" spans="1:3" x14ac:dyDescent="0.3">
      <c r="A105" s="31">
        <v>1</v>
      </c>
      <c r="B105" s="9" t="s">
        <v>2</v>
      </c>
      <c r="C105" s="50">
        <v>7</v>
      </c>
    </row>
    <row r="106" spans="1:3" x14ac:dyDescent="0.3">
      <c r="A106" s="31">
        <v>2</v>
      </c>
      <c r="B106" s="14" t="s">
        <v>3</v>
      </c>
      <c r="C106" s="50">
        <v>7.5</v>
      </c>
    </row>
    <row r="107" spans="1:3" x14ac:dyDescent="0.3">
      <c r="A107" s="31">
        <v>3</v>
      </c>
      <c r="B107" s="12" t="s">
        <v>4</v>
      </c>
      <c r="C107" s="50">
        <v>7</v>
      </c>
    </row>
    <row r="108" spans="1:3" x14ac:dyDescent="0.3">
      <c r="A108" s="31">
        <v>4</v>
      </c>
      <c r="B108" s="14" t="s">
        <v>5</v>
      </c>
      <c r="C108" s="50">
        <v>7.5</v>
      </c>
    </row>
    <row r="109" spans="1:3" x14ac:dyDescent="0.3">
      <c r="A109" s="31">
        <v>5</v>
      </c>
      <c r="B109" s="20" t="s">
        <v>6</v>
      </c>
      <c r="C109" s="50">
        <v>7.5</v>
      </c>
    </row>
    <row r="110" spans="1:3" x14ac:dyDescent="0.3">
      <c r="A110" s="31">
        <v>6</v>
      </c>
      <c r="B110" s="6" t="s">
        <v>7</v>
      </c>
      <c r="C110" s="50">
        <v>7.5</v>
      </c>
    </row>
    <row r="111" spans="1:3" x14ac:dyDescent="0.3">
      <c r="A111" s="31">
        <v>7</v>
      </c>
      <c r="B111" s="21" t="s">
        <v>8</v>
      </c>
      <c r="C111" s="50">
        <v>7</v>
      </c>
    </row>
    <row r="112" spans="1:3" x14ac:dyDescent="0.3">
      <c r="A112" s="31">
        <v>8</v>
      </c>
      <c r="B112" s="6" t="s">
        <v>9</v>
      </c>
      <c r="C112" s="50">
        <v>7</v>
      </c>
    </row>
    <row r="113" spans="1:3" x14ac:dyDescent="0.3">
      <c r="A113" s="31">
        <v>9</v>
      </c>
      <c r="B113" s="21" t="s">
        <v>10</v>
      </c>
      <c r="C113" s="50">
        <v>7</v>
      </c>
    </row>
    <row r="114" spans="1:3" x14ac:dyDescent="0.3">
      <c r="A114" s="31">
        <v>10</v>
      </c>
      <c r="B114" s="9" t="s">
        <v>11</v>
      </c>
      <c r="C114" s="50">
        <v>7</v>
      </c>
    </row>
    <row r="115" spans="1:3" x14ac:dyDescent="0.3">
      <c r="A115" s="31">
        <v>11</v>
      </c>
      <c r="B115" s="20" t="s">
        <v>12</v>
      </c>
      <c r="C115" s="50">
        <v>7</v>
      </c>
    </row>
    <row r="116" spans="1:3" x14ac:dyDescent="0.3">
      <c r="A116" s="31">
        <v>12</v>
      </c>
      <c r="B116" s="14" t="s">
        <v>13</v>
      </c>
      <c r="C116" s="50">
        <v>7</v>
      </c>
    </row>
    <row r="117" spans="1:3" x14ac:dyDescent="0.3">
      <c r="A117" s="31">
        <v>13</v>
      </c>
      <c r="B117" s="6" t="s">
        <v>14</v>
      </c>
      <c r="C117" s="50">
        <v>7</v>
      </c>
    </row>
    <row r="118" spans="1:3" x14ac:dyDescent="0.3">
      <c r="A118" s="31">
        <v>14</v>
      </c>
      <c r="B118" s="12" t="s">
        <v>15</v>
      </c>
      <c r="C118" s="50">
        <v>7</v>
      </c>
    </row>
    <row r="119" spans="1:3" x14ac:dyDescent="0.3">
      <c r="A119" s="31">
        <v>15</v>
      </c>
      <c r="B119" s="6" t="s">
        <v>16</v>
      </c>
      <c r="C119" s="50">
        <v>7</v>
      </c>
    </row>
    <row r="120" spans="1:3" x14ac:dyDescent="0.3">
      <c r="A120" s="31">
        <v>16</v>
      </c>
      <c r="B120" s="21" t="s">
        <v>17</v>
      </c>
      <c r="C120" s="50">
        <v>7</v>
      </c>
    </row>
    <row r="121" spans="1:3" x14ac:dyDescent="0.3">
      <c r="A121" s="31">
        <v>17</v>
      </c>
      <c r="B121" s="9" t="s">
        <v>18</v>
      </c>
      <c r="C121" s="50">
        <v>7.5</v>
      </c>
    </row>
    <row r="122" spans="1:3" x14ac:dyDescent="0.3">
      <c r="A122" s="31">
        <v>18</v>
      </c>
      <c r="B122" s="14" t="s">
        <v>19</v>
      </c>
      <c r="C122" s="50">
        <v>7.5</v>
      </c>
    </row>
    <row r="123" spans="1:3" x14ac:dyDescent="0.3">
      <c r="A123" s="31">
        <v>19</v>
      </c>
      <c r="B123" s="12" t="s">
        <v>20</v>
      </c>
      <c r="C123" s="50">
        <v>7</v>
      </c>
    </row>
    <row r="124" spans="1:3" x14ac:dyDescent="0.3">
      <c r="A124" s="31">
        <v>20</v>
      </c>
      <c r="B124" s="20" t="s">
        <v>21</v>
      </c>
      <c r="C124" s="50">
        <v>7</v>
      </c>
    </row>
    <row r="125" spans="1:3" x14ac:dyDescent="0.3">
      <c r="A125" s="31">
        <v>21</v>
      </c>
      <c r="B125" s="12" t="s">
        <v>22</v>
      </c>
      <c r="C125" s="50">
        <v>6.5</v>
      </c>
    </row>
    <row r="126" spans="1:3" x14ac:dyDescent="0.3">
      <c r="A126" s="31">
        <v>22</v>
      </c>
      <c r="B126" s="20" t="s">
        <v>23</v>
      </c>
      <c r="C126" s="50">
        <v>6.5</v>
      </c>
    </row>
    <row r="127" spans="1:3" x14ac:dyDescent="0.3">
      <c r="A127" s="31">
        <v>23</v>
      </c>
      <c r="B127" s="9" t="s">
        <v>24</v>
      </c>
      <c r="C127" s="50">
        <v>6.5</v>
      </c>
    </row>
    <row r="128" spans="1:3" ht="14.5" thickBot="1" x14ac:dyDescent="0.35">
      <c r="A128" s="32">
        <v>24</v>
      </c>
      <c r="B128" s="33" t="s">
        <v>25</v>
      </c>
      <c r="C128" s="55">
        <v>6.5</v>
      </c>
    </row>
    <row r="131" spans="1:3" ht="14.5" thickBot="1" x14ac:dyDescent="0.35">
      <c r="A131" s="1" t="s">
        <v>36</v>
      </c>
      <c r="B131" s="18">
        <v>45271</v>
      </c>
    </row>
    <row r="132" spans="1:3" x14ac:dyDescent="0.3">
      <c r="A132" s="22" t="s">
        <v>27</v>
      </c>
      <c r="B132" s="30" t="s">
        <v>26</v>
      </c>
      <c r="C132" s="23" t="s">
        <v>28</v>
      </c>
    </row>
    <row r="133" spans="1:3" x14ac:dyDescent="0.3">
      <c r="A133" s="31">
        <v>1</v>
      </c>
      <c r="B133" s="9" t="s">
        <v>2</v>
      </c>
      <c r="C133" s="50">
        <v>7</v>
      </c>
    </row>
    <row r="134" spans="1:3" x14ac:dyDescent="0.3">
      <c r="A134" s="31">
        <v>2</v>
      </c>
      <c r="B134" s="14" t="s">
        <v>3</v>
      </c>
      <c r="C134" s="50">
        <v>7.5</v>
      </c>
    </row>
    <row r="135" spans="1:3" x14ac:dyDescent="0.3">
      <c r="A135" s="31">
        <v>3</v>
      </c>
      <c r="B135" s="12" t="s">
        <v>4</v>
      </c>
      <c r="C135" s="50">
        <v>7</v>
      </c>
    </row>
    <row r="136" spans="1:3" x14ac:dyDescent="0.3">
      <c r="A136" s="31">
        <v>4</v>
      </c>
      <c r="B136" s="14" t="s">
        <v>5</v>
      </c>
      <c r="C136" s="50">
        <v>7.5</v>
      </c>
    </row>
    <row r="137" spans="1:3" x14ac:dyDescent="0.3">
      <c r="A137" s="31">
        <v>5</v>
      </c>
      <c r="B137" s="20" t="s">
        <v>6</v>
      </c>
      <c r="C137" s="50">
        <v>7.5</v>
      </c>
    </row>
    <row r="138" spans="1:3" x14ac:dyDescent="0.3">
      <c r="A138" s="31">
        <v>6</v>
      </c>
      <c r="B138" s="6" t="s">
        <v>7</v>
      </c>
      <c r="C138" s="50">
        <v>7.5</v>
      </c>
    </row>
    <row r="139" spans="1:3" x14ac:dyDescent="0.3">
      <c r="A139" s="31">
        <v>7</v>
      </c>
      <c r="B139" s="21" t="s">
        <v>8</v>
      </c>
      <c r="C139" s="50">
        <v>7</v>
      </c>
    </row>
    <row r="140" spans="1:3" x14ac:dyDescent="0.3">
      <c r="A140" s="31">
        <v>8</v>
      </c>
      <c r="B140" s="6" t="s">
        <v>9</v>
      </c>
      <c r="C140" s="50">
        <v>7</v>
      </c>
    </row>
    <row r="141" spans="1:3" x14ac:dyDescent="0.3">
      <c r="A141" s="31">
        <v>9</v>
      </c>
      <c r="B141" s="21" t="s">
        <v>10</v>
      </c>
      <c r="C141" s="50">
        <v>7</v>
      </c>
    </row>
    <row r="142" spans="1:3" x14ac:dyDescent="0.3">
      <c r="A142" s="31">
        <v>10</v>
      </c>
      <c r="B142" s="9" t="s">
        <v>11</v>
      </c>
      <c r="C142" s="50">
        <v>7</v>
      </c>
    </row>
    <row r="143" spans="1:3" x14ac:dyDescent="0.3">
      <c r="A143" s="31">
        <v>11</v>
      </c>
      <c r="B143" s="20" t="s">
        <v>12</v>
      </c>
      <c r="C143" s="50">
        <v>7</v>
      </c>
    </row>
    <row r="144" spans="1:3" x14ac:dyDescent="0.3">
      <c r="A144" s="31">
        <v>12</v>
      </c>
      <c r="B144" s="14" t="s">
        <v>13</v>
      </c>
      <c r="C144" s="50">
        <v>7</v>
      </c>
    </row>
    <row r="145" spans="1:3" x14ac:dyDescent="0.3">
      <c r="A145" s="31">
        <v>13</v>
      </c>
      <c r="B145" s="6" t="s">
        <v>14</v>
      </c>
      <c r="C145" s="50">
        <v>7</v>
      </c>
    </row>
    <row r="146" spans="1:3" x14ac:dyDescent="0.3">
      <c r="A146" s="31">
        <v>14</v>
      </c>
      <c r="B146" s="12" t="s">
        <v>15</v>
      </c>
      <c r="C146" s="50">
        <v>7</v>
      </c>
    </row>
    <row r="147" spans="1:3" x14ac:dyDescent="0.3">
      <c r="A147" s="31">
        <v>15</v>
      </c>
      <c r="B147" s="6" t="s">
        <v>16</v>
      </c>
      <c r="C147" s="50">
        <v>7</v>
      </c>
    </row>
    <row r="148" spans="1:3" x14ac:dyDescent="0.3">
      <c r="A148" s="31">
        <v>16</v>
      </c>
      <c r="B148" s="21" t="s">
        <v>17</v>
      </c>
      <c r="C148" s="50">
        <v>7</v>
      </c>
    </row>
    <row r="149" spans="1:3" x14ac:dyDescent="0.3">
      <c r="A149" s="31">
        <v>17</v>
      </c>
      <c r="B149" s="9" t="s">
        <v>18</v>
      </c>
      <c r="C149" s="50">
        <v>7.5</v>
      </c>
    </row>
    <row r="150" spans="1:3" x14ac:dyDescent="0.3">
      <c r="A150" s="31">
        <v>18</v>
      </c>
      <c r="B150" s="14" t="s">
        <v>19</v>
      </c>
      <c r="C150" s="50">
        <v>7.5</v>
      </c>
    </row>
    <row r="151" spans="1:3" x14ac:dyDescent="0.3">
      <c r="A151" s="31">
        <v>19</v>
      </c>
      <c r="B151" s="12" t="s">
        <v>20</v>
      </c>
      <c r="C151" s="50">
        <v>7</v>
      </c>
    </row>
    <row r="152" spans="1:3" x14ac:dyDescent="0.3">
      <c r="A152" s="31">
        <v>20</v>
      </c>
      <c r="B152" s="20" t="s">
        <v>21</v>
      </c>
      <c r="C152" s="50">
        <v>7</v>
      </c>
    </row>
    <row r="153" spans="1:3" x14ac:dyDescent="0.3">
      <c r="A153" s="31">
        <v>21</v>
      </c>
      <c r="B153" s="12" t="s">
        <v>22</v>
      </c>
      <c r="C153" s="50">
        <v>6.5</v>
      </c>
    </row>
    <row r="154" spans="1:3" x14ac:dyDescent="0.3">
      <c r="A154" s="31">
        <v>22</v>
      </c>
      <c r="B154" s="20" t="s">
        <v>23</v>
      </c>
      <c r="C154" s="50">
        <v>6.5</v>
      </c>
    </row>
    <row r="155" spans="1:3" x14ac:dyDescent="0.3">
      <c r="A155" s="31">
        <v>23</v>
      </c>
      <c r="B155" s="9" t="s">
        <v>24</v>
      </c>
      <c r="C155" s="50">
        <v>6.5</v>
      </c>
    </row>
    <row r="156" spans="1:3" ht="14.5" thickBot="1" x14ac:dyDescent="0.35">
      <c r="A156" s="32">
        <v>24</v>
      </c>
      <c r="B156" s="33" t="s">
        <v>25</v>
      </c>
      <c r="C156" s="55">
        <v>6.5</v>
      </c>
    </row>
    <row r="159" spans="1:3" ht="14.5" thickBot="1" x14ac:dyDescent="0.35">
      <c r="A159" s="1" t="s">
        <v>36</v>
      </c>
      <c r="B159" s="18">
        <v>45287</v>
      </c>
    </row>
    <row r="160" spans="1:3" x14ac:dyDescent="0.3">
      <c r="A160" s="22" t="s">
        <v>27</v>
      </c>
      <c r="B160" s="30" t="s">
        <v>26</v>
      </c>
      <c r="C160" s="23" t="s">
        <v>28</v>
      </c>
    </row>
    <row r="161" spans="1:3" x14ac:dyDescent="0.3">
      <c r="A161" s="31">
        <v>1</v>
      </c>
      <c r="B161" s="9" t="s">
        <v>2</v>
      </c>
      <c r="C161" s="50">
        <v>6.5</v>
      </c>
    </row>
    <row r="162" spans="1:3" x14ac:dyDescent="0.3">
      <c r="A162" s="31">
        <v>2</v>
      </c>
      <c r="B162" s="14" t="s">
        <v>3</v>
      </c>
      <c r="C162" s="50">
        <v>6.5</v>
      </c>
    </row>
    <row r="163" spans="1:3" x14ac:dyDescent="0.3">
      <c r="A163" s="31">
        <v>3</v>
      </c>
      <c r="B163" s="12" t="s">
        <v>4</v>
      </c>
      <c r="C163" s="50">
        <v>7</v>
      </c>
    </row>
    <row r="164" spans="1:3" x14ac:dyDescent="0.3">
      <c r="A164" s="31">
        <v>4</v>
      </c>
      <c r="B164" s="14" t="s">
        <v>5</v>
      </c>
      <c r="C164" s="50">
        <v>7</v>
      </c>
    </row>
    <row r="165" spans="1:3" x14ac:dyDescent="0.3">
      <c r="A165" s="31">
        <v>5</v>
      </c>
      <c r="B165" s="20" t="s">
        <v>6</v>
      </c>
      <c r="C165" s="50">
        <v>6.5</v>
      </c>
    </row>
    <row r="166" spans="1:3" x14ac:dyDescent="0.3">
      <c r="A166" s="31">
        <v>6</v>
      </c>
      <c r="B166" s="6" t="s">
        <v>7</v>
      </c>
      <c r="C166" s="50">
        <v>6.5</v>
      </c>
    </row>
    <row r="167" spans="1:3" x14ac:dyDescent="0.3">
      <c r="A167" s="31">
        <v>7</v>
      </c>
      <c r="B167" s="21" t="s">
        <v>8</v>
      </c>
      <c r="C167" s="50">
        <v>6.5</v>
      </c>
    </row>
    <row r="168" spans="1:3" x14ac:dyDescent="0.3">
      <c r="A168" s="31">
        <v>8</v>
      </c>
      <c r="B168" s="6" t="s">
        <v>9</v>
      </c>
      <c r="C168" s="50">
        <v>7</v>
      </c>
    </row>
    <row r="169" spans="1:3" x14ac:dyDescent="0.3">
      <c r="A169" s="31">
        <v>9</v>
      </c>
      <c r="B169" s="21" t="s">
        <v>10</v>
      </c>
      <c r="C169" s="50">
        <v>7</v>
      </c>
    </row>
    <row r="170" spans="1:3" x14ac:dyDescent="0.3">
      <c r="A170" s="31">
        <v>10</v>
      </c>
      <c r="B170" s="9" t="s">
        <v>11</v>
      </c>
      <c r="C170" s="50">
        <v>7</v>
      </c>
    </row>
    <row r="171" spans="1:3" x14ac:dyDescent="0.3">
      <c r="A171" s="31">
        <v>11</v>
      </c>
      <c r="B171" s="20" t="s">
        <v>12</v>
      </c>
      <c r="C171" s="50">
        <v>6.5</v>
      </c>
    </row>
    <row r="172" spans="1:3" x14ac:dyDescent="0.3">
      <c r="A172" s="31">
        <v>12</v>
      </c>
      <c r="B172" s="14" t="s">
        <v>13</v>
      </c>
      <c r="C172" s="50">
        <v>6.5</v>
      </c>
    </row>
    <row r="173" spans="1:3" x14ac:dyDescent="0.3">
      <c r="A173" s="31">
        <v>13</v>
      </c>
      <c r="B173" s="6" t="s">
        <v>14</v>
      </c>
      <c r="C173" s="50">
        <v>7</v>
      </c>
    </row>
    <row r="174" spans="1:3" x14ac:dyDescent="0.3">
      <c r="A174" s="31">
        <v>14</v>
      </c>
      <c r="B174" s="12" t="s">
        <v>15</v>
      </c>
      <c r="C174" s="50">
        <v>7</v>
      </c>
    </row>
    <row r="175" spans="1:3" x14ac:dyDescent="0.3">
      <c r="A175" s="31">
        <v>15</v>
      </c>
      <c r="B175" s="6" t="s">
        <v>16</v>
      </c>
      <c r="C175" s="50">
        <v>6.5</v>
      </c>
    </row>
    <row r="176" spans="1:3" x14ac:dyDescent="0.3">
      <c r="A176" s="31">
        <v>16</v>
      </c>
      <c r="B176" s="21" t="s">
        <v>17</v>
      </c>
      <c r="C176" s="50">
        <v>6</v>
      </c>
    </row>
    <row r="177" spans="1:3" x14ac:dyDescent="0.3">
      <c r="A177" s="31">
        <v>17</v>
      </c>
      <c r="B177" s="9" t="s">
        <v>18</v>
      </c>
      <c r="C177" s="50">
        <v>7</v>
      </c>
    </row>
    <row r="178" spans="1:3" x14ac:dyDescent="0.3">
      <c r="A178" s="31">
        <v>18</v>
      </c>
      <c r="B178" s="14" t="s">
        <v>19</v>
      </c>
      <c r="C178" s="50">
        <v>6.5</v>
      </c>
    </row>
    <row r="179" spans="1:3" x14ac:dyDescent="0.3">
      <c r="A179" s="31">
        <v>19</v>
      </c>
      <c r="B179" s="12" t="s">
        <v>20</v>
      </c>
      <c r="C179" s="50">
        <v>6.5</v>
      </c>
    </row>
    <row r="180" spans="1:3" x14ac:dyDescent="0.3">
      <c r="A180" s="31">
        <v>20</v>
      </c>
      <c r="B180" s="20" t="s">
        <v>21</v>
      </c>
      <c r="C180" s="50">
        <v>6.5</v>
      </c>
    </row>
    <row r="181" spans="1:3" x14ac:dyDescent="0.3">
      <c r="A181" s="31">
        <v>21</v>
      </c>
      <c r="B181" s="12" t="s">
        <v>22</v>
      </c>
      <c r="C181" s="50">
        <v>7</v>
      </c>
    </row>
    <row r="182" spans="1:3" x14ac:dyDescent="0.3">
      <c r="A182" s="31">
        <v>22</v>
      </c>
      <c r="B182" s="20" t="s">
        <v>23</v>
      </c>
      <c r="C182" s="50">
        <v>6.5</v>
      </c>
    </row>
    <row r="183" spans="1:3" x14ac:dyDescent="0.3">
      <c r="A183" s="31">
        <v>23</v>
      </c>
      <c r="B183" s="9" t="s">
        <v>24</v>
      </c>
      <c r="C183" s="50">
        <v>6.5</v>
      </c>
    </row>
    <row r="184" spans="1:3" ht="14.5" thickBot="1" x14ac:dyDescent="0.35">
      <c r="A184" s="32">
        <v>24</v>
      </c>
      <c r="B184" s="33" t="s">
        <v>25</v>
      </c>
      <c r="C184" s="55">
        <v>6</v>
      </c>
    </row>
    <row r="186" spans="1:3" x14ac:dyDescent="0.3">
      <c r="A186" s="57">
        <v>45299</v>
      </c>
      <c r="B186" t="s">
        <v>61</v>
      </c>
    </row>
    <row r="187" spans="1:3" ht="14.5" thickBot="1" x14ac:dyDescent="0.35">
      <c r="A187" s="1" t="s">
        <v>36</v>
      </c>
      <c r="B187" s="18">
        <v>45313</v>
      </c>
    </row>
    <row r="188" spans="1:3" x14ac:dyDescent="0.3">
      <c r="A188" s="22" t="s">
        <v>27</v>
      </c>
      <c r="B188" s="30" t="s">
        <v>26</v>
      </c>
      <c r="C188" s="23" t="s">
        <v>28</v>
      </c>
    </row>
    <row r="189" spans="1:3" x14ac:dyDescent="0.3">
      <c r="A189" s="31">
        <v>1</v>
      </c>
      <c r="B189" s="9" t="s">
        <v>2</v>
      </c>
      <c r="C189" s="50">
        <v>6.5</v>
      </c>
    </row>
    <row r="190" spans="1:3" x14ac:dyDescent="0.3">
      <c r="A190" s="31">
        <v>2</v>
      </c>
      <c r="B190" s="14" t="s">
        <v>3</v>
      </c>
      <c r="C190" s="50">
        <v>6.5</v>
      </c>
    </row>
    <row r="191" spans="1:3" x14ac:dyDescent="0.3">
      <c r="A191" s="31">
        <v>3</v>
      </c>
      <c r="B191" s="12" t="s">
        <v>4</v>
      </c>
      <c r="C191" s="50">
        <v>7</v>
      </c>
    </row>
    <row r="192" spans="1:3" x14ac:dyDescent="0.3">
      <c r="A192" s="31">
        <v>4</v>
      </c>
      <c r="B192" s="14" t="s">
        <v>5</v>
      </c>
      <c r="C192" s="50">
        <v>7</v>
      </c>
    </row>
    <row r="193" spans="1:3" x14ac:dyDescent="0.3">
      <c r="A193" s="31">
        <v>5</v>
      </c>
      <c r="B193" s="20" t="s">
        <v>6</v>
      </c>
      <c r="C193" s="50">
        <v>6.5</v>
      </c>
    </row>
    <row r="194" spans="1:3" x14ac:dyDescent="0.3">
      <c r="A194" s="31">
        <v>6</v>
      </c>
      <c r="B194" s="6" t="s">
        <v>7</v>
      </c>
      <c r="C194" s="50">
        <v>6.5</v>
      </c>
    </row>
    <row r="195" spans="1:3" x14ac:dyDescent="0.3">
      <c r="A195" s="31">
        <v>7</v>
      </c>
      <c r="B195" s="21" t="s">
        <v>8</v>
      </c>
      <c r="C195" s="50">
        <v>6.5</v>
      </c>
    </row>
    <row r="196" spans="1:3" x14ac:dyDescent="0.3">
      <c r="A196" s="31">
        <v>8</v>
      </c>
      <c r="B196" s="6" t="s">
        <v>9</v>
      </c>
      <c r="C196" s="50">
        <v>7</v>
      </c>
    </row>
    <row r="197" spans="1:3" x14ac:dyDescent="0.3">
      <c r="A197" s="31">
        <v>9</v>
      </c>
      <c r="B197" s="21" t="s">
        <v>10</v>
      </c>
      <c r="C197" s="50">
        <v>6.5</v>
      </c>
    </row>
    <row r="198" spans="1:3" x14ac:dyDescent="0.3">
      <c r="A198" s="31">
        <v>10</v>
      </c>
      <c r="B198" s="9" t="s">
        <v>11</v>
      </c>
      <c r="C198" s="50">
        <v>7.5</v>
      </c>
    </row>
    <row r="199" spans="1:3" x14ac:dyDescent="0.3">
      <c r="A199" s="31">
        <v>11</v>
      </c>
      <c r="B199" s="20" t="s">
        <v>12</v>
      </c>
      <c r="C199" s="50">
        <v>6.5</v>
      </c>
    </row>
    <row r="200" spans="1:3" x14ac:dyDescent="0.3">
      <c r="A200" s="31">
        <v>12</v>
      </c>
      <c r="B200" s="14" t="s">
        <v>13</v>
      </c>
      <c r="C200" s="50">
        <v>6.5</v>
      </c>
    </row>
    <row r="201" spans="1:3" x14ac:dyDescent="0.3">
      <c r="A201" s="31">
        <v>13</v>
      </c>
      <c r="B201" s="6" t="s">
        <v>14</v>
      </c>
      <c r="C201" s="50">
        <v>7</v>
      </c>
    </row>
    <row r="202" spans="1:3" x14ac:dyDescent="0.3">
      <c r="A202" s="31">
        <v>14</v>
      </c>
      <c r="B202" s="12" t="s">
        <v>15</v>
      </c>
      <c r="C202" s="50">
        <v>6.5</v>
      </c>
    </row>
    <row r="203" spans="1:3" x14ac:dyDescent="0.3">
      <c r="A203" s="31">
        <v>15</v>
      </c>
      <c r="B203" s="6" t="s">
        <v>16</v>
      </c>
      <c r="C203" s="50">
        <v>6.5</v>
      </c>
    </row>
    <row r="204" spans="1:3" x14ac:dyDescent="0.3">
      <c r="A204" s="31">
        <v>16</v>
      </c>
      <c r="B204" s="21" t="s">
        <v>17</v>
      </c>
      <c r="C204" s="50">
        <v>6</v>
      </c>
    </row>
    <row r="205" spans="1:3" x14ac:dyDescent="0.3">
      <c r="A205" s="31">
        <v>17</v>
      </c>
      <c r="B205" s="9" t="s">
        <v>18</v>
      </c>
      <c r="C205" s="50">
        <v>7</v>
      </c>
    </row>
    <row r="206" spans="1:3" x14ac:dyDescent="0.3">
      <c r="A206" s="31">
        <v>18</v>
      </c>
      <c r="B206" s="14" t="s">
        <v>19</v>
      </c>
      <c r="C206" s="50">
        <v>6.5</v>
      </c>
    </row>
    <row r="207" spans="1:3" x14ac:dyDescent="0.3">
      <c r="A207" s="31">
        <v>19</v>
      </c>
      <c r="B207" s="12" t="s">
        <v>20</v>
      </c>
      <c r="C207" s="50">
        <v>6</v>
      </c>
    </row>
    <row r="208" spans="1:3" x14ac:dyDescent="0.3">
      <c r="A208" s="31">
        <v>20</v>
      </c>
      <c r="B208" s="20" t="s">
        <v>21</v>
      </c>
      <c r="C208" s="50">
        <v>6.5</v>
      </c>
    </row>
    <row r="209" spans="1:3" x14ac:dyDescent="0.3">
      <c r="A209" s="31">
        <v>21</v>
      </c>
      <c r="B209" s="12" t="s">
        <v>22</v>
      </c>
      <c r="C209" s="50">
        <v>6</v>
      </c>
    </row>
    <row r="210" spans="1:3" x14ac:dyDescent="0.3">
      <c r="A210" s="31">
        <v>22</v>
      </c>
      <c r="B210" s="20" t="s">
        <v>23</v>
      </c>
      <c r="C210" s="50">
        <v>6.5</v>
      </c>
    </row>
    <row r="211" spans="1:3" x14ac:dyDescent="0.3">
      <c r="A211" s="31">
        <v>23</v>
      </c>
      <c r="B211" s="9" t="s">
        <v>24</v>
      </c>
      <c r="C211" s="50">
        <v>6.5</v>
      </c>
    </row>
    <row r="212" spans="1:3" ht="14.5" thickBot="1" x14ac:dyDescent="0.35">
      <c r="A212" s="32">
        <v>24</v>
      </c>
      <c r="B212" s="33" t="s">
        <v>25</v>
      </c>
      <c r="C212" s="55">
        <v>6.5</v>
      </c>
    </row>
    <row r="215" spans="1:3" ht="14.5" thickBot="1" x14ac:dyDescent="0.35">
      <c r="A215" s="1" t="s">
        <v>36</v>
      </c>
      <c r="B215" s="18">
        <v>45327</v>
      </c>
    </row>
    <row r="216" spans="1:3" x14ac:dyDescent="0.3">
      <c r="A216" s="22" t="s">
        <v>27</v>
      </c>
      <c r="B216" s="30" t="s">
        <v>26</v>
      </c>
      <c r="C216" s="23" t="s">
        <v>28</v>
      </c>
    </row>
    <row r="217" spans="1:3" x14ac:dyDescent="0.3">
      <c r="A217" s="31">
        <v>1</v>
      </c>
      <c r="B217" s="9" t="s">
        <v>2</v>
      </c>
      <c r="C217" s="50">
        <v>6</v>
      </c>
    </row>
    <row r="218" spans="1:3" x14ac:dyDescent="0.3">
      <c r="A218" s="31">
        <v>2</v>
      </c>
      <c r="B218" s="14" t="s">
        <v>3</v>
      </c>
      <c r="C218" s="50">
        <v>6</v>
      </c>
    </row>
    <row r="219" spans="1:3" x14ac:dyDescent="0.3">
      <c r="A219" s="31">
        <v>3</v>
      </c>
      <c r="B219" s="12" t="s">
        <v>4</v>
      </c>
      <c r="C219" s="50">
        <v>6.5</v>
      </c>
    </row>
    <row r="220" spans="1:3" x14ac:dyDescent="0.3">
      <c r="A220" s="31">
        <v>4</v>
      </c>
      <c r="B220" s="14" t="s">
        <v>5</v>
      </c>
      <c r="C220" s="50">
        <v>6</v>
      </c>
    </row>
    <row r="221" spans="1:3" x14ac:dyDescent="0.3">
      <c r="A221" s="31">
        <v>5</v>
      </c>
      <c r="B221" s="20" t="s">
        <v>6</v>
      </c>
      <c r="C221" s="50">
        <v>6</v>
      </c>
    </row>
    <row r="222" spans="1:3" x14ac:dyDescent="0.3">
      <c r="A222" s="31">
        <v>6</v>
      </c>
      <c r="B222" s="6" t="s">
        <v>7</v>
      </c>
      <c r="C222" s="50">
        <v>6</v>
      </c>
    </row>
    <row r="223" spans="1:3" x14ac:dyDescent="0.3">
      <c r="A223" s="31">
        <v>7</v>
      </c>
      <c r="B223" s="21" t="s">
        <v>8</v>
      </c>
      <c r="C223" s="50">
        <v>6</v>
      </c>
    </row>
    <row r="224" spans="1:3" x14ac:dyDescent="0.3">
      <c r="A224" s="31">
        <v>8</v>
      </c>
      <c r="B224" s="6" t="s">
        <v>9</v>
      </c>
      <c r="C224" s="50">
        <v>6.5</v>
      </c>
    </row>
    <row r="225" spans="1:3" x14ac:dyDescent="0.3">
      <c r="A225" s="31">
        <v>9</v>
      </c>
      <c r="B225" s="21" t="s">
        <v>10</v>
      </c>
      <c r="C225" s="50">
        <v>6</v>
      </c>
    </row>
    <row r="226" spans="1:3" x14ac:dyDescent="0.3">
      <c r="A226" s="31">
        <v>10</v>
      </c>
      <c r="B226" s="9" t="s">
        <v>11</v>
      </c>
      <c r="C226" s="50">
        <v>6</v>
      </c>
    </row>
    <row r="227" spans="1:3" x14ac:dyDescent="0.3">
      <c r="A227" s="31">
        <v>11</v>
      </c>
      <c r="B227" s="20" t="s">
        <v>12</v>
      </c>
      <c r="C227" s="50">
        <v>6.5</v>
      </c>
    </row>
    <row r="228" spans="1:3" x14ac:dyDescent="0.3">
      <c r="A228" s="31">
        <v>12</v>
      </c>
      <c r="B228" s="14" t="s">
        <v>13</v>
      </c>
      <c r="C228" s="50">
        <v>6</v>
      </c>
    </row>
    <row r="229" spans="1:3" x14ac:dyDescent="0.3">
      <c r="A229" s="31">
        <v>13</v>
      </c>
      <c r="B229" s="6" t="s">
        <v>14</v>
      </c>
      <c r="C229" s="50">
        <v>6.5</v>
      </c>
    </row>
    <row r="230" spans="1:3" x14ac:dyDescent="0.3">
      <c r="A230" s="31">
        <v>14</v>
      </c>
      <c r="B230" s="12" t="s">
        <v>15</v>
      </c>
      <c r="C230" s="50">
        <v>6.5</v>
      </c>
    </row>
    <row r="231" spans="1:3" x14ac:dyDescent="0.3">
      <c r="A231" s="31">
        <v>15</v>
      </c>
      <c r="B231" s="6" t="s">
        <v>16</v>
      </c>
      <c r="C231" s="50">
        <v>6</v>
      </c>
    </row>
    <row r="232" spans="1:3" x14ac:dyDescent="0.3">
      <c r="A232" s="31">
        <v>16</v>
      </c>
      <c r="B232" s="21" t="s">
        <v>17</v>
      </c>
      <c r="C232" s="50">
        <v>5.5</v>
      </c>
    </row>
    <row r="233" spans="1:3" x14ac:dyDescent="0.3">
      <c r="A233" s="31">
        <v>17</v>
      </c>
      <c r="B233" s="9" t="s">
        <v>18</v>
      </c>
      <c r="C233" s="50">
        <v>6.5</v>
      </c>
    </row>
    <row r="234" spans="1:3" x14ac:dyDescent="0.3">
      <c r="A234" s="31">
        <v>18</v>
      </c>
      <c r="B234" s="14" t="s">
        <v>19</v>
      </c>
      <c r="C234" s="50">
        <v>6.5</v>
      </c>
    </row>
    <row r="235" spans="1:3" x14ac:dyDescent="0.3">
      <c r="A235" s="31">
        <v>19</v>
      </c>
      <c r="B235" s="12" t="s">
        <v>20</v>
      </c>
      <c r="C235" s="50">
        <v>5</v>
      </c>
    </row>
    <row r="236" spans="1:3" x14ac:dyDescent="0.3">
      <c r="A236" s="31">
        <v>20</v>
      </c>
      <c r="B236" s="20" t="s">
        <v>21</v>
      </c>
      <c r="C236" s="50">
        <v>6</v>
      </c>
    </row>
    <row r="237" spans="1:3" x14ac:dyDescent="0.3">
      <c r="A237" s="31">
        <v>21</v>
      </c>
      <c r="B237" s="12" t="s">
        <v>22</v>
      </c>
      <c r="C237" s="50">
        <v>5.5</v>
      </c>
    </row>
    <row r="238" spans="1:3" x14ac:dyDescent="0.3">
      <c r="A238" s="31">
        <v>22</v>
      </c>
      <c r="B238" s="20" t="s">
        <v>23</v>
      </c>
      <c r="C238" s="50">
        <v>5.5</v>
      </c>
    </row>
    <row r="239" spans="1:3" x14ac:dyDescent="0.3">
      <c r="A239" s="31">
        <v>23</v>
      </c>
      <c r="B239" s="9" t="s">
        <v>24</v>
      </c>
      <c r="C239" s="50">
        <v>6.5</v>
      </c>
    </row>
    <row r="240" spans="1:3" ht="14.5" thickBot="1" x14ac:dyDescent="0.35">
      <c r="A240" s="32">
        <v>24</v>
      </c>
      <c r="B240" s="33" t="s">
        <v>25</v>
      </c>
      <c r="C240" s="55">
        <v>6</v>
      </c>
    </row>
    <row r="243" spans="1:3" ht="14.5" thickBot="1" x14ac:dyDescent="0.35">
      <c r="A243" s="1" t="s">
        <v>36</v>
      </c>
      <c r="B243" s="18">
        <v>45341</v>
      </c>
    </row>
    <row r="244" spans="1:3" x14ac:dyDescent="0.3">
      <c r="A244" s="22" t="s">
        <v>27</v>
      </c>
      <c r="B244" s="30" t="s">
        <v>26</v>
      </c>
      <c r="C244" s="23" t="s">
        <v>28</v>
      </c>
    </row>
    <row r="245" spans="1:3" x14ac:dyDescent="0.3">
      <c r="A245" s="31">
        <v>1</v>
      </c>
      <c r="B245" s="9" t="s">
        <v>2</v>
      </c>
      <c r="C245" s="50">
        <v>6</v>
      </c>
    </row>
    <row r="246" spans="1:3" x14ac:dyDescent="0.3">
      <c r="A246" s="31">
        <v>2</v>
      </c>
      <c r="B246" s="14" t="s">
        <v>3</v>
      </c>
      <c r="C246" s="50">
        <v>6</v>
      </c>
    </row>
    <row r="247" spans="1:3" x14ac:dyDescent="0.3">
      <c r="A247" s="31">
        <v>3</v>
      </c>
      <c r="B247" s="12" t="s">
        <v>4</v>
      </c>
      <c r="C247" s="50">
        <v>6</v>
      </c>
    </row>
    <row r="248" spans="1:3" x14ac:dyDescent="0.3">
      <c r="A248" s="31">
        <v>4</v>
      </c>
      <c r="B248" s="14" t="s">
        <v>5</v>
      </c>
      <c r="C248" s="50">
        <v>5.5</v>
      </c>
    </row>
    <row r="249" spans="1:3" x14ac:dyDescent="0.3">
      <c r="A249" s="31">
        <v>5</v>
      </c>
      <c r="B249" s="20" t="s">
        <v>6</v>
      </c>
      <c r="C249" s="50">
        <v>5.5</v>
      </c>
    </row>
    <row r="250" spans="1:3" x14ac:dyDescent="0.3">
      <c r="A250" s="31">
        <v>6</v>
      </c>
      <c r="B250" s="6" t="s">
        <v>7</v>
      </c>
      <c r="C250" s="50">
        <v>6</v>
      </c>
    </row>
    <row r="251" spans="1:3" x14ac:dyDescent="0.3">
      <c r="A251" s="31">
        <v>7</v>
      </c>
      <c r="B251" s="21" t="s">
        <v>8</v>
      </c>
      <c r="C251" s="50">
        <v>5.5</v>
      </c>
    </row>
    <row r="252" spans="1:3" x14ac:dyDescent="0.3">
      <c r="A252" s="31">
        <v>8</v>
      </c>
      <c r="B252" s="6" t="s">
        <v>9</v>
      </c>
      <c r="C252" s="50">
        <v>5.5</v>
      </c>
    </row>
    <row r="253" spans="1:3" x14ac:dyDescent="0.3">
      <c r="A253" s="31">
        <v>9</v>
      </c>
      <c r="B253" s="21" t="s">
        <v>10</v>
      </c>
      <c r="C253" s="50">
        <v>5.5</v>
      </c>
    </row>
    <row r="254" spans="1:3" x14ac:dyDescent="0.3">
      <c r="A254" s="31">
        <v>10</v>
      </c>
      <c r="B254" s="9" t="s">
        <v>11</v>
      </c>
      <c r="C254" s="50">
        <v>6</v>
      </c>
    </row>
    <row r="255" spans="1:3" x14ac:dyDescent="0.3">
      <c r="A255" s="31">
        <v>11</v>
      </c>
      <c r="B255" s="20" t="s">
        <v>12</v>
      </c>
      <c r="C255" s="50">
        <v>6</v>
      </c>
    </row>
    <row r="256" spans="1:3" x14ac:dyDescent="0.3">
      <c r="A256" s="31">
        <v>12</v>
      </c>
      <c r="B256" s="14" t="s">
        <v>13</v>
      </c>
      <c r="C256" s="50">
        <v>5.5</v>
      </c>
    </row>
    <row r="257" spans="1:3" x14ac:dyDescent="0.3">
      <c r="A257" s="31">
        <v>13</v>
      </c>
      <c r="B257" s="6" t="s">
        <v>14</v>
      </c>
      <c r="C257" s="50">
        <v>6</v>
      </c>
    </row>
    <row r="258" spans="1:3" x14ac:dyDescent="0.3">
      <c r="A258" s="31">
        <v>14</v>
      </c>
      <c r="B258" s="12" t="s">
        <v>15</v>
      </c>
      <c r="C258" s="50">
        <v>6</v>
      </c>
    </row>
    <row r="259" spans="1:3" x14ac:dyDescent="0.3">
      <c r="A259" s="31">
        <v>15</v>
      </c>
      <c r="B259" s="6" t="s">
        <v>16</v>
      </c>
      <c r="C259" s="50">
        <v>6</v>
      </c>
    </row>
    <row r="260" spans="1:3" x14ac:dyDescent="0.3">
      <c r="A260" s="31">
        <v>16</v>
      </c>
      <c r="B260" s="21" t="s">
        <v>17</v>
      </c>
      <c r="C260" s="50">
        <v>6</v>
      </c>
    </row>
    <row r="261" spans="1:3" x14ac:dyDescent="0.3">
      <c r="A261" s="31">
        <v>17</v>
      </c>
      <c r="B261" s="9" t="s">
        <v>18</v>
      </c>
      <c r="C261" s="50">
        <v>6</v>
      </c>
    </row>
    <row r="262" spans="1:3" x14ac:dyDescent="0.3">
      <c r="A262" s="31">
        <v>18</v>
      </c>
      <c r="B262" s="14" t="s">
        <v>19</v>
      </c>
      <c r="C262" s="50">
        <v>6</v>
      </c>
    </row>
    <row r="263" spans="1:3" x14ac:dyDescent="0.3">
      <c r="A263" s="31">
        <v>19</v>
      </c>
      <c r="B263" s="12" t="s">
        <v>20</v>
      </c>
      <c r="C263" s="50">
        <v>5</v>
      </c>
    </row>
    <row r="264" spans="1:3" x14ac:dyDescent="0.3">
      <c r="A264" s="31">
        <v>20</v>
      </c>
      <c r="B264" s="20" t="s">
        <v>21</v>
      </c>
      <c r="C264" s="50">
        <v>5.5</v>
      </c>
    </row>
    <row r="265" spans="1:3" x14ac:dyDescent="0.3">
      <c r="A265" s="31">
        <v>21</v>
      </c>
      <c r="B265" s="12" t="s">
        <v>22</v>
      </c>
      <c r="C265" s="50">
        <v>5.5</v>
      </c>
    </row>
    <row r="266" spans="1:3" x14ac:dyDescent="0.3">
      <c r="A266" s="31">
        <v>22</v>
      </c>
      <c r="B266" s="20" t="s">
        <v>23</v>
      </c>
      <c r="C266" s="50">
        <v>5</v>
      </c>
    </row>
    <row r="267" spans="1:3" x14ac:dyDescent="0.3">
      <c r="A267" s="31">
        <v>23</v>
      </c>
      <c r="B267" s="9" t="s">
        <v>24</v>
      </c>
      <c r="C267" s="50">
        <v>6.5</v>
      </c>
    </row>
    <row r="268" spans="1:3" ht="14.5" thickBot="1" x14ac:dyDescent="0.35">
      <c r="A268" s="32">
        <v>24</v>
      </c>
      <c r="B268" s="33" t="s">
        <v>25</v>
      </c>
      <c r="C268" s="55">
        <v>5.5</v>
      </c>
    </row>
    <row r="271" spans="1:3" ht="14.5" thickBot="1" x14ac:dyDescent="0.35">
      <c r="A271" s="1" t="s">
        <v>36</v>
      </c>
      <c r="B271" s="18">
        <v>45356</v>
      </c>
    </row>
    <row r="272" spans="1:3" x14ac:dyDescent="0.3">
      <c r="A272" s="22" t="s">
        <v>27</v>
      </c>
      <c r="B272" s="30" t="s">
        <v>26</v>
      </c>
      <c r="C272" s="23" t="s">
        <v>28</v>
      </c>
    </row>
    <row r="273" spans="1:3" x14ac:dyDescent="0.3">
      <c r="A273" s="31">
        <v>1</v>
      </c>
      <c r="B273" s="9" t="s">
        <v>2</v>
      </c>
      <c r="C273" s="50">
        <v>6</v>
      </c>
    </row>
    <row r="274" spans="1:3" x14ac:dyDescent="0.3">
      <c r="A274" s="31">
        <v>2</v>
      </c>
      <c r="B274" s="14" t="s">
        <v>3</v>
      </c>
      <c r="C274" s="50">
        <v>5.5</v>
      </c>
    </row>
    <row r="275" spans="1:3" x14ac:dyDescent="0.3">
      <c r="A275" s="31">
        <v>3</v>
      </c>
      <c r="B275" s="12" t="s">
        <v>4</v>
      </c>
      <c r="C275" s="50">
        <v>6</v>
      </c>
    </row>
    <row r="276" spans="1:3" x14ac:dyDescent="0.3">
      <c r="A276" s="31">
        <v>4</v>
      </c>
      <c r="B276" s="14" t="s">
        <v>5</v>
      </c>
      <c r="C276" s="50">
        <v>5.5</v>
      </c>
    </row>
    <row r="277" spans="1:3" x14ac:dyDescent="0.3">
      <c r="A277" s="31">
        <v>5</v>
      </c>
      <c r="B277" s="20" t="s">
        <v>6</v>
      </c>
      <c r="C277" s="50">
        <v>5.5</v>
      </c>
    </row>
    <row r="278" spans="1:3" x14ac:dyDescent="0.3">
      <c r="A278" s="31">
        <v>6</v>
      </c>
      <c r="B278" s="6" t="s">
        <v>7</v>
      </c>
      <c r="C278" s="50">
        <v>6</v>
      </c>
    </row>
    <row r="279" spans="1:3" x14ac:dyDescent="0.3">
      <c r="A279" s="31">
        <v>7</v>
      </c>
      <c r="B279" s="21" t="s">
        <v>8</v>
      </c>
      <c r="C279" s="50">
        <v>6</v>
      </c>
    </row>
    <row r="280" spans="1:3" x14ac:dyDescent="0.3">
      <c r="A280" s="31">
        <v>8</v>
      </c>
      <c r="B280" s="6" t="s">
        <v>9</v>
      </c>
      <c r="C280" s="50">
        <v>5.5</v>
      </c>
    </row>
    <row r="281" spans="1:3" x14ac:dyDescent="0.3">
      <c r="A281" s="31">
        <v>9</v>
      </c>
      <c r="B281" s="21" t="s">
        <v>10</v>
      </c>
      <c r="C281" s="50">
        <v>5.5</v>
      </c>
    </row>
    <row r="282" spans="1:3" x14ac:dyDescent="0.3">
      <c r="A282" s="31">
        <v>10</v>
      </c>
      <c r="B282" s="9" t="s">
        <v>11</v>
      </c>
      <c r="C282" s="50">
        <v>6</v>
      </c>
    </row>
    <row r="283" spans="1:3" x14ac:dyDescent="0.3">
      <c r="A283" s="31">
        <v>11</v>
      </c>
      <c r="B283" s="20" t="s">
        <v>12</v>
      </c>
      <c r="C283" s="50">
        <v>6</v>
      </c>
    </row>
    <row r="284" spans="1:3" x14ac:dyDescent="0.3">
      <c r="A284" s="31">
        <v>12</v>
      </c>
      <c r="B284" s="14" t="s">
        <v>13</v>
      </c>
      <c r="C284" s="50">
        <v>5.5</v>
      </c>
    </row>
    <row r="285" spans="1:3" x14ac:dyDescent="0.3">
      <c r="A285" s="31">
        <v>13</v>
      </c>
      <c r="B285" s="6" t="s">
        <v>14</v>
      </c>
      <c r="C285" s="50">
        <v>5.5</v>
      </c>
    </row>
    <row r="286" spans="1:3" x14ac:dyDescent="0.3">
      <c r="A286" s="31">
        <v>14</v>
      </c>
      <c r="B286" s="12" t="s">
        <v>15</v>
      </c>
      <c r="C286" s="50">
        <v>5.5</v>
      </c>
    </row>
    <row r="287" spans="1:3" x14ac:dyDescent="0.3">
      <c r="A287" s="31">
        <v>15</v>
      </c>
      <c r="B287" s="6" t="s">
        <v>16</v>
      </c>
      <c r="C287" s="50">
        <v>5.5</v>
      </c>
    </row>
    <row r="288" spans="1:3" x14ac:dyDescent="0.3">
      <c r="A288" s="31">
        <v>16</v>
      </c>
      <c r="B288" s="21" t="s">
        <v>17</v>
      </c>
      <c r="C288" s="50">
        <v>5.5</v>
      </c>
    </row>
    <row r="289" spans="1:3" x14ac:dyDescent="0.3">
      <c r="A289" s="31">
        <v>17</v>
      </c>
      <c r="B289" s="9" t="s">
        <v>18</v>
      </c>
      <c r="C289" s="50">
        <v>5.5</v>
      </c>
    </row>
    <row r="290" spans="1:3" x14ac:dyDescent="0.3">
      <c r="A290" s="31">
        <v>18</v>
      </c>
      <c r="B290" s="14" t="s">
        <v>19</v>
      </c>
      <c r="C290" s="50">
        <v>5.5</v>
      </c>
    </row>
    <row r="291" spans="1:3" x14ac:dyDescent="0.3">
      <c r="A291" s="31">
        <v>19</v>
      </c>
      <c r="B291" s="12" t="s">
        <v>20</v>
      </c>
      <c r="C291" s="50">
        <v>5</v>
      </c>
    </row>
    <row r="292" spans="1:3" x14ac:dyDescent="0.3">
      <c r="A292" s="31">
        <v>20</v>
      </c>
      <c r="B292" s="20" t="s">
        <v>21</v>
      </c>
      <c r="C292" s="50">
        <v>6</v>
      </c>
    </row>
    <row r="293" spans="1:3" x14ac:dyDescent="0.3">
      <c r="A293" s="31">
        <v>21</v>
      </c>
      <c r="B293" s="12" t="s">
        <v>22</v>
      </c>
      <c r="C293" s="50">
        <v>5.5</v>
      </c>
    </row>
    <row r="294" spans="1:3" x14ac:dyDescent="0.3">
      <c r="A294" s="31">
        <v>22</v>
      </c>
      <c r="B294" s="20" t="s">
        <v>23</v>
      </c>
      <c r="C294" s="50">
        <v>5.5</v>
      </c>
    </row>
    <row r="295" spans="1:3" x14ac:dyDescent="0.3">
      <c r="A295" s="31">
        <v>23</v>
      </c>
      <c r="B295" s="9" t="s">
        <v>24</v>
      </c>
      <c r="C295" s="50">
        <v>5.5</v>
      </c>
    </row>
    <row r="296" spans="1:3" ht="14.5" thickBot="1" x14ac:dyDescent="0.35">
      <c r="A296" s="32">
        <v>24</v>
      </c>
      <c r="B296" s="33" t="s">
        <v>25</v>
      </c>
      <c r="C296" s="55">
        <v>5.5</v>
      </c>
    </row>
    <row r="299" spans="1:3" ht="14.5" thickBot="1" x14ac:dyDescent="0.35">
      <c r="A299" s="1" t="s">
        <v>36</v>
      </c>
      <c r="B299" s="18">
        <v>45369</v>
      </c>
    </row>
    <row r="300" spans="1:3" x14ac:dyDescent="0.3">
      <c r="A300" s="22" t="s">
        <v>27</v>
      </c>
      <c r="B300" s="30" t="s">
        <v>26</v>
      </c>
      <c r="C300" s="23" t="s">
        <v>28</v>
      </c>
    </row>
    <row r="301" spans="1:3" x14ac:dyDescent="0.3">
      <c r="A301" s="31">
        <v>1</v>
      </c>
      <c r="B301" s="9" t="s">
        <v>2</v>
      </c>
      <c r="C301" s="50">
        <v>5.5</v>
      </c>
    </row>
    <row r="302" spans="1:3" x14ac:dyDescent="0.3">
      <c r="A302" s="31">
        <v>2</v>
      </c>
      <c r="B302" s="14" t="s">
        <v>3</v>
      </c>
      <c r="C302" s="50">
        <v>5.5</v>
      </c>
    </row>
    <row r="303" spans="1:3" x14ac:dyDescent="0.3">
      <c r="A303" s="31">
        <v>3</v>
      </c>
      <c r="B303" s="12" t="s">
        <v>4</v>
      </c>
      <c r="C303" s="50">
        <v>6</v>
      </c>
    </row>
    <row r="304" spans="1:3" x14ac:dyDescent="0.3">
      <c r="A304" s="31">
        <v>4</v>
      </c>
      <c r="B304" s="14" t="s">
        <v>5</v>
      </c>
      <c r="C304" s="50">
        <v>5.5</v>
      </c>
    </row>
    <row r="305" spans="1:3" x14ac:dyDescent="0.3">
      <c r="A305" s="31">
        <v>5</v>
      </c>
      <c r="B305" s="20" t="s">
        <v>6</v>
      </c>
      <c r="C305" s="50">
        <v>5</v>
      </c>
    </row>
    <row r="306" spans="1:3" x14ac:dyDescent="0.3">
      <c r="A306" s="31">
        <v>6</v>
      </c>
      <c r="B306" s="6" t="s">
        <v>7</v>
      </c>
      <c r="C306" s="50">
        <v>5.5</v>
      </c>
    </row>
    <row r="307" spans="1:3" x14ac:dyDescent="0.3">
      <c r="A307" s="31">
        <v>7</v>
      </c>
      <c r="B307" s="21" t="s">
        <v>8</v>
      </c>
      <c r="C307" s="50">
        <v>5.5</v>
      </c>
    </row>
    <row r="308" spans="1:3" x14ac:dyDescent="0.3">
      <c r="A308" s="31">
        <v>8</v>
      </c>
      <c r="B308" s="6" t="s">
        <v>9</v>
      </c>
      <c r="C308" s="50">
        <v>5.5</v>
      </c>
    </row>
    <row r="309" spans="1:3" x14ac:dyDescent="0.3">
      <c r="A309" s="31">
        <v>9</v>
      </c>
      <c r="B309" s="21" t="s">
        <v>10</v>
      </c>
      <c r="C309" s="50">
        <v>5</v>
      </c>
    </row>
    <row r="310" spans="1:3" x14ac:dyDescent="0.3">
      <c r="A310" s="31">
        <v>10</v>
      </c>
      <c r="B310" s="9" t="s">
        <v>11</v>
      </c>
      <c r="C310" s="50">
        <v>5</v>
      </c>
    </row>
    <row r="311" spans="1:3" x14ac:dyDescent="0.3">
      <c r="A311" s="31">
        <v>11</v>
      </c>
      <c r="B311" s="20" t="s">
        <v>12</v>
      </c>
      <c r="C311" s="50">
        <v>6</v>
      </c>
    </row>
    <row r="312" spans="1:3" x14ac:dyDescent="0.3">
      <c r="A312" s="31">
        <v>12</v>
      </c>
      <c r="B312" s="14" t="s">
        <v>13</v>
      </c>
      <c r="C312" s="50">
        <v>5.5</v>
      </c>
    </row>
    <row r="313" spans="1:3" x14ac:dyDescent="0.3">
      <c r="A313" s="31">
        <v>13</v>
      </c>
      <c r="B313" s="6" t="s">
        <v>14</v>
      </c>
      <c r="C313" s="50">
        <v>5.5</v>
      </c>
    </row>
    <row r="314" spans="1:3" x14ac:dyDescent="0.3">
      <c r="A314" s="31">
        <v>14</v>
      </c>
      <c r="B314" s="12" t="s">
        <v>15</v>
      </c>
      <c r="C314" s="50">
        <v>5.5</v>
      </c>
    </row>
    <row r="315" spans="1:3" x14ac:dyDescent="0.3">
      <c r="A315" s="31">
        <v>15</v>
      </c>
      <c r="B315" s="6" t="s">
        <v>16</v>
      </c>
      <c r="C315" s="50">
        <v>5.5</v>
      </c>
    </row>
    <row r="316" spans="1:3" x14ac:dyDescent="0.3">
      <c r="A316" s="31">
        <v>16</v>
      </c>
      <c r="B316" s="21" t="s">
        <v>17</v>
      </c>
      <c r="C316" s="50">
        <v>5.5</v>
      </c>
    </row>
    <row r="317" spans="1:3" x14ac:dyDescent="0.3">
      <c r="A317" s="31">
        <v>17</v>
      </c>
      <c r="B317" s="9" t="s">
        <v>18</v>
      </c>
      <c r="C317" s="50">
        <v>5.5</v>
      </c>
    </row>
    <row r="318" spans="1:3" x14ac:dyDescent="0.3">
      <c r="A318" s="31">
        <v>18</v>
      </c>
      <c r="B318" s="14" t="s">
        <v>19</v>
      </c>
      <c r="C318" s="50">
        <v>5.5</v>
      </c>
    </row>
    <row r="319" spans="1:3" x14ac:dyDescent="0.3">
      <c r="A319" s="31">
        <v>19</v>
      </c>
      <c r="B319" s="12" t="s">
        <v>20</v>
      </c>
      <c r="C319" s="50">
        <v>5.5</v>
      </c>
    </row>
    <row r="320" spans="1:3" x14ac:dyDescent="0.3">
      <c r="A320" s="31">
        <v>20</v>
      </c>
      <c r="B320" s="20" t="s">
        <v>21</v>
      </c>
      <c r="C320" s="50">
        <v>6</v>
      </c>
    </row>
    <row r="321" spans="1:3" x14ac:dyDescent="0.3">
      <c r="A321" s="31">
        <v>21</v>
      </c>
      <c r="B321" s="12" t="s">
        <v>22</v>
      </c>
      <c r="C321" s="50">
        <v>5.5</v>
      </c>
    </row>
    <row r="322" spans="1:3" x14ac:dyDescent="0.3">
      <c r="A322" s="31">
        <v>22</v>
      </c>
      <c r="B322" s="20" t="s">
        <v>23</v>
      </c>
      <c r="C322" s="50">
        <v>5.5</v>
      </c>
    </row>
    <row r="323" spans="1:3" x14ac:dyDescent="0.3">
      <c r="A323" s="31">
        <v>23</v>
      </c>
      <c r="B323" s="9" t="s">
        <v>24</v>
      </c>
      <c r="C323" s="50">
        <v>5.5</v>
      </c>
    </row>
    <row r="324" spans="1:3" ht="14.5" thickBot="1" x14ac:dyDescent="0.35">
      <c r="A324" s="32">
        <v>24</v>
      </c>
      <c r="B324" s="33" t="s">
        <v>25</v>
      </c>
      <c r="C324" s="55">
        <v>5.5</v>
      </c>
    </row>
    <row r="327" spans="1:3" ht="14.5" thickBot="1" x14ac:dyDescent="0.35">
      <c r="A327" s="1" t="s">
        <v>36</v>
      </c>
      <c r="B327" s="18">
        <v>45384</v>
      </c>
    </row>
    <row r="328" spans="1:3" x14ac:dyDescent="0.3">
      <c r="A328" s="22" t="s">
        <v>27</v>
      </c>
      <c r="B328" s="30" t="s">
        <v>26</v>
      </c>
      <c r="C328" s="23" t="s">
        <v>28</v>
      </c>
    </row>
    <row r="329" spans="1:3" x14ac:dyDescent="0.3">
      <c r="A329" s="31">
        <v>1</v>
      </c>
      <c r="B329" s="9" t="s">
        <v>2</v>
      </c>
      <c r="C329" s="50">
        <v>6.5</v>
      </c>
    </row>
    <row r="330" spans="1:3" x14ac:dyDescent="0.3">
      <c r="A330" s="31">
        <v>2</v>
      </c>
      <c r="B330" s="14" t="s">
        <v>3</v>
      </c>
      <c r="C330" s="50">
        <v>6.5</v>
      </c>
    </row>
    <row r="331" spans="1:3" x14ac:dyDescent="0.3">
      <c r="A331" s="31">
        <v>3</v>
      </c>
      <c r="B331" s="12" t="s">
        <v>4</v>
      </c>
      <c r="C331" s="50">
        <v>6</v>
      </c>
    </row>
    <row r="332" spans="1:3" x14ac:dyDescent="0.3">
      <c r="A332" s="31">
        <v>4</v>
      </c>
      <c r="B332" s="14" t="s">
        <v>5</v>
      </c>
      <c r="C332" s="50">
        <v>6.5</v>
      </c>
    </row>
    <row r="333" spans="1:3" x14ac:dyDescent="0.3">
      <c r="A333" s="31">
        <v>5</v>
      </c>
      <c r="B333" s="20" t="s">
        <v>6</v>
      </c>
      <c r="C333" s="50">
        <v>6</v>
      </c>
    </row>
    <row r="334" spans="1:3" x14ac:dyDescent="0.3">
      <c r="A334" s="31">
        <v>6</v>
      </c>
      <c r="B334" s="6" t="s">
        <v>7</v>
      </c>
      <c r="C334" s="50">
        <v>6</v>
      </c>
    </row>
    <row r="335" spans="1:3" x14ac:dyDescent="0.3">
      <c r="A335" s="31">
        <v>7</v>
      </c>
      <c r="B335" s="21" t="s">
        <v>8</v>
      </c>
      <c r="C335" s="50">
        <v>6.5</v>
      </c>
    </row>
    <row r="336" spans="1:3" x14ac:dyDescent="0.3">
      <c r="A336" s="31">
        <v>8</v>
      </c>
      <c r="B336" s="6" t="s">
        <v>9</v>
      </c>
      <c r="C336" s="50">
        <v>6</v>
      </c>
    </row>
    <row r="337" spans="1:3" x14ac:dyDescent="0.3">
      <c r="A337" s="31">
        <v>9</v>
      </c>
      <c r="B337" s="21" t="s">
        <v>10</v>
      </c>
      <c r="C337" s="50">
        <v>6</v>
      </c>
    </row>
    <row r="338" spans="1:3" x14ac:dyDescent="0.3">
      <c r="A338" s="31">
        <v>10</v>
      </c>
      <c r="B338" s="9" t="s">
        <v>11</v>
      </c>
      <c r="C338" s="50">
        <v>6.5</v>
      </c>
    </row>
    <row r="339" spans="1:3" x14ac:dyDescent="0.3">
      <c r="A339" s="31">
        <v>11</v>
      </c>
      <c r="B339" s="20" t="s">
        <v>12</v>
      </c>
      <c r="C339" s="50">
        <v>6.5</v>
      </c>
    </row>
    <row r="340" spans="1:3" x14ac:dyDescent="0.3">
      <c r="A340" s="31">
        <v>12</v>
      </c>
      <c r="B340" s="14" t="s">
        <v>13</v>
      </c>
      <c r="C340" s="50">
        <v>6.5</v>
      </c>
    </row>
    <row r="341" spans="1:3" x14ac:dyDescent="0.3">
      <c r="A341" s="31">
        <v>13</v>
      </c>
      <c r="B341" s="6" t="s">
        <v>14</v>
      </c>
      <c r="C341" s="50">
        <v>6.5</v>
      </c>
    </row>
    <row r="342" spans="1:3" x14ac:dyDescent="0.3">
      <c r="A342" s="31">
        <v>14</v>
      </c>
      <c r="B342" s="12" t="s">
        <v>15</v>
      </c>
      <c r="C342" s="50">
        <v>6.5</v>
      </c>
    </row>
    <row r="343" spans="1:3" x14ac:dyDescent="0.3">
      <c r="A343" s="31">
        <v>15</v>
      </c>
      <c r="B343" s="6" t="s">
        <v>16</v>
      </c>
      <c r="C343" s="50">
        <v>6.5</v>
      </c>
    </row>
    <row r="344" spans="1:3" x14ac:dyDescent="0.3">
      <c r="A344" s="31">
        <v>16</v>
      </c>
      <c r="B344" s="21" t="s">
        <v>17</v>
      </c>
      <c r="C344" s="50">
        <v>6.5</v>
      </c>
    </row>
    <row r="345" spans="1:3" x14ac:dyDescent="0.3">
      <c r="A345" s="31">
        <v>17</v>
      </c>
      <c r="B345" s="9" t="s">
        <v>18</v>
      </c>
      <c r="C345" s="50">
        <v>6.5</v>
      </c>
    </row>
    <row r="346" spans="1:3" x14ac:dyDescent="0.3">
      <c r="A346" s="31">
        <v>18</v>
      </c>
      <c r="B346" s="14" t="s">
        <v>19</v>
      </c>
      <c r="C346" s="50">
        <v>6.5</v>
      </c>
    </row>
    <row r="347" spans="1:3" x14ac:dyDescent="0.3">
      <c r="A347" s="31">
        <v>19</v>
      </c>
      <c r="B347" s="12" t="s">
        <v>20</v>
      </c>
      <c r="C347" s="50">
        <v>6</v>
      </c>
    </row>
    <row r="348" spans="1:3" x14ac:dyDescent="0.3">
      <c r="A348" s="31">
        <v>20</v>
      </c>
      <c r="B348" s="20" t="s">
        <v>21</v>
      </c>
      <c r="C348" s="50">
        <v>6.5</v>
      </c>
    </row>
    <row r="349" spans="1:3" x14ac:dyDescent="0.3">
      <c r="A349" s="31">
        <v>21</v>
      </c>
      <c r="B349" s="12" t="s">
        <v>22</v>
      </c>
      <c r="C349" s="50">
        <v>6</v>
      </c>
    </row>
    <row r="350" spans="1:3" x14ac:dyDescent="0.3">
      <c r="A350" s="31">
        <v>22</v>
      </c>
      <c r="B350" s="20" t="s">
        <v>23</v>
      </c>
      <c r="C350" s="50">
        <v>6.5</v>
      </c>
    </row>
    <row r="351" spans="1:3" x14ac:dyDescent="0.3">
      <c r="A351" s="31">
        <v>23</v>
      </c>
      <c r="B351" s="9" t="s">
        <v>24</v>
      </c>
      <c r="C351" s="50">
        <v>6</v>
      </c>
    </row>
    <row r="352" spans="1:3" ht="14.5" thickBot="1" x14ac:dyDescent="0.35">
      <c r="A352" s="32">
        <v>24</v>
      </c>
      <c r="B352" s="33" t="s">
        <v>25</v>
      </c>
      <c r="C352" s="55">
        <v>6.5</v>
      </c>
    </row>
    <row r="355" spans="1:3" ht="14.5" thickBot="1" x14ac:dyDescent="0.35">
      <c r="A355" s="1" t="s">
        <v>36</v>
      </c>
      <c r="B355" s="18">
        <v>45399</v>
      </c>
    </row>
    <row r="356" spans="1:3" x14ac:dyDescent="0.3">
      <c r="A356" s="22" t="s">
        <v>27</v>
      </c>
      <c r="B356" s="30" t="s">
        <v>26</v>
      </c>
      <c r="C356" s="23" t="s">
        <v>28</v>
      </c>
    </row>
    <row r="357" spans="1:3" x14ac:dyDescent="0.3">
      <c r="A357" s="31">
        <v>1</v>
      </c>
      <c r="B357" s="9" t="s">
        <v>2</v>
      </c>
      <c r="C357" s="50">
        <v>7</v>
      </c>
    </row>
    <row r="358" spans="1:3" x14ac:dyDescent="0.3">
      <c r="A358" s="31">
        <v>2</v>
      </c>
      <c r="B358" s="14" t="s">
        <v>3</v>
      </c>
      <c r="C358" s="50">
        <v>7</v>
      </c>
    </row>
    <row r="359" spans="1:3" x14ac:dyDescent="0.3">
      <c r="A359" s="31">
        <v>3</v>
      </c>
      <c r="B359" s="12" t="s">
        <v>4</v>
      </c>
      <c r="C359" s="50">
        <v>6.5</v>
      </c>
    </row>
    <row r="360" spans="1:3" x14ac:dyDescent="0.3">
      <c r="A360" s="31">
        <v>4</v>
      </c>
      <c r="B360" s="14" t="s">
        <v>5</v>
      </c>
      <c r="C360" s="50">
        <v>7</v>
      </c>
    </row>
    <row r="361" spans="1:3" x14ac:dyDescent="0.3">
      <c r="A361" s="31">
        <v>5</v>
      </c>
      <c r="B361" s="20" t="s">
        <v>6</v>
      </c>
      <c r="C361" s="50">
        <v>6.5</v>
      </c>
    </row>
    <row r="362" spans="1:3" x14ac:dyDescent="0.3">
      <c r="A362" s="31">
        <v>6</v>
      </c>
      <c r="B362" s="6" t="s">
        <v>7</v>
      </c>
      <c r="C362" s="50">
        <v>6.5</v>
      </c>
    </row>
    <row r="363" spans="1:3" x14ac:dyDescent="0.3">
      <c r="A363" s="31">
        <v>7</v>
      </c>
      <c r="B363" s="21" t="s">
        <v>8</v>
      </c>
      <c r="C363" s="50">
        <v>7</v>
      </c>
    </row>
    <row r="364" spans="1:3" x14ac:dyDescent="0.3">
      <c r="A364" s="31">
        <v>8</v>
      </c>
      <c r="B364" s="6" t="s">
        <v>9</v>
      </c>
      <c r="C364" s="50">
        <v>6.5</v>
      </c>
    </row>
    <row r="365" spans="1:3" x14ac:dyDescent="0.3">
      <c r="A365" s="31">
        <v>9</v>
      </c>
      <c r="B365" s="21" t="s">
        <v>10</v>
      </c>
      <c r="C365" s="50">
        <v>6.5</v>
      </c>
    </row>
    <row r="366" spans="1:3" x14ac:dyDescent="0.3">
      <c r="A366" s="31">
        <v>10</v>
      </c>
      <c r="B366" s="9" t="s">
        <v>11</v>
      </c>
      <c r="C366" s="50">
        <v>7</v>
      </c>
    </row>
    <row r="367" spans="1:3" x14ac:dyDescent="0.3">
      <c r="A367" s="31">
        <v>11</v>
      </c>
      <c r="B367" s="20" t="s">
        <v>12</v>
      </c>
      <c r="C367" s="50">
        <v>7</v>
      </c>
    </row>
    <row r="368" spans="1:3" x14ac:dyDescent="0.3">
      <c r="A368" s="31">
        <v>12</v>
      </c>
      <c r="B368" s="14" t="s">
        <v>13</v>
      </c>
      <c r="C368" s="50">
        <v>7</v>
      </c>
    </row>
    <row r="369" spans="1:3" x14ac:dyDescent="0.3">
      <c r="A369" s="31">
        <v>13</v>
      </c>
      <c r="B369" s="6" t="s">
        <v>14</v>
      </c>
      <c r="C369" s="50">
        <v>7</v>
      </c>
    </row>
    <row r="370" spans="1:3" x14ac:dyDescent="0.3">
      <c r="A370" s="31">
        <v>14</v>
      </c>
      <c r="B370" s="12" t="s">
        <v>15</v>
      </c>
      <c r="C370" s="50">
        <v>7</v>
      </c>
    </row>
    <row r="371" spans="1:3" x14ac:dyDescent="0.3">
      <c r="A371" s="31">
        <v>15</v>
      </c>
      <c r="B371" s="6" t="s">
        <v>16</v>
      </c>
      <c r="C371" s="50">
        <v>7</v>
      </c>
    </row>
    <row r="372" spans="1:3" x14ac:dyDescent="0.3">
      <c r="A372" s="31">
        <v>16</v>
      </c>
      <c r="B372" s="21" t="s">
        <v>17</v>
      </c>
      <c r="C372" s="50">
        <v>7</v>
      </c>
    </row>
    <row r="373" spans="1:3" x14ac:dyDescent="0.3">
      <c r="A373" s="31">
        <v>17</v>
      </c>
      <c r="B373" s="9" t="s">
        <v>18</v>
      </c>
      <c r="C373" s="50">
        <v>7</v>
      </c>
    </row>
    <row r="374" spans="1:3" x14ac:dyDescent="0.3">
      <c r="A374" s="31">
        <v>18</v>
      </c>
      <c r="B374" s="14" t="s">
        <v>19</v>
      </c>
      <c r="C374" s="50">
        <v>7</v>
      </c>
    </row>
    <row r="375" spans="1:3" x14ac:dyDescent="0.3">
      <c r="A375" s="31">
        <v>19</v>
      </c>
      <c r="B375" s="12" t="s">
        <v>20</v>
      </c>
      <c r="C375" s="50">
        <v>6.5</v>
      </c>
    </row>
    <row r="376" spans="1:3" x14ac:dyDescent="0.3">
      <c r="A376" s="31">
        <v>20</v>
      </c>
      <c r="B376" s="20" t="s">
        <v>21</v>
      </c>
      <c r="C376" s="50">
        <v>7</v>
      </c>
    </row>
    <row r="377" spans="1:3" x14ac:dyDescent="0.3">
      <c r="A377" s="31">
        <v>21</v>
      </c>
      <c r="B377" s="12" t="s">
        <v>22</v>
      </c>
      <c r="C377" s="50">
        <v>6.5</v>
      </c>
    </row>
    <row r="378" spans="1:3" x14ac:dyDescent="0.3">
      <c r="A378" s="31">
        <v>22</v>
      </c>
      <c r="B378" s="20" t="s">
        <v>23</v>
      </c>
      <c r="C378" s="50">
        <v>7</v>
      </c>
    </row>
    <row r="379" spans="1:3" x14ac:dyDescent="0.3">
      <c r="A379" s="31">
        <v>23</v>
      </c>
      <c r="B379" s="9" t="s">
        <v>24</v>
      </c>
      <c r="C379" s="50">
        <v>6.5</v>
      </c>
    </row>
    <row r="380" spans="1:3" ht="14.5" thickBot="1" x14ac:dyDescent="0.35">
      <c r="A380" s="32">
        <v>24</v>
      </c>
      <c r="B380" s="33" t="s">
        <v>25</v>
      </c>
      <c r="C380" s="55">
        <v>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E7F2-E415-4350-B63E-0D5118604803}">
  <dimension ref="A1:O379"/>
  <sheetViews>
    <sheetView workbookViewId="0">
      <pane xSplit="3" ySplit="16" topLeftCell="D246" activePane="bottomRight" state="frozen"/>
      <selection pane="topRight" activeCell="D1" sqref="D1"/>
      <selection pane="bottomLeft" activeCell="A20" sqref="A20"/>
      <selection pane="bottomRight" activeCell="O3" sqref="O3"/>
    </sheetView>
  </sheetViews>
  <sheetFormatPr baseColWidth="10" defaultColWidth="11.75" defaultRowHeight="14" x14ac:dyDescent="0.3"/>
  <cols>
    <col min="1" max="1" width="12.75" customWidth="1"/>
    <col min="6" max="6" width="18.4140625" customWidth="1"/>
  </cols>
  <sheetData>
    <row r="1" spans="1:15" x14ac:dyDescent="0.3">
      <c r="A1" s="1" t="s">
        <v>38</v>
      </c>
      <c r="F1" s="1"/>
    </row>
    <row r="2" spans="1:15" ht="14.5" thickBot="1" x14ac:dyDescent="0.35">
      <c r="A2" s="1"/>
    </row>
    <row r="3" spans="1:15" ht="14.5" thickBot="1" x14ac:dyDescent="0.35">
      <c r="A3" s="2" t="s">
        <v>0</v>
      </c>
      <c r="B3" s="2" t="s">
        <v>1</v>
      </c>
      <c r="C3" s="1"/>
      <c r="E3" s="22" t="s">
        <v>35</v>
      </c>
      <c r="F3" s="29" t="s">
        <v>29</v>
      </c>
      <c r="G3" s="24" t="s">
        <v>34</v>
      </c>
      <c r="H3" s="24" t="s">
        <v>68</v>
      </c>
      <c r="I3" s="24" t="s">
        <v>69</v>
      </c>
      <c r="J3" s="24" t="s">
        <v>70</v>
      </c>
      <c r="K3" s="42" t="s">
        <v>71</v>
      </c>
      <c r="L3" s="24" t="s">
        <v>72</v>
      </c>
      <c r="O3" s="1"/>
    </row>
    <row r="4" spans="1:15" x14ac:dyDescent="0.3">
      <c r="A4" s="3" t="s">
        <v>2</v>
      </c>
      <c r="B4" s="45" t="s">
        <v>3</v>
      </c>
      <c r="C4" s="4" t="s">
        <v>4</v>
      </c>
      <c r="D4" s="44" t="s">
        <v>5</v>
      </c>
      <c r="E4" s="25">
        <v>1</v>
      </c>
      <c r="F4" s="39">
        <v>45216</v>
      </c>
      <c r="G4" s="19">
        <f>AVERAGE(C26,C35,C28,C43)</f>
        <v>0.75249999999999995</v>
      </c>
      <c r="H4" s="19">
        <f>AVERAGE(C20,C29,C36,C42)</f>
        <v>0.76249999999999996</v>
      </c>
      <c r="I4" s="19">
        <f>AVERAGE(C25,C27,C32,C34)</f>
        <v>0.755</v>
      </c>
      <c r="J4" s="19">
        <f>AVERAGE(C21,C23,C31,C37)</f>
        <v>0.77</v>
      </c>
      <c r="K4" s="19">
        <f>AVERAGE(C38,C40,C22,C33)</f>
        <v>0.75249999999999995</v>
      </c>
      <c r="L4" s="26">
        <f>AVERAGE(C41,C39,C30,C24)</f>
        <v>0.74750000000000005</v>
      </c>
    </row>
    <row r="5" spans="1:15" ht="14.5" thickBot="1" x14ac:dyDescent="0.35">
      <c r="A5" s="5" t="s">
        <v>6</v>
      </c>
      <c r="B5" s="6" t="s">
        <v>7</v>
      </c>
      <c r="C5" s="7" t="s">
        <v>8</v>
      </c>
      <c r="D5" s="35" t="s">
        <v>9</v>
      </c>
      <c r="E5" s="25">
        <v>2</v>
      </c>
      <c r="F5" s="39">
        <v>45229</v>
      </c>
      <c r="G5" s="19">
        <f>AVERAGE(C71,C56,C54,C63)</f>
        <v>0.75</v>
      </c>
      <c r="H5" s="19">
        <f>AVERAGE(C48,C57,C70,C64)</f>
        <v>0.78500000000000003</v>
      </c>
      <c r="I5" s="19">
        <f>AVERAGE(C53,C55,C60,C62)</f>
        <v>0.77</v>
      </c>
      <c r="J5">
        <f>AVERAGE(C65,C59,C51,C49)</f>
        <v>0.77250000000000008</v>
      </c>
      <c r="K5" s="19">
        <f>AVERAGE(C50,C61,C66,C68)</f>
        <v>0.76750000000000007</v>
      </c>
      <c r="L5" s="26">
        <f>AVERAGE(C52,C58,C67,C69)</f>
        <v>0.77750000000000008</v>
      </c>
    </row>
    <row r="6" spans="1:15" x14ac:dyDescent="0.3">
      <c r="A6" s="8" t="s">
        <v>10</v>
      </c>
      <c r="B6" s="9" t="s">
        <v>11</v>
      </c>
      <c r="C6" s="10" t="s">
        <v>12</v>
      </c>
      <c r="D6" s="43" t="s">
        <v>13</v>
      </c>
      <c r="E6" s="25">
        <v>3</v>
      </c>
      <c r="F6" s="39">
        <v>45243</v>
      </c>
      <c r="G6" s="19">
        <f>AVERAGE(C82,C84,C91,C99)</f>
        <v>0.78249999999999997</v>
      </c>
      <c r="H6" s="19">
        <f>AVERAGE(C76,C85,C92,C98)</f>
        <v>0.80249999999999999</v>
      </c>
      <c r="I6" s="19">
        <f>AVERAGE(C81,C83,C88,C90)</f>
        <v>0.80500000000000005</v>
      </c>
      <c r="J6" s="19">
        <f>AVERAGE(C87,C93,C79,C77)</f>
        <v>0.79500000000000004</v>
      </c>
      <c r="K6" s="19">
        <f>AVERAGE(C89,C94,C96,C78)</f>
        <v>0.79249999999999998</v>
      </c>
      <c r="L6" s="26">
        <f>AVERAGE(C80,C86,C95,C97)</f>
        <v>0.79500000000000004</v>
      </c>
    </row>
    <row r="7" spans="1:15" x14ac:dyDescent="0.3">
      <c r="A7" s="11" t="s">
        <v>14</v>
      </c>
      <c r="B7" s="12" t="s">
        <v>15</v>
      </c>
      <c r="C7" s="6" t="s">
        <v>16</v>
      </c>
      <c r="D7" s="36" t="s">
        <v>17</v>
      </c>
      <c r="E7" s="25">
        <v>4</v>
      </c>
      <c r="F7" s="39">
        <v>45257</v>
      </c>
      <c r="G7" s="49">
        <f>AVERAGE(C110,C112,C119,C127)</f>
        <v>0.81499999999999995</v>
      </c>
      <c r="H7" s="49">
        <f>AVERAGE(C104,C113,C120,C126)</f>
        <v>0.81499999999999995</v>
      </c>
      <c r="I7" s="49">
        <f>AVERAGE(C109,C111,C118,C116)</f>
        <v>0.80499999999999994</v>
      </c>
      <c r="J7" s="49">
        <f>AVERAGE(C115,C105,C107,C121)</f>
        <v>0.80500000000000005</v>
      </c>
      <c r="K7" s="49">
        <f>AVERAGE(C106,C117,C122,C124)</f>
        <v>0.81</v>
      </c>
      <c r="L7" s="50">
        <f>AVERAGE(C108,C114,C123,C125)</f>
        <v>0.81499999999999995</v>
      </c>
    </row>
    <row r="8" spans="1:15" x14ac:dyDescent="0.3">
      <c r="A8" s="13" t="s">
        <v>18</v>
      </c>
      <c r="B8" s="14" t="s">
        <v>19</v>
      </c>
      <c r="C8" s="12" t="s">
        <v>20</v>
      </c>
      <c r="D8" s="37" t="s">
        <v>21</v>
      </c>
      <c r="E8" s="25">
        <v>5</v>
      </c>
      <c r="F8" s="39">
        <v>45271</v>
      </c>
      <c r="G8" s="49">
        <f>AVERAGE(C138,C140,C147,C155)</f>
        <v>0.8</v>
      </c>
      <c r="H8" s="49">
        <f>AVERAGE(C154,C148,C141,C132)</f>
        <v>0.8175</v>
      </c>
      <c r="I8" s="49">
        <f>AVERAGE(C137,C139,C144,C146)</f>
        <v>0.81500000000000006</v>
      </c>
      <c r="J8" s="49">
        <f>AVERAGE(C133,C135,C143,C149)</f>
        <v>0.80999999999999994</v>
      </c>
      <c r="K8" s="49">
        <f>AVERAGE(C134,C145,C150,C152)</f>
        <v>0.81499999999999995</v>
      </c>
      <c r="L8" s="50">
        <f>AVERAGE(C153,C151,C142,C136)</f>
        <v>0.80999999999999994</v>
      </c>
    </row>
    <row r="9" spans="1:15" ht="14.5" thickBot="1" x14ac:dyDescent="0.35">
      <c r="A9" s="15" t="s">
        <v>22</v>
      </c>
      <c r="B9" s="16" t="s">
        <v>23</v>
      </c>
      <c r="C9" s="17" t="s">
        <v>24</v>
      </c>
      <c r="D9" s="38" t="s">
        <v>25</v>
      </c>
      <c r="E9" s="25">
        <v>6</v>
      </c>
      <c r="F9" s="39">
        <v>45287</v>
      </c>
      <c r="G9" s="49">
        <f>AVERAGE(C166,C168,C175,C183)</f>
        <v>0.8274999999999999</v>
      </c>
      <c r="H9" s="49">
        <f>AVERAGE(C182,C176,C169,C160)</f>
        <v>0.85499999999999998</v>
      </c>
      <c r="I9" s="49">
        <f>AVERAGE(C165,C167,C172,C174)</f>
        <v>0.85250000000000004</v>
      </c>
      <c r="J9" s="49">
        <f>AVERAGE(C161,C163,C171,C177)</f>
        <v>0.83499999999999996</v>
      </c>
      <c r="K9" s="49">
        <f>AVERAGE(C162,C173,C178,C180)</f>
        <v>0.83499999999999996</v>
      </c>
      <c r="L9" s="49">
        <f>AVERAGE(C164,C170,C179,C181)</f>
        <v>0.84499999999999997</v>
      </c>
    </row>
    <row r="10" spans="1:15" x14ac:dyDescent="0.3">
      <c r="A10" s="34"/>
      <c r="B10" s="34"/>
      <c r="C10" s="34"/>
      <c r="D10" s="34"/>
      <c r="E10" s="25">
        <v>7</v>
      </c>
      <c r="F10" s="39">
        <v>45313</v>
      </c>
      <c r="G10" s="49">
        <f>AVERAGE(C194,C196,C203,C211)</f>
        <v>0.79999999999999993</v>
      </c>
      <c r="H10" s="49">
        <f>AVERAGE(C188,C197,C204,C211)</f>
        <v>0.8224999999999999</v>
      </c>
      <c r="I10" s="49">
        <f>AVERAGE(C200,C193,C195,C202)</f>
        <v>0.81749999999999989</v>
      </c>
      <c r="J10" s="49">
        <f>AVERAGE(C199,C205,C191,C189)</f>
        <v>0.79499999999999993</v>
      </c>
      <c r="K10" s="49">
        <f>AVERAGE(C190,C201,C206,C209)</f>
        <v>0.80750000000000011</v>
      </c>
      <c r="L10" s="49">
        <f>AVERAGE(C192,C198,C207,C210)</f>
        <v>0.80500000000000005</v>
      </c>
    </row>
    <row r="11" spans="1:15" x14ac:dyDescent="0.3">
      <c r="A11" s="34"/>
      <c r="B11" s="34"/>
      <c r="C11" s="34"/>
      <c r="D11" s="34"/>
      <c r="E11" s="25">
        <v>8</v>
      </c>
      <c r="F11" s="39">
        <v>45327</v>
      </c>
      <c r="G11" s="49">
        <f>AVERAGE(C222,C224,C231,C239)</f>
        <v>0.77750000000000008</v>
      </c>
      <c r="H11" s="49">
        <f>AVERAGE(C216,C225,C232,C238)</f>
        <v>0.8125</v>
      </c>
      <c r="I11" s="49">
        <f>AVERAGE(C221,C223,C228,C230)</f>
        <v>0.7975000000000001</v>
      </c>
      <c r="J11" s="49">
        <f>AVERAGE(C217,C219,C227,C233)</f>
        <v>0.77750000000000008</v>
      </c>
      <c r="K11" s="49">
        <f>AVERAGE(C218,C229,C234,C236)</f>
        <v>0.78</v>
      </c>
      <c r="L11" s="49">
        <f>AVERAGE(C220,C226,C235,C237)</f>
        <v>0.77</v>
      </c>
    </row>
    <row r="12" spans="1:15" x14ac:dyDescent="0.3">
      <c r="A12" s="34"/>
      <c r="B12" s="34"/>
      <c r="C12" s="34"/>
      <c r="D12" s="34"/>
      <c r="E12" s="25">
        <v>9</v>
      </c>
      <c r="F12" s="39">
        <v>45355</v>
      </c>
      <c r="G12" s="49">
        <f>AVERAGE(C278,C280,C287,C295)</f>
        <v>0.75</v>
      </c>
      <c r="H12" s="49">
        <f>AVERAGE(C272,C281,C288,C294)</f>
        <v>0.78500000000000003</v>
      </c>
      <c r="I12" s="49">
        <f>AVERAGE(C277,C279,C286,C284)</f>
        <v>0.77500000000000002</v>
      </c>
      <c r="J12" s="49">
        <f>AVERAGE(C275,C273,C283,C289)</f>
        <v>0.76750000000000007</v>
      </c>
      <c r="K12" s="49">
        <f>AVERAGE(C274,C285,C290,C292)</f>
        <v>0.76249999999999996</v>
      </c>
      <c r="L12" s="49">
        <f>AVERAGE(C276,C282,C291,C293)</f>
        <v>0.76</v>
      </c>
    </row>
    <row r="13" spans="1:15" x14ac:dyDescent="0.3">
      <c r="A13" s="34"/>
      <c r="B13" s="34"/>
      <c r="C13" s="34"/>
      <c r="D13" s="34"/>
      <c r="E13" s="25">
        <v>10</v>
      </c>
      <c r="F13" s="39">
        <v>45369</v>
      </c>
      <c r="G13" s="49">
        <f>AVERAGE(C306,C308,C315,C323)</f>
        <v>0.69000000000000006</v>
      </c>
      <c r="H13" s="49">
        <f>AVERAGE(C300,C309,C316,C322)</f>
        <v>0.72249999999999992</v>
      </c>
      <c r="I13" s="49">
        <f>AVERAGE(C305,C307,C314,C312)</f>
        <v>0.70750000000000002</v>
      </c>
      <c r="J13" s="49">
        <f>AVERAGE(C301,C303,C311,C317)</f>
        <v>0.71</v>
      </c>
      <c r="K13" s="49">
        <f>AVERAGE(C302,C313,C318,C320)</f>
        <v>0.7</v>
      </c>
      <c r="L13" s="49">
        <f>AVERAGE(C304,C310,C319,C321)</f>
        <v>0.69249999999999989</v>
      </c>
    </row>
    <row r="14" spans="1:15" x14ac:dyDescent="0.3">
      <c r="A14" s="34"/>
      <c r="B14" s="34"/>
      <c r="C14" s="34"/>
      <c r="D14" s="34"/>
      <c r="E14" s="25">
        <v>11</v>
      </c>
      <c r="F14" s="39">
        <v>45384</v>
      </c>
      <c r="G14" s="49">
        <f>AVERAGE(C334,C336,C343,C351)</f>
        <v>0.7024999999999999</v>
      </c>
      <c r="H14" s="49">
        <f>AVERAGE(C328,C344,C350,C337)</f>
        <v>0.71499999999999997</v>
      </c>
      <c r="I14" s="49">
        <f>AVERAGE(C333,C335,C340,C342)</f>
        <v>0.70749999999999991</v>
      </c>
      <c r="J14" s="49">
        <f>AVERAGE(C329,C331,C339,C345)</f>
        <v>0.72249999999999992</v>
      </c>
      <c r="K14" s="49">
        <f>AVERAGE(C330,C346,C348,C341)</f>
        <v>0.70750000000000002</v>
      </c>
      <c r="L14" s="49">
        <f>AVERAGE(C332,C347,C338,C349)</f>
        <v>0.71249999999999991</v>
      </c>
    </row>
    <row r="15" spans="1:15" x14ac:dyDescent="0.3">
      <c r="A15" s="34"/>
      <c r="B15" s="34"/>
      <c r="C15" s="34"/>
      <c r="D15" s="34"/>
      <c r="E15" s="25">
        <v>12</v>
      </c>
      <c r="F15" s="39">
        <v>45399</v>
      </c>
      <c r="G15" s="49">
        <f>AVERAGE(C362,C364,C371,C379)</f>
        <v>0.7</v>
      </c>
      <c r="H15" s="49">
        <f>AVERAGE(C356,C365,C372,C378)</f>
        <v>0.71499999999999997</v>
      </c>
      <c r="I15" s="49">
        <f>AVERAGE(C361,C363,C368,C370)</f>
        <v>0.71</v>
      </c>
      <c r="J15" s="49">
        <f>AVERAGE(C357,C359,C367,C373)</f>
        <v>0.71499999999999986</v>
      </c>
      <c r="K15" s="49">
        <f>AVERAGE(C358,C369,C374,C376)</f>
        <v>0.70499999999999996</v>
      </c>
      <c r="L15" s="49">
        <f>AVERAGE(C360,C366,C375,C377)</f>
        <v>0.71249999999999991</v>
      </c>
    </row>
    <row r="18" spans="1:3" ht="14.5" thickBot="1" x14ac:dyDescent="0.35">
      <c r="A18" s="1" t="s">
        <v>36</v>
      </c>
      <c r="B18" s="18">
        <v>45216</v>
      </c>
    </row>
    <row r="19" spans="1:3" x14ac:dyDescent="0.3">
      <c r="A19" s="22" t="s">
        <v>27</v>
      </c>
      <c r="B19" s="30" t="s">
        <v>26</v>
      </c>
      <c r="C19" s="23" t="s">
        <v>32</v>
      </c>
    </row>
    <row r="20" spans="1:3" x14ac:dyDescent="0.3">
      <c r="A20" s="31">
        <v>1</v>
      </c>
      <c r="B20" s="9" t="s">
        <v>2</v>
      </c>
      <c r="C20" s="26">
        <v>0.77</v>
      </c>
    </row>
    <row r="21" spans="1:3" x14ac:dyDescent="0.3">
      <c r="A21" s="31">
        <v>2</v>
      </c>
      <c r="B21" s="14" t="s">
        <v>3</v>
      </c>
      <c r="C21" s="26">
        <v>0.78</v>
      </c>
    </row>
    <row r="22" spans="1:3" x14ac:dyDescent="0.3">
      <c r="A22" s="31">
        <v>3</v>
      </c>
      <c r="B22" s="12" t="s">
        <v>4</v>
      </c>
      <c r="C22" s="26">
        <v>0.76</v>
      </c>
    </row>
    <row r="23" spans="1:3" x14ac:dyDescent="0.3">
      <c r="A23" s="31">
        <v>4</v>
      </c>
      <c r="B23" s="14" t="s">
        <v>5</v>
      </c>
      <c r="C23" s="26">
        <v>0.77</v>
      </c>
    </row>
    <row r="24" spans="1:3" x14ac:dyDescent="0.3">
      <c r="A24" s="31">
        <v>5</v>
      </c>
      <c r="B24" s="20" t="s">
        <v>6</v>
      </c>
      <c r="C24" s="26">
        <v>0.75</v>
      </c>
    </row>
    <row r="25" spans="1:3" x14ac:dyDescent="0.3">
      <c r="A25" s="31">
        <v>6</v>
      </c>
      <c r="B25" s="6" t="s">
        <v>7</v>
      </c>
      <c r="C25" s="26">
        <v>0.74</v>
      </c>
    </row>
    <row r="26" spans="1:3" x14ac:dyDescent="0.3">
      <c r="A26" s="31">
        <v>7</v>
      </c>
      <c r="B26" s="21" t="s">
        <v>8</v>
      </c>
      <c r="C26" s="26">
        <v>0.74</v>
      </c>
    </row>
    <row r="27" spans="1:3" x14ac:dyDescent="0.3">
      <c r="A27" s="31">
        <v>8</v>
      </c>
      <c r="B27" s="6" t="s">
        <v>9</v>
      </c>
      <c r="C27" s="26">
        <v>0.77</v>
      </c>
    </row>
    <row r="28" spans="1:3" x14ac:dyDescent="0.3">
      <c r="A28" s="31">
        <v>9</v>
      </c>
      <c r="B28" s="21" t="s">
        <v>10</v>
      </c>
      <c r="C28" s="26">
        <v>0.76</v>
      </c>
    </row>
    <row r="29" spans="1:3" x14ac:dyDescent="0.3">
      <c r="A29" s="31">
        <v>10</v>
      </c>
      <c r="B29" s="9" t="s">
        <v>11</v>
      </c>
      <c r="C29" s="26">
        <v>0.75</v>
      </c>
    </row>
    <row r="30" spans="1:3" x14ac:dyDescent="0.3">
      <c r="A30" s="31">
        <v>11</v>
      </c>
      <c r="B30" s="20" t="s">
        <v>12</v>
      </c>
      <c r="C30" s="26">
        <v>0.76</v>
      </c>
    </row>
    <row r="31" spans="1:3" x14ac:dyDescent="0.3">
      <c r="A31" s="31">
        <v>12</v>
      </c>
      <c r="B31" s="14" t="s">
        <v>13</v>
      </c>
      <c r="C31" s="26">
        <v>0.77</v>
      </c>
    </row>
    <row r="32" spans="1:3" x14ac:dyDescent="0.3">
      <c r="A32" s="31">
        <v>13</v>
      </c>
      <c r="B32" s="6" t="s">
        <v>14</v>
      </c>
      <c r="C32" s="26">
        <v>0.76</v>
      </c>
    </row>
    <row r="33" spans="1:3" x14ac:dyDescent="0.3">
      <c r="A33" s="31">
        <v>14</v>
      </c>
      <c r="B33" s="12" t="s">
        <v>15</v>
      </c>
      <c r="C33" s="26">
        <v>0.75</v>
      </c>
    </row>
    <row r="34" spans="1:3" x14ac:dyDescent="0.3">
      <c r="A34" s="31">
        <v>15</v>
      </c>
      <c r="B34" s="6" t="s">
        <v>16</v>
      </c>
      <c r="C34" s="26">
        <v>0.75</v>
      </c>
    </row>
    <row r="35" spans="1:3" x14ac:dyDescent="0.3">
      <c r="A35" s="31">
        <v>16</v>
      </c>
      <c r="B35" s="21" t="s">
        <v>17</v>
      </c>
      <c r="C35" s="26">
        <v>0.77</v>
      </c>
    </row>
    <row r="36" spans="1:3" x14ac:dyDescent="0.3">
      <c r="A36" s="31">
        <v>17</v>
      </c>
      <c r="B36" s="9" t="s">
        <v>18</v>
      </c>
      <c r="C36" s="26">
        <v>0.77</v>
      </c>
    </row>
    <row r="37" spans="1:3" x14ac:dyDescent="0.3">
      <c r="A37" s="31">
        <v>18</v>
      </c>
      <c r="B37" s="14" t="s">
        <v>19</v>
      </c>
      <c r="C37" s="26">
        <v>0.76</v>
      </c>
    </row>
    <row r="38" spans="1:3" x14ac:dyDescent="0.3">
      <c r="A38" s="31">
        <v>19</v>
      </c>
      <c r="B38" s="12" t="s">
        <v>20</v>
      </c>
      <c r="C38" s="26">
        <v>0.76</v>
      </c>
    </row>
    <row r="39" spans="1:3" x14ac:dyDescent="0.3">
      <c r="A39" s="31">
        <v>20</v>
      </c>
      <c r="B39" s="20" t="s">
        <v>21</v>
      </c>
      <c r="C39" s="26">
        <v>0.72</v>
      </c>
    </row>
    <row r="40" spans="1:3" x14ac:dyDescent="0.3">
      <c r="A40" s="31">
        <v>21</v>
      </c>
      <c r="B40" s="12" t="s">
        <v>22</v>
      </c>
      <c r="C40" s="26">
        <v>0.74</v>
      </c>
    </row>
    <row r="41" spans="1:3" x14ac:dyDescent="0.3">
      <c r="A41" s="31">
        <v>22</v>
      </c>
      <c r="B41" s="20" t="s">
        <v>23</v>
      </c>
      <c r="C41" s="26">
        <v>0.76</v>
      </c>
    </row>
    <row r="42" spans="1:3" x14ac:dyDescent="0.3">
      <c r="A42" s="31">
        <v>23</v>
      </c>
      <c r="B42" s="9" t="s">
        <v>24</v>
      </c>
      <c r="C42" s="26">
        <v>0.76</v>
      </c>
    </row>
    <row r="43" spans="1:3" ht="14.5" thickBot="1" x14ac:dyDescent="0.35">
      <c r="A43" s="32">
        <v>24</v>
      </c>
      <c r="B43" s="33" t="s">
        <v>25</v>
      </c>
      <c r="C43" s="26">
        <v>0.74</v>
      </c>
    </row>
    <row r="46" spans="1:3" ht="14.5" thickBot="1" x14ac:dyDescent="0.35">
      <c r="A46" s="1" t="s">
        <v>36</v>
      </c>
      <c r="B46" s="18">
        <v>45229</v>
      </c>
    </row>
    <row r="47" spans="1:3" x14ac:dyDescent="0.3">
      <c r="A47" s="22" t="s">
        <v>27</v>
      </c>
      <c r="B47" s="30" t="s">
        <v>26</v>
      </c>
      <c r="C47" s="23" t="s">
        <v>32</v>
      </c>
    </row>
    <row r="48" spans="1:3" x14ac:dyDescent="0.3">
      <c r="A48" s="31">
        <v>1</v>
      </c>
      <c r="B48" s="9" t="s">
        <v>2</v>
      </c>
      <c r="C48" s="26">
        <v>0.79</v>
      </c>
    </row>
    <row r="49" spans="1:3" x14ac:dyDescent="0.3">
      <c r="A49" s="31">
        <v>2</v>
      </c>
      <c r="B49" s="14" t="s">
        <v>3</v>
      </c>
      <c r="C49" s="26">
        <v>0.77</v>
      </c>
    </row>
    <row r="50" spans="1:3" x14ac:dyDescent="0.3">
      <c r="A50" s="31">
        <v>3</v>
      </c>
      <c r="B50" s="12" t="s">
        <v>4</v>
      </c>
      <c r="C50" s="26">
        <v>0.77</v>
      </c>
    </row>
    <row r="51" spans="1:3" x14ac:dyDescent="0.3">
      <c r="A51" s="31">
        <v>4</v>
      </c>
      <c r="B51" s="14" t="s">
        <v>5</v>
      </c>
      <c r="C51" s="26">
        <v>0.78</v>
      </c>
    </row>
    <row r="52" spans="1:3" x14ac:dyDescent="0.3">
      <c r="A52" s="31">
        <v>5</v>
      </c>
      <c r="B52" s="20" t="s">
        <v>6</v>
      </c>
      <c r="C52" s="26">
        <v>0.78</v>
      </c>
    </row>
    <row r="53" spans="1:3" x14ac:dyDescent="0.3">
      <c r="A53" s="31">
        <v>6</v>
      </c>
      <c r="B53" s="6" t="s">
        <v>7</v>
      </c>
      <c r="C53" s="26">
        <v>0.76</v>
      </c>
    </row>
    <row r="54" spans="1:3" x14ac:dyDescent="0.3">
      <c r="A54" s="31">
        <v>7</v>
      </c>
      <c r="B54" s="21" t="s">
        <v>8</v>
      </c>
      <c r="C54" s="26">
        <v>0.76</v>
      </c>
    </row>
    <row r="55" spans="1:3" x14ac:dyDescent="0.3">
      <c r="A55" s="31">
        <v>8</v>
      </c>
      <c r="B55" s="6" t="s">
        <v>9</v>
      </c>
      <c r="C55" s="26">
        <v>0.77</v>
      </c>
    </row>
    <row r="56" spans="1:3" x14ac:dyDescent="0.3">
      <c r="A56" s="31">
        <v>9</v>
      </c>
      <c r="B56" s="21" t="s">
        <v>10</v>
      </c>
      <c r="C56" s="26">
        <v>0.76</v>
      </c>
    </row>
    <row r="57" spans="1:3" x14ac:dyDescent="0.3">
      <c r="A57" s="31">
        <v>10</v>
      </c>
      <c r="B57" s="9" t="s">
        <v>11</v>
      </c>
      <c r="C57" s="26">
        <v>0.79</v>
      </c>
    </row>
    <row r="58" spans="1:3" x14ac:dyDescent="0.3">
      <c r="A58" s="31">
        <v>11</v>
      </c>
      <c r="B58" s="20" t="s">
        <v>12</v>
      </c>
      <c r="C58" s="26">
        <v>0.77</v>
      </c>
    </row>
    <row r="59" spans="1:3" x14ac:dyDescent="0.3">
      <c r="A59" s="31">
        <v>12</v>
      </c>
      <c r="B59" s="14" t="s">
        <v>13</v>
      </c>
      <c r="C59" s="26">
        <v>0.76</v>
      </c>
    </row>
    <row r="60" spans="1:3" x14ac:dyDescent="0.3">
      <c r="A60" s="31">
        <v>13</v>
      </c>
      <c r="B60" s="6" t="s">
        <v>14</v>
      </c>
      <c r="C60" s="26">
        <v>0.77</v>
      </c>
    </row>
    <row r="61" spans="1:3" x14ac:dyDescent="0.3">
      <c r="A61" s="31">
        <v>14</v>
      </c>
      <c r="B61" s="12" t="s">
        <v>15</v>
      </c>
      <c r="C61" s="26">
        <v>0.77</v>
      </c>
    </row>
    <row r="62" spans="1:3" x14ac:dyDescent="0.3">
      <c r="A62" s="31">
        <v>15</v>
      </c>
      <c r="B62" s="6" t="s">
        <v>16</v>
      </c>
      <c r="C62" s="26">
        <v>0.78</v>
      </c>
    </row>
    <row r="63" spans="1:3" x14ac:dyDescent="0.3">
      <c r="A63" s="31">
        <v>16</v>
      </c>
      <c r="B63" s="21" t="s">
        <v>17</v>
      </c>
      <c r="C63" s="26">
        <v>0.77</v>
      </c>
    </row>
    <row r="64" spans="1:3" x14ac:dyDescent="0.3">
      <c r="A64" s="31">
        <v>17</v>
      </c>
      <c r="B64" s="9" t="s">
        <v>18</v>
      </c>
      <c r="C64" s="26">
        <v>0.79</v>
      </c>
    </row>
    <row r="65" spans="1:3" x14ac:dyDescent="0.3">
      <c r="A65" s="31">
        <v>18</v>
      </c>
      <c r="B65" s="14" t="s">
        <v>19</v>
      </c>
      <c r="C65" s="26">
        <v>0.78</v>
      </c>
    </row>
    <row r="66" spans="1:3" x14ac:dyDescent="0.3">
      <c r="A66" s="31">
        <v>19</v>
      </c>
      <c r="B66" s="12" t="s">
        <v>20</v>
      </c>
      <c r="C66" s="26">
        <v>0.77</v>
      </c>
    </row>
    <row r="67" spans="1:3" x14ac:dyDescent="0.3">
      <c r="A67" s="31">
        <v>20</v>
      </c>
      <c r="B67" s="20" t="s">
        <v>21</v>
      </c>
      <c r="C67" s="26">
        <v>0.78</v>
      </c>
    </row>
    <row r="68" spans="1:3" x14ac:dyDescent="0.3">
      <c r="A68" s="31">
        <v>21</v>
      </c>
      <c r="B68" s="12" t="s">
        <v>22</v>
      </c>
      <c r="C68" s="26">
        <v>0.76</v>
      </c>
    </row>
    <row r="69" spans="1:3" x14ac:dyDescent="0.3">
      <c r="A69" s="31">
        <v>22</v>
      </c>
      <c r="B69" s="20" t="s">
        <v>23</v>
      </c>
      <c r="C69" s="26">
        <v>0.78</v>
      </c>
    </row>
    <row r="70" spans="1:3" x14ac:dyDescent="0.3">
      <c r="A70" s="31">
        <v>23</v>
      </c>
      <c r="B70" s="9" t="s">
        <v>24</v>
      </c>
      <c r="C70" s="26">
        <v>0.77</v>
      </c>
    </row>
    <row r="71" spans="1:3" ht="14.5" thickBot="1" x14ac:dyDescent="0.35">
      <c r="A71" s="32">
        <v>24</v>
      </c>
      <c r="B71" s="33" t="s">
        <v>25</v>
      </c>
      <c r="C71" s="28">
        <v>0.71</v>
      </c>
    </row>
    <row r="74" spans="1:3" ht="14.5" thickBot="1" x14ac:dyDescent="0.35">
      <c r="A74" s="1" t="s">
        <v>36</v>
      </c>
      <c r="B74" s="18">
        <v>45243</v>
      </c>
    </row>
    <row r="75" spans="1:3" x14ac:dyDescent="0.3">
      <c r="A75" s="22" t="s">
        <v>27</v>
      </c>
      <c r="B75" s="30" t="s">
        <v>26</v>
      </c>
      <c r="C75" s="23" t="s">
        <v>32</v>
      </c>
    </row>
    <row r="76" spans="1:3" x14ac:dyDescent="0.3">
      <c r="A76" s="31">
        <v>1</v>
      </c>
      <c r="B76" s="9" t="s">
        <v>2</v>
      </c>
      <c r="C76" s="26">
        <v>0.81</v>
      </c>
    </row>
    <row r="77" spans="1:3" x14ac:dyDescent="0.3">
      <c r="A77" s="31">
        <v>2</v>
      </c>
      <c r="B77" s="14" t="s">
        <v>3</v>
      </c>
      <c r="C77" s="26">
        <v>0.79</v>
      </c>
    </row>
    <row r="78" spans="1:3" x14ac:dyDescent="0.3">
      <c r="A78" s="31">
        <v>3</v>
      </c>
      <c r="B78" s="12" t="s">
        <v>4</v>
      </c>
      <c r="C78" s="26">
        <v>0.79</v>
      </c>
    </row>
    <row r="79" spans="1:3" x14ac:dyDescent="0.3">
      <c r="A79" s="31">
        <v>4</v>
      </c>
      <c r="B79" s="14" t="s">
        <v>5</v>
      </c>
      <c r="C79" s="26">
        <v>0.79</v>
      </c>
    </row>
    <row r="80" spans="1:3" x14ac:dyDescent="0.3">
      <c r="A80" s="31">
        <v>5</v>
      </c>
      <c r="B80" s="20" t="s">
        <v>6</v>
      </c>
      <c r="C80" s="26">
        <v>0.79</v>
      </c>
    </row>
    <row r="81" spans="1:3" x14ac:dyDescent="0.3">
      <c r="A81" s="31">
        <v>6</v>
      </c>
      <c r="B81" s="6" t="s">
        <v>7</v>
      </c>
      <c r="C81" s="26">
        <v>0.79</v>
      </c>
    </row>
    <row r="82" spans="1:3" x14ac:dyDescent="0.3">
      <c r="A82" s="31">
        <v>7</v>
      </c>
      <c r="B82" s="21" t="s">
        <v>8</v>
      </c>
      <c r="C82" s="26">
        <v>0.77</v>
      </c>
    </row>
    <row r="83" spans="1:3" x14ac:dyDescent="0.3">
      <c r="A83" s="31">
        <v>8</v>
      </c>
      <c r="B83" s="6" t="s">
        <v>9</v>
      </c>
      <c r="C83" s="26">
        <v>0.81</v>
      </c>
    </row>
    <row r="84" spans="1:3" x14ac:dyDescent="0.3">
      <c r="A84" s="31">
        <v>9</v>
      </c>
      <c r="B84" s="21" t="s">
        <v>10</v>
      </c>
      <c r="C84" s="26">
        <v>0.78</v>
      </c>
    </row>
    <row r="85" spans="1:3" x14ac:dyDescent="0.3">
      <c r="A85" s="31">
        <v>10</v>
      </c>
      <c r="B85" s="9" t="s">
        <v>11</v>
      </c>
      <c r="C85" s="26">
        <v>0.81</v>
      </c>
    </row>
    <row r="86" spans="1:3" x14ac:dyDescent="0.3">
      <c r="A86" s="31">
        <v>11</v>
      </c>
      <c r="B86" s="20" t="s">
        <v>12</v>
      </c>
      <c r="C86" s="26">
        <v>0.79</v>
      </c>
    </row>
    <row r="87" spans="1:3" x14ac:dyDescent="0.3">
      <c r="A87" s="31">
        <v>12</v>
      </c>
      <c r="B87" s="14" t="s">
        <v>13</v>
      </c>
      <c r="C87" s="26">
        <v>0.79</v>
      </c>
    </row>
    <row r="88" spans="1:3" x14ac:dyDescent="0.3">
      <c r="A88" s="31">
        <v>13</v>
      </c>
      <c r="B88" s="6" t="s">
        <v>14</v>
      </c>
      <c r="C88" s="26">
        <v>0.81</v>
      </c>
    </row>
    <row r="89" spans="1:3" x14ac:dyDescent="0.3">
      <c r="A89" s="31">
        <v>14</v>
      </c>
      <c r="B89" s="12" t="s">
        <v>15</v>
      </c>
      <c r="C89" s="26">
        <v>0.79</v>
      </c>
    </row>
    <row r="90" spans="1:3" x14ac:dyDescent="0.3">
      <c r="A90" s="31">
        <v>15</v>
      </c>
      <c r="B90" s="6" t="s">
        <v>16</v>
      </c>
      <c r="C90" s="26">
        <v>0.81</v>
      </c>
    </row>
    <row r="91" spans="1:3" x14ac:dyDescent="0.3">
      <c r="A91" s="31">
        <v>16</v>
      </c>
      <c r="B91" s="21" t="s">
        <v>17</v>
      </c>
      <c r="C91" s="26">
        <v>0.79</v>
      </c>
    </row>
    <row r="92" spans="1:3" x14ac:dyDescent="0.3">
      <c r="A92" s="31">
        <v>17</v>
      </c>
      <c r="B92" s="9" t="s">
        <v>18</v>
      </c>
      <c r="C92" s="26">
        <v>0.8</v>
      </c>
    </row>
    <row r="93" spans="1:3" x14ac:dyDescent="0.3">
      <c r="A93" s="31">
        <v>18</v>
      </c>
      <c r="B93" s="14" t="s">
        <v>19</v>
      </c>
      <c r="C93" s="26">
        <v>0.81</v>
      </c>
    </row>
    <row r="94" spans="1:3" x14ac:dyDescent="0.3">
      <c r="A94" s="31">
        <v>19</v>
      </c>
      <c r="B94" s="12" t="s">
        <v>20</v>
      </c>
      <c r="C94" s="26">
        <v>0.8</v>
      </c>
    </row>
    <row r="95" spans="1:3" x14ac:dyDescent="0.3">
      <c r="A95" s="31">
        <v>20</v>
      </c>
      <c r="B95" s="20" t="s">
        <v>21</v>
      </c>
      <c r="C95" s="26">
        <v>0.79</v>
      </c>
    </row>
    <row r="96" spans="1:3" x14ac:dyDescent="0.3">
      <c r="A96" s="31">
        <v>21</v>
      </c>
      <c r="B96" s="12" t="s">
        <v>22</v>
      </c>
      <c r="C96" s="26">
        <v>0.79</v>
      </c>
    </row>
    <row r="97" spans="1:3" x14ac:dyDescent="0.3">
      <c r="A97" s="31">
        <v>22</v>
      </c>
      <c r="B97" s="20" t="s">
        <v>23</v>
      </c>
      <c r="C97" s="26">
        <v>0.81</v>
      </c>
    </row>
    <row r="98" spans="1:3" x14ac:dyDescent="0.3">
      <c r="A98" s="31">
        <v>23</v>
      </c>
      <c r="B98" s="9" t="s">
        <v>24</v>
      </c>
      <c r="C98" s="26">
        <v>0.79</v>
      </c>
    </row>
    <row r="99" spans="1:3" ht="14.5" thickBot="1" x14ac:dyDescent="0.35">
      <c r="A99" s="32">
        <v>24</v>
      </c>
      <c r="B99" s="33" t="s">
        <v>25</v>
      </c>
      <c r="C99" s="28">
        <v>0.79</v>
      </c>
    </row>
    <row r="102" spans="1:3" ht="14.5" thickBot="1" x14ac:dyDescent="0.35">
      <c r="A102" s="1" t="s">
        <v>36</v>
      </c>
      <c r="B102" s="18">
        <v>45257</v>
      </c>
    </row>
    <row r="103" spans="1:3" x14ac:dyDescent="0.3">
      <c r="A103" s="22" t="s">
        <v>27</v>
      </c>
      <c r="B103" s="30" t="s">
        <v>26</v>
      </c>
      <c r="C103" s="23" t="s">
        <v>32</v>
      </c>
    </row>
    <row r="104" spans="1:3" x14ac:dyDescent="0.3">
      <c r="A104" s="31">
        <v>1</v>
      </c>
      <c r="B104" s="9" t="s">
        <v>2</v>
      </c>
      <c r="C104" s="50">
        <v>0.82</v>
      </c>
    </row>
    <row r="105" spans="1:3" x14ac:dyDescent="0.3">
      <c r="A105" s="31">
        <v>2</v>
      </c>
      <c r="B105" s="14" t="s">
        <v>3</v>
      </c>
      <c r="C105" s="50">
        <v>0.8</v>
      </c>
    </row>
    <row r="106" spans="1:3" x14ac:dyDescent="0.3">
      <c r="A106" s="31">
        <v>3</v>
      </c>
      <c r="B106" s="12" t="s">
        <v>4</v>
      </c>
      <c r="C106" s="50">
        <v>0.8</v>
      </c>
    </row>
    <row r="107" spans="1:3" x14ac:dyDescent="0.3">
      <c r="A107" s="31">
        <v>4</v>
      </c>
      <c r="B107" s="14" t="s">
        <v>5</v>
      </c>
      <c r="C107" s="50">
        <v>0.79</v>
      </c>
    </row>
    <row r="108" spans="1:3" x14ac:dyDescent="0.3">
      <c r="A108" s="31">
        <v>5</v>
      </c>
      <c r="B108" s="20" t="s">
        <v>6</v>
      </c>
      <c r="C108" s="50">
        <v>0.82</v>
      </c>
    </row>
    <row r="109" spans="1:3" x14ac:dyDescent="0.3">
      <c r="A109" s="31">
        <v>6</v>
      </c>
      <c r="B109" s="6" t="s">
        <v>7</v>
      </c>
      <c r="C109" s="50">
        <v>0.79</v>
      </c>
    </row>
    <row r="110" spans="1:3" x14ac:dyDescent="0.3">
      <c r="A110" s="31">
        <v>7</v>
      </c>
      <c r="B110" s="21" t="s">
        <v>8</v>
      </c>
      <c r="C110" s="50">
        <v>0.82</v>
      </c>
    </row>
    <row r="111" spans="1:3" x14ac:dyDescent="0.3">
      <c r="A111" s="31">
        <v>8</v>
      </c>
      <c r="B111" s="6" t="s">
        <v>9</v>
      </c>
      <c r="C111" s="50">
        <v>0.79</v>
      </c>
    </row>
    <row r="112" spans="1:3" x14ac:dyDescent="0.3">
      <c r="A112" s="31">
        <v>9</v>
      </c>
      <c r="B112" s="21" t="s">
        <v>10</v>
      </c>
      <c r="C112" s="50">
        <v>0.81</v>
      </c>
    </row>
    <row r="113" spans="1:3" x14ac:dyDescent="0.3">
      <c r="A113" s="31">
        <v>10</v>
      </c>
      <c r="B113" s="9" t="s">
        <v>11</v>
      </c>
      <c r="C113" s="50">
        <v>0.81</v>
      </c>
    </row>
    <row r="114" spans="1:3" x14ac:dyDescent="0.3">
      <c r="A114" s="31">
        <v>11</v>
      </c>
      <c r="B114" s="20" t="s">
        <v>12</v>
      </c>
      <c r="C114" s="50">
        <v>0.81</v>
      </c>
    </row>
    <row r="115" spans="1:3" x14ac:dyDescent="0.3">
      <c r="A115" s="31">
        <v>12</v>
      </c>
      <c r="B115" s="14" t="s">
        <v>13</v>
      </c>
      <c r="C115" s="50">
        <v>0.81</v>
      </c>
    </row>
    <row r="116" spans="1:3" x14ac:dyDescent="0.3">
      <c r="A116" s="31">
        <v>13</v>
      </c>
      <c r="B116" s="6" t="s">
        <v>14</v>
      </c>
      <c r="C116" s="50">
        <v>0.82</v>
      </c>
    </row>
    <row r="117" spans="1:3" x14ac:dyDescent="0.3">
      <c r="A117" s="31">
        <v>14</v>
      </c>
      <c r="B117" s="12" t="s">
        <v>15</v>
      </c>
      <c r="C117" s="50">
        <v>0.82</v>
      </c>
    </row>
    <row r="118" spans="1:3" x14ac:dyDescent="0.3">
      <c r="A118" s="31">
        <v>15</v>
      </c>
      <c r="B118" s="6" t="s">
        <v>16</v>
      </c>
      <c r="C118" s="50">
        <v>0.82</v>
      </c>
    </row>
    <row r="119" spans="1:3" x14ac:dyDescent="0.3">
      <c r="A119" s="31">
        <v>16</v>
      </c>
      <c r="B119" s="21" t="s">
        <v>17</v>
      </c>
      <c r="C119" s="50">
        <v>0.81</v>
      </c>
    </row>
    <row r="120" spans="1:3" x14ac:dyDescent="0.3">
      <c r="A120" s="31">
        <v>17</v>
      </c>
      <c r="B120" s="9" t="s">
        <v>18</v>
      </c>
      <c r="C120" s="50">
        <v>0.82</v>
      </c>
    </row>
    <row r="121" spans="1:3" x14ac:dyDescent="0.3">
      <c r="A121" s="31">
        <v>18</v>
      </c>
      <c r="B121" s="14" t="s">
        <v>19</v>
      </c>
      <c r="C121" s="50">
        <v>0.82</v>
      </c>
    </row>
    <row r="122" spans="1:3" x14ac:dyDescent="0.3">
      <c r="A122" s="31">
        <v>19</v>
      </c>
      <c r="B122" s="12" t="s">
        <v>20</v>
      </c>
      <c r="C122" s="50">
        <v>0.82</v>
      </c>
    </row>
    <row r="123" spans="1:3" x14ac:dyDescent="0.3">
      <c r="A123" s="31">
        <v>20</v>
      </c>
      <c r="B123" s="20" t="s">
        <v>21</v>
      </c>
      <c r="C123" s="50">
        <v>0.8</v>
      </c>
    </row>
    <row r="124" spans="1:3" x14ac:dyDescent="0.3">
      <c r="A124" s="31">
        <v>21</v>
      </c>
      <c r="B124" s="12" t="s">
        <v>22</v>
      </c>
      <c r="C124" s="50">
        <v>0.8</v>
      </c>
    </row>
    <row r="125" spans="1:3" x14ac:dyDescent="0.3">
      <c r="A125" s="31">
        <v>22</v>
      </c>
      <c r="B125" s="20" t="s">
        <v>23</v>
      </c>
      <c r="C125" s="50">
        <v>0.83</v>
      </c>
    </row>
    <row r="126" spans="1:3" x14ac:dyDescent="0.3">
      <c r="A126" s="31">
        <v>23</v>
      </c>
      <c r="B126" s="9" t="s">
        <v>24</v>
      </c>
      <c r="C126" s="50">
        <v>0.81</v>
      </c>
    </row>
    <row r="127" spans="1:3" ht="14.5" thickBot="1" x14ac:dyDescent="0.35">
      <c r="A127" s="32">
        <v>24</v>
      </c>
      <c r="B127" s="33" t="s">
        <v>25</v>
      </c>
      <c r="C127" s="55">
        <v>0.82</v>
      </c>
    </row>
    <row r="130" spans="1:3" ht="14.5" thickBot="1" x14ac:dyDescent="0.35">
      <c r="A130" s="1" t="s">
        <v>36</v>
      </c>
      <c r="B130" s="18">
        <v>45271</v>
      </c>
    </row>
    <row r="131" spans="1:3" x14ac:dyDescent="0.3">
      <c r="A131" s="22" t="s">
        <v>27</v>
      </c>
      <c r="B131" s="30" t="s">
        <v>26</v>
      </c>
      <c r="C131" s="23" t="s">
        <v>32</v>
      </c>
    </row>
    <row r="132" spans="1:3" x14ac:dyDescent="0.3">
      <c r="A132" s="31">
        <v>1</v>
      </c>
      <c r="B132" s="9" t="s">
        <v>2</v>
      </c>
      <c r="C132" s="50">
        <v>0.81</v>
      </c>
    </row>
    <row r="133" spans="1:3" x14ac:dyDescent="0.3">
      <c r="A133" s="31">
        <v>2</v>
      </c>
      <c r="B133" s="14" t="s">
        <v>3</v>
      </c>
      <c r="C133" s="50">
        <v>0.81</v>
      </c>
    </row>
    <row r="134" spans="1:3" x14ac:dyDescent="0.3">
      <c r="A134" s="31">
        <v>3</v>
      </c>
      <c r="B134" s="12" t="s">
        <v>4</v>
      </c>
      <c r="C134" s="50">
        <v>0.81</v>
      </c>
    </row>
    <row r="135" spans="1:3" x14ac:dyDescent="0.3">
      <c r="A135" s="31">
        <v>4</v>
      </c>
      <c r="B135" s="14" t="s">
        <v>5</v>
      </c>
      <c r="C135" s="50">
        <v>0.81</v>
      </c>
    </row>
    <row r="136" spans="1:3" x14ac:dyDescent="0.3">
      <c r="A136" s="31">
        <v>5</v>
      </c>
      <c r="B136" s="20" t="s">
        <v>6</v>
      </c>
      <c r="C136" s="50">
        <v>0.82</v>
      </c>
    </row>
    <row r="137" spans="1:3" x14ac:dyDescent="0.3">
      <c r="A137" s="31">
        <v>6</v>
      </c>
      <c r="B137" s="6" t="s">
        <v>7</v>
      </c>
      <c r="C137" s="50">
        <v>0.8</v>
      </c>
    </row>
    <row r="138" spans="1:3" x14ac:dyDescent="0.3">
      <c r="A138" s="31">
        <v>7</v>
      </c>
      <c r="B138" s="21" t="s">
        <v>8</v>
      </c>
      <c r="C138" s="50">
        <v>0.8</v>
      </c>
    </row>
    <row r="139" spans="1:3" x14ac:dyDescent="0.3">
      <c r="A139" s="31">
        <v>8</v>
      </c>
      <c r="B139" s="6" t="s">
        <v>9</v>
      </c>
      <c r="C139" s="50">
        <v>0.82</v>
      </c>
    </row>
    <row r="140" spans="1:3" x14ac:dyDescent="0.3">
      <c r="A140" s="31">
        <v>9</v>
      </c>
      <c r="B140" s="21" t="s">
        <v>10</v>
      </c>
      <c r="C140" s="50">
        <v>0.8</v>
      </c>
    </row>
    <row r="141" spans="1:3" x14ac:dyDescent="0.3">
      <c r="A141" s="31">
        <v>10</v>
      </c>
      <c r="B141" s="9" t="s">
        <v>11</v>
      </c>
      <c r="C141" s="50">
        <v>0.81</v>
      </c>
    </row>
    <row r="142" spans="1:3" x14ac:dyDescent="0.3">
      <c r="A142" s="31">
        <v>11</v>
      </c>
      <c r="B142" s="20" t="s">
        <v>12</v>
      </c>
      <c r="C142" s="50">
        <v>0.81</v>
      </c>
    </row>
    <row r="143" spans="1:3" x14ac:dyDescent="0.3">
      <c r="A143" s="31">
        <v>12</v>
      </c>
      <c r="B143" s="14" t="s">
        <v>13</v>
      </c>
      <c r="C143" s="50">
        <v>0.8</v>
      </c>
    </row>
    <row r="144" spans="1:3" x14ac:dyDescent="0.3">
      <c r="A144" s="31">
        <v>13</v>
      </c>
      <c r="B144" s="6" t="s">
        <v>14</v>
      </c>
      <c r="C144" s="50">
        <v>0.83</v>
      </c>
    </row>
    <row r="145" spans="1:3" x14ac:dyDescent="0.3">
      <c r="A145" s="31">
        <v>14</v>
      </c>
      <c r="B145" s="12" t="s">
        <v>15</v>
      </c>
      <c r="C145" s="50">
        <v>0.81</v>
      </c>
    </row>
    <row r="146" spans="1:3" x14ac:dyDescent="0.3">
      <c r="A146" s="31">
        <v>15</v>
      </c>
      <c r="B146" s="6" t="s">
        <v>16</v>
      </c>
      <c r="C146" s="50">
        <v>0.81</v>
      </c>
    </row>
    <row r="147" spans="1:3" x14ac:dyDescent="0.3">
      <c r="A147" s="31">
        <v>16</v>
      </c>
      <c r="B147" s="21" t="s">
        <v>17</v>
      </c>
      <c r="C147" s="50">
        <v>0.81</v>
      </c>
    </row>
    <row r="148" spans="1:3" x14ac:dyDescent="0.3">
      <c r="A148" s="31">
        <v>17</v>
      </c>
      <c r="B148" s="9" t="s">
        <v>18</v>
      </c>
      <c r="C148" s="50">
        <v>0.83</v>
      </c>
    </row>
    <row r="149" spans="1:3" x14ac:dyDescent="0.3">
      <c r="A149" s="31">
        <v>18</v>
      </c>
      <c r="B149" s="14" t="s">
        <v>19</v>
      </c>
      <c r="C149" s="50">
        <v>0.82</v>
      </c>
    </row>
    <row r="150" spans="1:3" x14ac:dyDescent="0.3">
      <c r="A150" s="31">
        <v>19</v>
      </c>
      <c r="B150" s="12" t="s">
        <v>20</v>
      </c>
      <c r="C150" s="50">
        <v>0.82</v>
      </c>
    </row>
    <row r="151" spans="1:3" x14ac:dyDescent="0.3">
      <c r="A151" s="31">
        <v>20</v>
      </c>
      <c r="B151" s="20" t="s">
        <v>21</v>
      </c>
      <c r="C151" s="50">
        <v>0.8</v>
      </c>
    </row>
    <row r="152" spans="1:3" x14ac:dyDescent="0.3">
      <c r="A152" s="31">
        <v>21</v>
      </c>
      <c r="B152" s="12" t="s">
        <v>22</v>
      </c>
      <c r="C152" s="50">
        <v>0.82</v>
      </c>
    </row>
    <row r="153" spans="1:3" x14ac:dyDescent="0.3">
      <c r="A153" s="31">
        <v>22</v>
      </c>
      <c r="B153" s="20" t="s">
        <v>23</v>
      </c>
      <c r="C153" s="50">
        <v>0.81</v>
      </c>
    </row>
    <row r="154" spans="1:3" x14ac:dyDescent="0.3">
      <c r="A154" s="31">
        <v>23</v>
      </c>
      <c r="B154" s="9" t="s">
        <v>24</v>
      </c>
      <c r="C154" s="50">
        <v>0.82</v>
      </c>
    </row>
    <row r="155" spans="1:3" ht="14.5" thickBot="1" x14ac:dyDescent="0.35">
      <c r="A155" s="32">
        <v>24</v>
      </c>
      <c r="B155" s="33" t="s">
        <v>25</v>
      </c>
      <c r="C155" s="55">
        <v>0.79</v>
      </c>
    </row>
    <row r="158" spans="1:3" ht="14.5" thickBot="1" x14ac:dyDescent="0.35">
      <c r="A158" s="1" t="s">
        <v>36</v>
      </c>
      <c r="B158" s="18">
        <v>45287</v>
      </c>
    </row>
    <row r="159" spans="1:3" x14ac:dyDescent="0.3">
      <c r="A159" s="22" t="s">
        <v>27</v>
      </c>
      <c r="B159" s="30" t="s">
        <v>26</v>
      </c>
      <c r="C159" s="23" t="s">
        <v>32</v>
      </c>
    </row>
    <row r="160" spans="1:3" x14ac:dyDescent="0.3">
      <c r="A160" s="31">
        <v>1</v>
      </c>
      <c r="B160" s="9" t="s">
        <v>2</v>
      </c>
      <c r="C160" s="50">
        <v>0.86</v>
      </c>
    </row>
    <row r="161" spans="1:3" x14ac:dyDescent="0.3">
      <c r="A161" s="31">
        <v>2</v>
      </c>
      <c r="B161" s="14" t="s">
        <v>3</v>
      </c>
      <c r="C161" s="50">
        <v>0.85</v>
      </c>
    </row>
    <row r="162" spans="1:3" x14ac:dyDescent="0.3">
      <c r="A162" s="31">
        <v>3</v>
      </c>
      <c r="B162" s="12" t="s">
        <v>4</v>
      </c>
      <c r="C162" s="50">
        <v>0.84</v>
      </c>
    </row>
    <row r="163" spans="1:3" x14ac:dyDescent="0.3">
      <c r="A163" s="31">
        <v>4</v>
      </c>
      <c r="B163" s="14" t="s">
        <v>5</v>
      </c>
      <c r="C163" s="50">
        <v>0.82</v>
      </c>
    </row>
    <row r="164" spans="1:3" x14ac:dyDescent="0.3">
      <c r="A164" s="31">
        <v>5</v>
      </c>
      <c r="B164" s="20" t="s">
        <v>6</v>
      </c>
      <c r="C164" s="50">
        <v>0.86</v>
      </c>
    </row>
    <row r="165" spans="1:3" x14ac:dyDescent="0.3">
      <c r="A165" s="31">
        <v>6</v>
      </c>
      <c r="B165" s="6" t="s">
        <v>7</v>
      </c>
      <c r="C165" s="50">
        <v>0.84</v>
      </c>
    </row>
    <row r="166" spans="1:3" x14ac:dyDescent="0.3">
      <c r="A166" s="31">
        <v>7</v>
      </c>
      <c r="B166" s="21" t="s">
        <v>8</v>
      </c>
      <c r="C166" s="50">
        <v>0.82</v>
      </c>
    </row>
    <row r="167" spans="1:3" x14ac:dyDescent="0.3">
      <c r="A167" s="31">
        <v>8</v>
      </c>
      <c r="B167" s="6" t="s">
        <v>9</v>
      </c>
      <c r="C167" s="50">
        <v>0.86</v>
      </c>
    </row>
    <row r="168" spans="1:3" x14ac:dyDescent="0.3">
      <c r="A168" s="31">
        <v>9</v>
      </c>
      <c r="B168" s="21" t="s">
        <v>10</v>
      </c>
      <c r="C168" s="50">
        <v>0.83</v>
      </c>
    </row>
    <row r="169" spans="1:3" x14ac:dyDescent="0.3">
      <c r="A169" s="31">
        <v>10</v>
      </c>
      <c r="B169" s="9" t="s">
        <v>11</v>
      </c>
      <c r="C169" s="50">
        <v>0.84</v>
      </c>
    </row>
    <row r="170" spans="1:3" x14ac:dyDescent="0.3">
      <c r="A170" s="31">
        <v>11</v>
      </c>
      <c r="B170" s="20" t="s">
        <v>12</v>
      </c>
      <c r="C170" s="50">
        <v>0.84</v>
      </c>
    </row>
    <row r="171" spans="1:3" x14ac:dyDescent="0.3">
      <c r="A171" s="31">
        <v>12</v>
      </c>
      <c r="B171" s="14" t="s">
        <v>13</v>
      </c>
      <c r="C171" s="50">
        <v>0.83</v>
      </c>
    </row>
    <row r="172" spans="1:3" x14ac:dyDescent="0.3">
      <c r="A172" s="31">
        <v>13</v>
      </c>
      <c r="B172" s="6" t="s">
        <v>14</v>
      </c>
      <c r="C172" s="50">
        <v>0.86</v>
      </c>
    </row>
    <row r="173" spans="1:3" x14ac:dyDescent="0.3">
      <c r="A173" s="31">
        <v>14</v>
      </c>
      <c r="B173" s="12" t="s">
        <v>15</v>
      </c>
      <c r="C173" s="50">
        <v>0.84</v>
      </c>
    </row>
    <row r="174" spans="1:3" x14ac:dyDescent="0.3">
      <c r="A174" s="31">
        <v>15</v>
      </c>
      <c r="B174" s="6" t="s">
        <v>16</v>
      </c>
      <c r="C174" s="50">
        <v>0.85</v>
      </c>
    </row>
    <row r="175" spans="1:3" x14ac:dyDescent="0.3">
      <c r="A175" s="31">
        <v>16</v>
      </c>
      <c r="B175" s="21" t="s">
        <v>17</v>
      </c>
      <c r="C175" s="50">
        <v>0.82</v>
      </c>
    </row>
    <row r="176" spans="1:3" x14ac:dyDescent="0.3">
      <c r="A176" s="31">
        <v>17</v>
      </c>
      <c r="B176" s="9" t="s">
        <v>18</v>
      </c>
      <c r="C176" s="50">
        <v>0.86</v>
      </c>
    </row>
    <row r="177" spans="1:3" x14ac:dyDescent="0.3">
      <c r="A177" s="31">
        <v>18</v>
      </c>
      <c r="B177" s="14" t="s">
        <v>19</v>
      </c>
      <c r="C177" s="50">
        <v>0.84</v>
      </c>
    </row>
    <row r="178" spans="1:3" x14ac:dyDescent="0.3">
      <c r="A178" s="31">
        <v>19</v>
      </c>
      <c r="B178" s="12" t="s">
        <v>20</v>
      </c>
      <c r="C178" s="50">
        <v>0.84</v>
      </c>
    </row>
    <row r="179" spans="1:3" x14ac:dyDescent="0.3">
      <c r="A179" s="31">
        <v>20</v>
      </c>
      <c r="B179" s="20" t="s">
        <v>21</v>
      </c>
      <c r="C179" s="50">
        <v>0.83</v>
      </c>
    </row>
    <row r="180" spans="1:3" x14ac:dyDescent="0.3">
      <c r="A180" s="31">
        <v>21</v>
      </c>
      <c r="B180" s="12" t="s">
        <v>22</v>
      </c>
      <c r="C180" s="50">
        <v>0.82</v>
      </c>
    </row>
    <row r="181" spans="1:3" x14ac:dyDescent="0.3">
      <c r="A181" s="31">
        <v>22</v>
      </c>
      <c r="B181" s="20" t="s">
        <v>23</v>
      </c>
      <c r="C181" s="50">
        <v>0.85</v>
      </c>
    </row>
    <row r="182" spans="1:3" x14ac:dyDescent="0.3">
      <c r="A182" s="31">
        <v>23</v>
      </c>
      <c r="B182" s="9" t="s">
        <v>24</v>
      </c>
      <c r="C182" s="50">
        <v>0.86</v>
      </c>
    </row>
    <row r="183" spans="1:3" ht="14.5" thickBot="1" x14ac:dyDescent="0.35">
      <c r="A183" s="32">
        <v>24</v>
      </c>
      <c r="B183" s="33" t="s">
        <v>25</v>
      </c>
      <c r="C183" s="55">
        <v>0.84</v>
      </c>
    </row>
    <row r="185" spans="1:3" x14ac:dyDescent="0.3">
      <c r="A185" s="57">
        <v>45299</v>
      </c>
      <c r="B185" t="s">
        <v>61</v>
      </c>
    </row>
    <row r="186" spans="1:3" ht="14.5" thickBot="1" x14ac:dyDescent="0.35">
      <c r="A186" s="1" t="s">
        <v>36</v>
      </c>
      <c r="B186" s="18">
        <v>45313</v>
      </c>
    </row>
    <row r="187" spans="1:3" x14ac:dyDescent="0.3">
      <c r="A187" s="22" t="s">
        <v>27</v>
      </c>
      <c r="B187" s="30" t="s">
        <v>26</v>
      </c>
      <c r="C187" s="23" t="s">
        <v>32</v>
      </c>
    </row>
    <row r="188" spans="1:3" x14ac:dyDescent="0.3">
      <c r="A188" s="31">
        <v>1</v>
      </c>
      <c r="B188" s="9" t="s">
        <v>2</v>
      </c>
      <c r="C188" s="50">
        <v>0.82</v>
      </c>
    </row>
    <row r="189" spans="1:3" x14ac:dyDescent="0.3">
      <c r="A189" s="31">
        <v>2</v>
      </c>
      <c r="B189" s="14" t="s">
        <v>3</v>
      </c>
      <c r="C189" s="50">
        <v>0.8</v>
      </c>
    </row>
    <row r="190" spans="1:3" x14ac:dyDescent="0.3">
      <c r="A190" s="31">
        <v>3</v>
      </c>
      <c r="B190" s="12" t="s">
        <v>4</v>
      </c>
      <c r="C190" s="50">
        <v>0.83</v>
      </c>
    </row>
    <row r="191" spans="1:3" x14ac:dyDescent="0.3">
      <c r="A191" s="31">
        <v>4</v>
      </c>
      <c r="B191" s="14" t="s">
        <v>5</v>
      </c>
      <c r="C191" s="50">
        <v>0.79</v>
      </c>
    </row>
    <row r="192" spans="1:3" x14ac:dyDescent="0.3">
      <c r="A192" s="31">
        <v>5</v>
      </c>
      <c r="B192" s="20" t="s">
        <v>6</v>
      </c>
      <c r="C192" s="50">
        <v>0.82</v>
      </c>
    </row>
    <row r="193" spans="1:3" x14ac:dyDescent="0.3">
      <c r="A193" s="31">
        <v>6</v>
      </c>
      <c r="B193" s="6" t="s">
        <v>7</v>
      </c>
      <c r="C193" s="50">
        <v>0.8</v>
      </c>
    </row>
    <row r="194" spans="1:3" x14ac:dyDescent="0.3">
      <c r="A194" s="31">
        <v>7</v>
      </c>
      <c r="B194" s="21" t="s">
        <v>8</v>
      </c>
      <c r="C194" s="50">
        <v>0.79</v>
      </c>
    </row>
    <row r="195" spans="1:3" x14ac:dyDescent="0.3">
      <c r="A195" s="31">
        <v>8</v>
      </c>
      <c r="B195" s="6" t="s">
        <v>9</v>
      </c>
      <c r="C195" s="50">
        <v>0.82</v>
      </c>
    </row>
    <row r="196" spans="1:3" x14ac:dyDescent="0.3">
      <c r="A196" s="31">
        <v>9</v>
      </c>
      <c r="B196" s="21" t="s">
        <v>10</v>
      </c>
      <c r="C196" s="50">
        <v>0.8</v>
      </c>
    </row>
    <row r="197" spans="1:3" x14ac:dyDescent="0.3">
      <c r="A197" s="31">
        <v>10</v>
      </c>
      <c r="B197" s="9" t="s">
        <v>11</v>
      </c>
      <c r="C197" s="50">
        <v>0.82</v>
      </c>
    </row>
    <row r="198" spans="1:3" x14ac:dyDescent="0.3">
      <c r="A198" s="31">
        <v>11</v>
      </c>
      <c r="B198" s="20" t="s">
        <v>12</v>
      </c>
      <c r="C198" s="50">
        <v>0.81</v>
      </c>
    </row>
    <row r="199" spans="1:3" x14ac:dyDescent="0.3">
      <c r="A199" s="31">
        <v>12</v>
      </c>
      <c r="B199" s="14" t="s">
        <v>13</v>
      </c>
      <c r="C199" s="50">
        <v>0.79</v>
      </c>
    </row>
    <row r="200" spans="1:3" x14ac:dyDescent="0.3">
      <c r="A200" s="31">
        <v>13</v>
      </c>
      <c r="B200" s="6" t="s">
        <v>14</v>
      </c>
      <c r="C200" s="50">
        <v>0.83</v>
      </c>
    </row>
    <row r="201" spans="1:3" x14ac:dyDescent="0.3">
      <c r="A201" s="31">
        <v>14</v>
      </c>
      <c r="B201" s="12" t="s">
        <v>15</v>
      </c>
      <c r="C201" s="50">
        <v>0.81</v>
      </c>
    </row>
    <row r="202" spans="1:3" x14ac:dyDescent="0.3">
      <c r="A202" s="31">
        <v>15</v>
      </c>
      <c r="B202" s="6" t="s">
        <v>16</v>
      </c>
      <c r="C202" s="50">
        <v>0.82</v>
      </c>
    </row>
    <row r="203" spans="1:3" x14ac:dyDescent="0.3">
      <c r="A203" s="31">
        <v>16</v>
      </c>
      <c r="B203" s="21" t="s">
        <v>17</v>
      </c>
      <c r="C203" s="50">
        <v>0.79</v>
      </c>
    </row>
    <row r="204" spans="1:3" x14ac:dyDescent="0.3">
      <c r="A204" s="31">
        <v>17</v>
      </c>
      <c r="B204" s="9" t="s">
        <v>18</v>
      </c>
      <c r="C204" s="50">
        <v>0.83</v>
      </c>
    </row>
    <row r="205" spans="1:3" x14ac:dyDescent="0.3">
      <c r="A205" s="31">
        <v>18</v>
      </c>
      <c r="B205" s="14" t="s">
        <v>19</v>
      </c>
      <c r="C205" s="50">
        <v>0.8</v>
      </c>
    </row>
    <row r="206" spans="1:3" x14ac:dyDescent="0.3">
      <c r="A206" s="31">
        <v>19</v>
      </c>
      <c r="B206" s="12" t="s">
        <v>20</v>
      </c>
      <c r="C206" s="50">
        <v>0.8</v>
      </c>
    </row>
    <row r="207" spans="1:3" x14ac:dyDescent="0.3">
      <c r="A207" s="31">
        <v>20</v>
      </c>
      <c r="B207" s="20" t="s">
        <v>21</v>
      </c>
      <c r="C207" s="50">
        <v>0.78</v>
      </c>
    </row>
    <row r="208" spans="1:3" x14ac:dyDescent="0.3">
      <c r="A208" s="31">
        <v>21</v>
      </c>
      <c r="B208" s="12" t="s">
        <v>22</v>
      </c>
      <c r="C208">
        <v>0.8</v>
      </c>
    </row>
    <row r="209" spans="1:3" x14ac:dyDescent="0.3">
      <c r="A209" s="31">
        <v>22</v>
      </c>
      <c r="B209" s="20" t="s">
        <v>23</v>
      </c>
      <c r="C209" s="50">
        <v>0.79</v>
      </c>
    </row>
    <row r="210" spans="1:3" x14ac:dyDescent="0.3">
      <c r="A210" s="31">
        <v>23</v>
      </c>
      <c r="B210" s="9" t="s">
        <v>24</v>
      </c>
      <c r="C210" s="50">
        <v>0.81</v>
      </c>
    </row>
    <row r="211" spans="1:3" ht="14.5" thickBot="1" x14ac:dyDescent="0.35">
      <c r="A211" s="32">
        <v>24</v>
      </c>
      <c r="B211" s="33" t="s">
        <v>25</v>
      </c>
      <c r="C211" s="50">
        <v>0.82</v>
      </c>
    </row>
    <row r="214" spans="1:3" ht="14.5" thickBot="1" x14ac:dyDescent="0.35">
      <c r="A214" s="1" t="s">
        <v>36</v>
      </c>
      <c r="B214" s="18">
        <v>45327</v>
      </c>
    </row>
    <row r="215" spans="1:3" x14ac:dyDescent="0.3">
      <c r="A215" s="22" t="s">
        <v>27</v>
      </c>
      <c r="B215" s="30" t="s">
        <v>26</v>
      </c>
      <c r="C215" s="23" t="s">
        <v>32</v>
      </c>
    </row>
    <row r="216" spans="1:3" x14ac:dyDescent="0.3">
      <c r="A216" s="31">
        <v>1</v>
      </c>
      <c r="B216" s="9" t="s">
        <v>2</v>
      </c>
      <c r="C216" s="50">
        <v>0.8</v>
      </c>
    </row>
    <row r="217" spans="1:3" x14ac:dyDescent="0.3">
      <c r="A217" s="31">
        <v>2</v>
      </c>
      <c r="B217" s="14" t="s">
        <v>3</v>
      </c>
      <c r="C217" s="50">
        <v>0.76</v>
      </c>
    </row>
    <row r="218" spans="1:3" x14ac:dyDescent="0.3">
      <c r="A218" s="31">
        <v>3</v>
      </c>
      <c r="B218" s="12" t="s">
        <v>4</v>
      </c>
      <c r="C218" s="50">
        <v>0.79</v>
      </c>
    </row>
    <row r="219" spans="1:3" x14ac:dyDescent="0.3">
      <c r="A219" s="31">
        <v>4</v>
      </c>
      <c r="B219" s="14" t="s">
        <v>5</v>
      </c>
      <c r="C219" s="50">
        <v>0.79</v>
      </c>
    </row>
    <row r="220" spans="1:3" x14ac:dyDescent="0.3">
      <c r="A220" s="31">
        <v>5</v>
      </c>
      <c r="B220" s="20" t="s">
        <v>6</v>
      </c>
      <c r="C220" s="50">
        <v>0.76</v>
      </c>
    </row>
    <row r="221" spans="1:3" x14ac:dyDescent="0.3">
      <c r="A221" s="31">
        <v>6</v>
      </c>
      <c r="B221" s="6" t="s">
        <v>7</v>
      </c>
      <c r="C221" s="50">
        <v>0.8</v>
      </c>
    </row>
    <row r="222" spans="1:3" x14ac:dyDescent="0.3">
      <c r="A222" s="31">
        <v>7</v>
      </c>
      <c r="B222" s="21" t="s">
        <v>8</v>
      </c>
      <c r="C222" s="50">
        <v>0.77</v>
      </c>
    </row>
    <row r="223" spans="1:3" x14ac:dyDescent="0.3">
      <c r="A223" s="31">
        <v>8</v>
      </c>
      <c r="B223" s="6" t="s">
        <v>9</v>
      </c>
      <c r="C223" s="50">
        <v>0.8</v>
      </c>
    </row>
    <row r="224" spans="1:3" x14ac:dyDescent="0.3">
      <c r="A224" s="31">
        <v>9</v>
      </c>
      <c r="B224" s="21" t="s">
        <v>10</v>
      </c>
      <c r="C224" s="50">
        <v>0.77</v>
      </c>
    </row>
    <row r="225" spans="1:3" x14ac:dyDescent="0.3">
      <c r="A225" s="31">
        <v>10</v>
      </c>
      <c r="B225" s="9" t="s">
        <v>11</v>
      </c>
      <c r="C225" s="50">
        <v>0.81</v>
      </c>
    </row>
    <row r="226" spans="1:3" x14ac:dyDescent="0.3">
      <c r="A226" s="31">
        <v>11</v>
      </c>
      <c r="B226" s="20" t="s">
        <v>12</v>
      </c>
      <c r="C226" s="50">
        <v>0.78</v>
      </c>
    </row>
    <row r="227" spans="1:3" x14ac:dyDescent="0.3">
      <c r="A227" s="31">
        <v>12</v>
      </c>
      <c r="B227" s="14" t="s">
        <v>13</v>
      </c>
      <c r="C227" s="50">
        <v>0.78</v>
      </c>
    </row>
    <row r="228" spans="1:3" x14ac:dyDescent="0.3">
      <c r="A228" s="31">
        <v>13</v>
      </c>
      <c r="B228" s="6" t="s">
        <v>14</v>
      </c>
      <c r="C228" s="50">
        <v>0.8</v>
      </c>
    </row>
    <row r="229" spans="1:3" x14ac:dyDescent="0.3">
      <c r="A229" s="31">
        <v>14</v>
      </c>
      <c r="B229" s="12" t="s">
        <v>15</v>
      </c>
      <c r="C229" s="50">
        <v>0.78</v>
      </c>
    </row>
    <row r="230" spans="1:3" x14ac:dyDescent="0.3">
      <c r="A230" s="31">
        <v>15</v>
      </c>
      <c r="B230" s="6" t="s">
        <v>16</v>
      </c>
      <c r="C230" s="50">
        <v>0.79</v>
      </c>
    </row>
    <row r="231" spans="1:3" x14ac:dyDescent="0.3">
      <c r="A231" s="31">
        <v>16</v>
      </c>
      <c r="B231" s="21" t="s">
        <v>17</v>
      </c>
      <c r="C231" s="50">
        <v>0.78</v>
      </c>
    </row>
    <row r="232" spans="1:3" x14ac:dyDescent="0.3">
      <c r="A232" s="31">
        <v>17</v>
      </c>
      <c r="B232" s="9" t="s">
        <v>18</v>
      </c>
      <c r="C232" s="50">
        <v>0.83</v>
      </c>
    </row>
    <row r="233" spans="1:3" x14ac:dyDescent="0.3">
      <c r="A233" s="31">
        <v>18</v>
      </c>
      <c r="B233" s="14" t="s">
        <v>19</v>
      </c>
      <c r="C233" s="50">
        <v>0.78</v>
      </c>
    </row>
    <row r="234" spans="1:3" x14ac:dyDescent="0.3">
      <c r="A234" s="31">
        <v>19</v>
      </c>
      <c r="B234" s="12" t="s">
        <v>20</v>
      </c>
      <c r="C234" s="50">
        <v>0.77</v>
      </c>
    </row>
    <row r="235" spans="1:3" x14ac:dyDescent="0.3">
      <c r="A235" s="31">
        <v>20</v>
      </c>
      <c r="B235" s="20" t="s">
        <v>21</v>
      </c>
      <c r="C235" s="50">
        <v>0.77</v>
      </c>
    </row>
    <row r="236" spans="1:3" x14ac:dyDescent="0.3">
      <c r="A236" s="31">
        <v>21</v>
      </c>
      <c r="B236" s="12" t="s">
        <v>22</v>
      </c>
      <c r="C236" s="50">
        <v>0.78</v>
      </c>
    </row>
    <row r="237" spans="1:3" x14ac:dyDescent="0.3">
      <c r="A237" s="31">
        <v>22</v>
      </c>
      <c r="B237" s="20" t="s">
        <v>23</v>
      </c>
      <c r="C237" s="50">
        <v>0.77</v>
      </c>
    </row>
    <row r="238" spans="1:3" x14ac:dyDescent="0.3">
      <c r="A238" s="31">
        <v>23</v>
      </c>
      <c r="B238" s="9" t="s">
        <v>24</v>
      </c>
      <c r="C238" s="50">
        <v>0.81</v>
      </c>
    </row>
    <row r="239" spans="1:3" ht="14.5" thickBot="1" x14ac:dyDescent="0.35">
      <c r="A239" s="32">
        <v>24</v>
      </c>
      <c r="B239" s="33" t="s">
        <v>25</v>
      </c>
      <c r="C239" s="55">
        <v>0.79</v>
      </c>
    </row>
    <row r="242" spans="1:3" ht="14.5" thickBot="1" x14ac:dyDescent="0.35">
      <c r="A242" s="1" t="s">
        <v>36</v>
      </c>
      <c r="B242" s="18">
        <v>45341</v>
      </c>
    </row>
    <row r="243" spans="1:3" x14ac:dyDescent="0.3">
      <c r="A243" s="22" t="s">
        <v>27</v>
      </c>
      <c r="B243" s="30" t="s">
        <v>26</v>
      </c>
      <c r="C243" s="23" t="s">
        <v>32</v>
      </c>
    </row>
    <row r="244" spans="1:3" x14ac:dyDescent="0.3">
      <c r="A244" s="31">
        <v>1</v>
      </c>
      <c r="B244" s="9" t="s">
        <v>2</v>
      </c>
      <c r="C244" s="50"/>
    </row>
    <row r="245" spans="1:3" x14ac:dyDescent="0.3">
      <c r="A245" s="31">
        <v>2</v>
      </c>
      <c r="B245" s="14" t="s">
        <v>3</v>
      </c>
      <c r="C245" s="50"/>
    </row>
    <row r="246" spans="1:3" x14ac:dyDescent="0.3">
      <c r="A246" s="31">
        <v>3</v>
      </c>
      <c r="B246" s="12" t="s">
        <v>4</v>
      </c>
      <c r="C246" s="50"/>
    </row>
    <row r="247" spans="1:3" x14ac:dyDescent="0.3">
      <c r="A247" s="31">
        <v>4</v>
      </c>
      <c r="B247" s="14" t="s">
        <v>5</v>
      </c>
      <c r="C247" s="50"/>
    </row>
    <row r="248" spans="1:3" x14ac:dyDescent="0.3">
      <c r="A248" s="31">
        <v>5</v>
      </c>
      <c r="B248" s="20" t="s">
        <v>6</v>
      </c>
      <c r="C248" s="50"/>
    </row>
    <row r="249" spans="1:3" x14ac:dyDescent="0.3">
      <c r="A249" s="31">
        <v>6</v>
      </c>
      <c r="B249" s="6" t="s">
        <v>7</v>
      </c>
      <c r="C249" s="50"/>
    </row>
    <row r="250" spans="1:3" x14ac:dyDescent="0.3">
      <c r="A250" s="31">
        <v>7</v>
      </c>
      <c r="B250" s="21" t="s">
        <v>8</v>
      </c>
      <c r="C250" s="50"/>
    </row>
    <row r="251" spans="1:3" x14ac:dyDescent="0.3">
      <c r="A251" s="31">
        <v>8</v>
      </c>
      <c r="B251" s="6" t="s">
        <v>9</v>
      </c>
      <c r="C251" s="50"/>
    </row>
    <row r="252" spans="1:3" x14ac:dyDescent="0.3">
      <c r="A252" s="31">
        <v>9</v>
      </c>
      <c r="B252" s="21" t="s">
        <v>10</v>
      </c>
      <c r="C252" s="50"/>
    </row>
    <row r="253" spans="1:3" x14ac:dyDescent="0.3">
      <c r="A253" s="31">
        <v>10</v>
      </c>
      <c r="B253" s="9" t="s">
        <v>11</v>
      </c>
      <c r="C253" s="50"/>
    </row>
    <row r="254" spans="1:3" x14ac:dyDescent="0.3">
      <c r="A254" s="31">
        <v>11</v>
      </c>
      <c r="B254" s="20" t="s">
        <v>12</v>
      </c>
      <c r="C254" s="50"/>
    </row>
    <row r="255" spans="1:3" x14ac:dyDescent="0.3">
      <c r="A255" s="31">
        <v>12</v>
      </c>
      <c r="B255" s="14" t="s">
        <v>13</v>
      </c>
      <c r="C255" s="50"/>
    </row>
    <row r="256" spans="1:3" x14ac:dyDescent="0.3">
      <c r="A256" s="31">
        <v>13</v>
      </c>
      <c r="B256" s="6" t="s">
        <v>14</v>
      </c>
      <c r="C256" s="50"/>
    </row>
    <row r="257" spans="1:3" x14ac:dyDescent="0.3">
      <c r="A257" s="31">
        <v>14</v>
      </c>
      <c r="B257" s="12" t="s">
        <v>15</v>
      </c>
      <c r="C257" s="50"/>
    </row>
    <row r="258" spans="1:3" x14ac:dyDescent="0.3">
      <c r="A258" s="31">
        <v>15</v>
      </c>
      <c r="B258" s="6" t="s">
        <v>16</v>
      </c>
      <c r="C258" s="50"/>
    </row>
    <row r="259" spans="1:3" x14ac:dyDescent="0.3">
      <c r="A259" s="31">
        <v>16</v>
      </c>
      <c r="B259" s="21" t="s">
        <v>17</v>
      </c>
      <c r="C259" s="50"/>
    </row>
    <row r="260" spans="1:3" x14ac:dyDescent="0.3">
      <c r="A260" s="31">
        <v>17</v>
      </c>
      <c r="B260" s="9" t="s">
        <v>18</v>
      </c>
      <c r="C260" s="50"/>
    </row>
    <row r="261" spans="1:3" x14ac:dyDescent="0.3">
      <c r="A261" s="31">
        <v>18</v>
      </c>
      <c r="B261" s="14" t="s">
        <v>19</v>
      </c>
      <c r="C261" s="50"/>
    </row>
    <row r="262" spans="1:3" x14ac:dyDescent="0.3">
      <c r="A262" s="31">
        <v>19</v>
      </c>
      <c r="B262" s="12" t="s">
        <v>20</v>
      </c>
      <c r="C262" s="50"/>
    </row>
    <row r="263" spans="1:3" x14ac:dyDescent="0.3">
      <c r="A263" s="31">
        <v>20</v>
      </c>
      <c r="B263" s="20" t="s">
        <v>21</v>
      </c>
      <c r="C263" s="50"/>
    </row>
    <row r="264" spans="1:3" x14ac:dyDescent="0.3">
      <c r="A264" s="31">
        <v>21</v>
      </c>
      <c r="B264" s="12" t="s">
        <v>22</v>
      </c>
      <c r="C264" s="50"/>
    </row>
    <row r="265" spans="1:3" x14ac:dyDescent="0.3">
      <c r="A265" s="31">
        <v>22</v>
      </c>
      <c r="B265" s="20" t="s">
        <v>23</v>
      </c>
      <c r="C265" s="50"/>
    </row>
    <row r="266" spans="1:3" x14ac:dyDescent="0.3">
      <c r="A266" s="31">
        <v>23</v>
      </c>
      <c r="B266" s="9" t="s">
        <v>24</v>
      </c>
      <c r="C266" s="50"/>
    </row>
    <row r="267" spans="1:3" ht="14.5" thickBot="1" x14ac:dyDescent="0.35">
      <c r="A267" s="32">
        <v>24</v>
      </c>
      <c r="B267" s="33" t="s">
        <v>25</v>
      </c>
      <c r="C267" s="55"/>
    </row>
    <row r="270" spans="1:3" ht="14.5" thickBot="1" x14ac:dyDescent="0.35">
      <c r="A270" s="1" t="s">
        <v>36</v>
      </c>
      <c r="B270" s="18">
        <v>45356</v>
      </c>
    </row>
    <row r="271" spans="1:3" x14ac:dyDescent="0.3">
      <c r="A271" s="22" t="s">
        <v>27</v>
      </c>
      <c r="B271" s="30" t="s">
        <v>26</v>
      </c>
      <c r="C271" s="23" t="s">
        <v>28</v>
      </c>
    </row>
    <row r="272" spans="1:3" x14ac:dyDescent="0.3">
      <c r="A272" s="31">
        <v>1</v>
      </c>
      <c r="B272" s="9" t="s">
        <v>2</v>
      </c>
      <c r="C272" s="50">
        <v>0.77</v>
      </c>
    </row>
    <row r="273" spans="1:3" x14ac:dyDescent="0.3">
      <c r="A273" s="31">
        <v>2</v>
      </c>
      <c r="B273" s="14" t="s">
        <v>3</v>
      </c>
      <c r="C273" s="50">
        <v>0.77</v>
      </c>
    </row>
    <row r="274" spans="1:3" x14ac:dyDescent="0.3">
      <c r="A274" s="31">
        <v>3</v>
      </c>
      <c r="B274" s="12" t="s">
        <v>4</v>
      </c>
      <c r="C274" s="50">
        <v>0.77</v>
      </c>
    </row>
    <row r="275" spans="1:3" x14ac:dyDescent="0.3">
      <c r="A275" s="31">
        <v>4</v>
      </c>
      <c r="B275" s="14" t="s">
        <v>5</v>
      </c>
      <c r="C275" s="50">
        <v>0.76</v>
      </c>
    </row>
    <row r="276" spans="1:3" x14ac:dyDescent="0.3">
      <c r="A276" s="31">
        <v>5</v>
      </c>
      <c r="B276" s="20" t="s">
        <v>6</v>
      </c>
      <c r="C276" s="50">
        <v>0.74</v>
      </c>
    </row>
    <row r="277" spans="1:3" x14ac:dyDescent="0.3">
      <c r="A277" s="31">
        <v>6</v>
      </c>
      <c r="B277" s="6" t="s">
        <v>7</v>
      </c>
      <c r="C277" s="50">
        <v>0.77</v>
      </c>
    </row>
    <row r="278" spans="1:3" x14ac:dyDescent="0.3">
      <c r="A278" s="31">
        <v>7</v>
      </c>
      <c r="B278" s="21" t="s">
        <v>8</v>
      </c>
      <c r="C278" s="50">
        <v>0.76</v>
      </c>
    </row>
    <row r="279" spans="1:3" x14ac:dyDescent="0.3">
      <c r="A279" s="31">
        <v>8</v>
      </c>
      <c r="B279" s="6" t="s">
        <v>9</v>
      </c>
      <c r="C279" s="50">
        <v>0.78</v>
      </c>
    </row>
    <row r="280" spans="1:3" x14ac:dyDescent="0.3">
      <c r="A280" s="31">
        <v>9</v>
      </c>
      <c r="B280" s="21" t="s">
        <v>10</v>
      </c>
      <c r="C280" s="50">
        <v>0.75</v>
      </c>
    </row>
    <row r="281" spans="1:3" x14ac:dyDescent="0.3">
      <c r="A281" s="31">
        <v>10</v>
      </c>
      <c r="B281" s="9" t="s">
        <v>11</v>
      </c>
      <c r="C281" s="50">
        <v>0.78</v>
      </c>
    </row>
    <row r="282" spans="1:3" x14ac:dyDescent="0.3">
      <c r="A282" s="31">
        <v>11</v>
      </c>
      <c r="B282" s="20" t="s">
        <v>12</v>
      </c>
      <c r="C282" s="50">
        <v>0.76</v>
      </c>
    </row>
    <row r="283" spans="1:3" x14ac:dyDescent="0.3">
      <c r="A283" s="31">
        <v>12</v>
      </c>
      <c r="B283" s="14" t="s">
        <v>13</v>
      </c>
      <c r="C283" s="50">
        <v>0.78</v>
      </c>
    </row>
    <row r="284" spans="1:3" x14ac:dyDescent="0.3">
      <c r="A284" s="31">
        <v>13</v>
      </c>
      <c r="B284" s="6" t="s">
        <v>14</v>
      </c>
      <c r="C284" s="50">
        <v>0.77</v>
      </c>
    </row>
    <row r="285" spans="1:3" x14ac:dyDescent="0.3">
      <c r="A285" s="31">
        <v>14</v>
      </c>
      <c r="B285" s="12" t="s">
        <v>15</v>
      </c>
      <c r="C285" s="50">
        <v>0.76</v>
      </c>
    </row>
    <row r="286" spans="1:3" x14ac:dyDescent="0.3">
      <c r="A286" s="31">
        <v>15</v>
      </c>
      <c r="B286" s="6" t="s">
        <v>16</v>
      </c>
      <c r="C286" s="50">
        <v>0.78</v>
      </c>
    </row>
    <row r="287" spans="1:3" x14ac:dyDescent="0.3">
      <c r="A287" s="31">
        <v>16</v>
      </c>
      <c r="B287" s="21" t="s">
        <v>17</v>
      </c>
      <c r="C287" s="50">
        <v>0.74</v>
      </c>
    </row>
    <row r="288" spans="1:3" x14ac:dyDescent="0.3">
      <c r="A288" s="31">
        <v>17</v>
      </c>
      <c r="B288" s="9" t="s">
        <v>18</v>
      </c>
      <c r="C288" s="50">
        <v>0.8</v>
      </c>
    </row>
    <row r="289" spans="1:3" x14ac:dyDescent="0.3">
      <c r="A289" s="31">
        <v>18</v>
      </c>
      <c r="B289" s="14" t="s">
        <v>19</v>
      </c>
      <c r="C289" s="50">
        <v>0.76</v>
      </c>
    </row>
    <row r="290" spans="1:3" x14ac:dyDescent="0.3">
      <c r="A290" s="31">
        <v>19</v>
      </c>
      <c r="B290" s="12" t="s">
        <v>20</v>
      </c>
      <c r="C290" s="50">
        <v>0.77</v>
      </c>
    </row>
    <row r="291" spans="1:3" x14ac:dyDescent="0.3">
      <c r="A291" s="31">
        <v>20</v>
      </c>
      <c r="B291" s="20" t="s">
        <v>21</v>
      </c>
      <c r="C291" s="50">
        <v>0.76</v>
      </c>
    </row>
    <row r="292" spans="1:3" x14ac:dyDescent="0.3">
      <c r="A292" s="31">
        <v>21</v>
      </c>
      <c r="B292" s="12" t="s">
        <v>22</v>
      </c>
      <c r="C292" s="50">
        <v>0.75</v>
      </c>
    </row>
    <row r="293" spans="1:3" x14ac:dyDescent="0.3">
      <c r="A293" s="31">
        <v>22</v>
      </c>
      <c r="B293" s="20" t="s">
        <v>23</v>
      </c>
      <c r="C293" s="50">
        <v>0.78</v>
      </c>
    </row>
    <row r="294" spans="1:3" x14ac:dyDescent="0.3">
      <c r="A294" s="31">
        <v>23</v>
      </c>
      <c r="B294" s="9" t="s">
        <v>24</v>
      </c>
      <c r="C294" s="50">
        <v>0.79</v>
      </c>
    </row>
    <row r="295" spans="1:3" ht="14.5" thickBot="1" x14ac:dyDescent="0.35">
      <c r="A295" s="32">
        <v>24</v>
      </c>
      <c r="B295" s="33" t="s">
        <v>25</v>
      </c>
      <c r="C295" s="55">
        <v>0.75</v>
      </c>
    </row>
    <row r="298" spans="1:3" ht="14.5" thickBot="1" x14ac:dyDescent="0.35">
      <c r="A298" s="1" t="s">
        <v>36</v>
      </c>
      <c r="B298" s="18">
        <v>45369</v>
      </c>
    </row>
    <row r="299" spans="1:3" x14ac:dyDescent="0.3">
      <c r="A299" s="22" t="s">
        <v>27</v>
      </c>
      <c r="B299" s="30" t="s">
        <v>26</v>
      </c>
      <c r="C299" s="23" t="s">
        <v>28</v>
      </c>
    </row>
    <row r="300" spans="1:3" x14ac:dyDescent="0.3">
      <c r="A300" s="31">
        <v>1</v>
      </c>
      <c r="B300" s="9" t="s">
        <v>2</v>
      </c>
      <c r="C300" s="50">
        <v>0.72</v>
      </c>
    </row>
    <row r="301" spans="1:3" x14ac:dyDescent="0.3">
      <c r="A301" s="31">
        <v>2</v>
      </c>
      <c r="B301" s="14" t="s">
        <v>3</v>
      </c>
      <c r="C301" s="50">
        <v>0.71</v>
      </c>
    </row>
    <row r="302" spans="1:3" x14ac:dyDescent="0.3">
      <c r="A302" s="31">
        <v>3</v>
      </c>
      <c r="B302" s="12" t="s">
        <v>4</v>
      </c>
      <c r="C302" s="50">
        <v>0.73</v>
      </c>
    </row>
    <row r="303" spans="1:3" x14ac:dyDescent="0.3">
      <c r="A303" s="31">
        <v>4</v>
      </c>
      <c r="B303" s="14" t="s">
        <v>5</v>
      </c>
      <c r="C303" s="50">
        <v>0.71</v>
      </c>
    </row>
    <row r="304" spans="1:3" x14ac:dyDescent="0.3">
      <c r="A304" s="31">
        <v>5</v>
      </c>
      <c r="B304" s="20" t="s">
        <v>6</v>
      </c>
      <c r="C304" s="50">
        <v>0.69</v>
      </c>
    </row>
    <row r="305" spans="1:6" x14ac:dyDescent="0.3">
      <c r="A305" s="31">
        <v>6</v>
      </c>
      <c r="B305" s="6" t="s">
        <v>7</v>
      </c>
      <c r="C305" s="50">
        <v>0.71</v>
      </c>
    </row>
    <row r="306" spans="1:6" x14ac:dyDescent="0.3">
      <c r="A306" s="31">
        <v>7</v>
      </c>
      <c r="B306" s="21" t="s">
        <v>8</v>
      </c>
      <c r="C306" s="50">
        <v>0.69</v>
      </c>
    </row>
    <row r="307" spans="1:6" x14ac:dyDescent="0.3">
      <c r="A307" s="31">
        <v>8</v>
      </c>
      <c r="B307" s="6" t="s">
        <v>9</v>
      </c>
      <c r="C307" s="50">
        <v>0.72</v>
      </c>
    </row>
    <row r="308" spans="1:6" x14ac:dyDescent="0.3">
      <c r="A308" s="31">
        <v>9</v>
      </c>
      <c r="B308" s="21" t="s">
        <v>10</v>
      </c>
      <c r="C308" s="50">
        <v>0.68</v>
      </c>
    </row>
    <row r="309" spans="1:6" x14ac:dyDescent="0.3">
      <c r="A309" s="31">
        <v>10</v>
      </c>
      <c r="B309" s="9" t="s">
        <v>11</v>
      </c>
      <c r="C309" s="50">
        <v>0.74</v>
      </c>
    </row>
    <row r="310" spans="1:6" x14ac:dyDescent="0.3">
      <c r="A310" s="31">
        <v>11</v>
      </c>
      <c r="B310" s="20" t="s">
        <v>12</v>
      </c>
      <c r="C310" s="50">
        <v>0.69</v>
      </c>
    </row>
    <row r="311" spans="1:6" x14ac:dyDescent="0.3">
      <c r="A311" s="31">
        <v>12</v>
      </c>
      <c r="B311" s="14" t="s">
        <v>13</v>
      </c>
      <c r="C311" s="50">
        <v>0.71</v>
      </c>
    </row>
    <row r="312" spans="1:6" x14ac:dyDescent="0.3">
      <c r="A312" s="31">
        <v>13</v>
      </c>
      <c r="B312" s="6" t="s">
        <v>14</v>
      </c>
      <c r="C312" s="50">
        <v>0.71</v>
      </c>
    </row>
    <row r="313" spans="1:6" x14ac:dyDescent="0.3">
      <c r="A313" s="31">
        <v>14</v>
      </c>
      <c r="B313" s="12" t="s">
        <v>15</v>
      </c>
      <c r="C313" s="50">
        <v>0.7</v>
      </c>
      <c r="F313">
        <v>0.72</v>
      </c>
    </row>
    <row r="314" spans="1:6" x14ac:dyDescent="0.3">
      <c r="A314" s="31">
        <v>15</v>
      </c>
      <c r="B314" s="6" t="s">
        <v>16</v>
      </c>
      <c r="C314" s="50">
        <v>0.69</v>
      </c>
    </row>
    <row r="315" spans="1:6" x14ac:dyDescent="0.3">
      <c r="A315" s="31">
        <v>16</v>
      </c>
      <c r="B315" s="21" t="s">
        <v>17</v>
      </c>
      <c r="C315" s="50">
        <v>0.7</v>
      </c>
    </row>
    <row r="316" spans="1:6" x14ac:dyDescent="0.3">
      <c r="A316" s="31">
        <v>17</v>
      </c>
      <c r="B316" s="9" t="s">
        <v>18</v>
      </c>
      <c r="C316" s="50">
        <v>0.73</v>
      </c>
    </row>
    <row r="317" spans="1:6" x14ac:dyDescent="0.3">
      <c r="A317" s="31">
        <v>18</v>
      </c>
      <c r="B317" s="14" t="s">
        <v>19</v>
      </c>
      <c r="C317" s="50">
        <v>0.71</v>
      </c>
    </row>
    <row r="318" spans="1:6" x14ac:dyDescent="0.3">
      <c r="A318" s="31">
        <v>19</v>
      </c>
      <c r="B318" s="12" t="s">
        <v>20</v>
      </c>
      <c r="C318" s="50">
        <v>0.68</v>
      </c>
    </row>
    <row r="319" spans="1:6" x14ac:dyDescent="0.3">
      <c r="A319" s="31">
        <v>20</v>
      </c>
      <c r="B319" s="20" t="s">
        <v>21</v>
      </c>
      <c r="C319" s="50">
        <v>0.69</v>
      </c>
    </row>
    <row r="320" spans="1:6" x14ac:dyDescent="0.3">
      <c r="A320" s="31">
        <v>21</v>
      </c>
      <c r="B320" s="12" t="s">
        <v>22</v>
      </c>
      <c r="C320" s="50">
        <v>0.69</v>
      </c>
    </row>
    <row r="321" spans="1:3" x14ac:dyDescent="0.3">
      <c r="A321" s="31">
        <v>22</v>
      </c>
      <c r="B321" s="20" t="s">
        <v>23</v>
      </c>
      <c r="C321" s="50">
        <v>0.7</v>
      </c>
    </row>
    <row r="322" spans="1:3" x14ac:dyDescent="0.3">
      <c r="A322" s="31">
        <v>23</v>
      </c>
      <c r="B322" s="9" t="s">
        <v>24</v>
      </c>
      <c r="C322" s="50">
        <v>0.7</v>
      </c>
    </row>
    <row r="323" spans="1:3" ht="14.5" thickBot="1" x14ac:dyDescent="0.35">
      <c r="A323" s="32">
        <v>24</v>
      </c>
      <c r="B323" s="33" t="s">
        <v>25</v>
      </c>
      <c r="C323" s="55">
        <v>0.69</v>
      </c>
    </row>
    <row r="326" spans="1:3" ht="14.5" thickBot="1" x14ac:dyDescent="0.35">
      <c r="A326" s="1" t="s">
        <v>36</v>
      </c>
      <c r="B326" s="18">
        <v>45384</v>
      </c>
    </row>
    <row r="327" spans="1:3" x14ac:dyDescent="0.3">
      <c r="A327" s="22" t="s">
        <v>27</v>
      </c>
      <c r="B327" s="30" t="s">
        <v>26</v>
      </c>
      <c r="C327" s="23" t="s">
        <v>28</v>
      </c>
    </row>
    <row r="328" spans="1:3" x14ac:dyDescent="0.3">
      <c r="A328" s="31">
        <v>1</v>
      </c>
      <c r="B328" s="9" t="s">
        <v>2</v>
      </c>
      <c r="C328" s="50">
        <v>0.74</v>
      </c>
    </row>
    <row r="329" spans="1:3" x14ac:dyDescent="0.3">
      <c r="A329" s="31">
        <v>2</v>
      </c>
      <c r="B329" s="14" t="s">
        <v>3</v>
      </c>
      <c r="C329" s="50">
        <v>0.74</v>
      </c>
    </row>
    <row r="330" spans="1:3" x14ac:dyDescent="0.3">
      <c r="A330" s="31">
        <v>3</v>
      </c>
      <c r="B330" s="12" t="s">
        <v>4</v>
      </c>
      <c r="C330" s="50">
        <v>0.73</v>
      </c>
    </row>
    <row r="331" spans="1:3" x14ac:dyDescent="0.3">
      <c r="A331" s="31">
        <v>4</v>
      </c>
      <c r="B331" s="14" t="s">
        <v>5</v>
      </c>
      <c r="C331" s="50">
        <v>0.72</v>
      </c>
    </row>
    <row r="332" spans="1:3" x14ac:dyDescent="0.3">
      <c r="A332" s="31">
        <v>5</v>
      </c>
      <c r="B332" s="20" t="s">
        <v>6</v>
      </c>
      <c r="C332" s="50">
        <v>0.71</v>
      </c>
    </row>
    <row r="333" spans="1:3" x14ac:dyDescent="0.3">
      <c r="A333" s="31">
        <v>6</v>
      </c>
      <c r="B333" s="6" t="s">
        <v>7</v>
      </c>
      <c r="C333" s="50">
        <v>0.72</v>
      </c>
    </row>
    <row r="334" spans="1:3" x14ac:dyDescent="0.3">
      <c r="A334" s="31">
        <v>7</v>
      </c>
      <c r="B334" s="21" t="s">
        <v>8</v>
      </c>
      <c r="C334" s="50">
        <v>0.71</v>
      </c>
    </row>
    <row r="335" spans="1:3" x14ac:dyDescent="0.3">
      <c r="A335" s="31">
        <v>8</v>
      </c>
      <c r="B335" s="6" t="s">
        <v>9</v>
      </c>
      <c r="C335" s="50">
        <v>0.72</v>
      </c>
    </row>
    <row r="336" spans="1:3" x14ac:dyDescent="0.3">
      <c r="A336" s="31">
        <v>9</v>
      </c>
      <c r="B336" s="21" t="s">
        <v>10</v>
      </c>
      <c r="C336" s="50">
        <v>0.69</v>
      </c>
    </row>
    <row r="337" spans="1:3" x14ac:dyDescent="0.3">
      <c r="A337" s="31">
        <v>10</v>
      </c>
      <c r="B337" s="9" t="s">
        <v>11</v>
      </c>
      <c r="C337" s="50">
        <v>0.71</v>
      </c>
    </row>
    <row r="338" spans="1:3" x14ac:dyDescent="0.3">
      <c r="A338" s="31">
        <v>11</v>
      </c>
      <c r="B338" s="20" t="s">
        <v>12</v>
      </c>
      <c r="C338" s="50">
        <v>0.72</v>
      </c>
    </row>
    <row r="339" spans="1:3" x14ac:dyDescent="0.3">
      <c r="A339" s="31">
        <v>12</v>
      </c>
      <c r="B339" s="14" t="s">
        <v>13</v>
      </c>
      <c r="C339" s="50">
        <v>0.71</v>
      </c>
    </row>
    <row r="340" spans="1:3" x14ac:dyDescent="0.3">
      <c r="A340" s="31">
        <v>13</v>
      </c>
      <c r="B340" s="6" t="s">
        <v>14</v>
      </c>
      <c r="C340" s="50">
        <v>0.7</v>
      </c>
    </row>
    <row r="341" spans="1:3" x14ac:dyDescent="0.3">
      <c r="A341" s="31">
        <v>14</v>
      </c>
      <c r="B341" s="12" t="s">
        <v>15</v>
      </c>
      <c r="C341" s="50">
        <v>0.71</v>
      </c>
    </row>
    <row r="342" spans="1:3" x14ac:dyDescent="0.3">
      <c r="A342" s="31">
        <v>15</v>
      </c>
      <c r="B342" s="6" t="s">
        <v>16</v>
      </c>
      <c r="C342" s="50">
        <v>0.69</v>
      </c>
    </row>
    <row r="343" spans="1:3" x14ac:dyDescent="0.3">
      <c r="A343" s="31">
        <v>16</v>
      </c>
      <c r="B343" s="21" t="s">
        <v>17</v>
      </c>
      <c r="C343" s="50">
        <v>0.7</v>
      </c>
    </row>
    <row r="344" spans="1:3" x14ac:dyDescent="0.3">
      <c r="A344" s="31">
        <v>17</v>
      </c>
      <c r="B344" s="9" t="s">
        <v>18</v>
      </c>
      <c r="C344" s="50">
        <v>0.73</v>
      </c>
    </row>
    <row r="345" spans="1:3" x14ac:dyDescent="0.3">
      <c r="A345" s="31">
        <v>18</v>
      </c>
      <c r="B345" s="14" t="s">
        <v>19</v>
      </c>
      <c r="C345" s="50">
        <v>0.72</v>
      </c>
    </row>
    <row r="346" spans="1:3" x14ac:dyDescent="0.3">
      <c r="A346" s="31">
        <v>19</v>
      </c>
      <c r="B346" s="12" t="s">
        <v>20</v>
      </c>
      <c r="C346" s="50">
        <v>0.68</v>
      </c>
    </row>
    <row r="347" spans="1:3" x14ac:dyDescent="0.3">
      <c r="A347" s="31">
        <v>20</v>
      </c>
      <c r="B347" s="20" t="s">
        <v>21</v>
      </c>
      <c r="C347" s="50">
        <v>0.71</v>
      </c>
    </row>
    <row r="348" spans="1:3" x14ac:dyDescent="0.3">
      <c r="A348" s="31">
        <v>21</v>
      </c>
      <c r="B348" s="12" t="s">
        <v>22</v>
      </c>
      <c r="C348" s="50">
        <v>0.71</v>
      </c>
    </row>
    <row r="349" spans="1:3" x14ac:dyDescent="0.3">
      <c r="A349" s="31">
        <v>22</v>
      </c>
      <c r="B349" s="20" t="s">
        <v>23</v>
      </c>
      <c r="C349" s="50">
        <v>0.71</v>
      </c>
    </row>
    <row r="350" spans="1:3" x14ac:dyDescent="0.3">
      <c r="A350" s="31">
        <v>23</v>
      </c>
      <c r="B350" s="9" t="s">
        <v>24</v>
      </c>
      <c r="C350" s="50">
        <v>0.68</v>
      </c>
    </row>
    <row r="351" spans="1:3" ht="14.5" thickBot="1" x14ac:dyDescent="0.35">
      <c r="A351" s="32">
        <v>24</v>
      </c>
      <c r="B351" s="33" t="s">
        <v>25</v>
      </c>
      <c r="C351" s="55">
        <v>0.71</v>
      </c>
    </row>
    <row r="354" spans="1:3" ht="14.5" thickBot="1" x14ac:dyDescent="0.35">
      <c r="A354" s="1" t="s">
        <v>36</v>
      </c>
      <c r="B354" s="18">
        <v>45399</v>
      </c>
    </row>
    <row r="355" spans="1:3" x14ac:dyDescent="0.3">
      <c r="A355" s="22" t="s">
        <v>27</v>
      </c>
      <c r="B355" s="30" t="s">
        <v>26</v>
      </c>
      <c r="C355" s="23" t="s">
        <v>28</v>
      </c>
    </row>
    <row r="356" spans="1:3" x14ac:dyDescent="0.3">
      <c r="A356" s="31">
        <v>1</v>
      </c>
      <c r="B356" s="9" t="s">
        <v>2</v>
      </c>
      <c r="C356" s="50">
        <v>0.73</v>
      </c>
    </row>
    <row r="357" spans="1:3" x14ac:dyDescent="0.3">
      <c r="A357" s="31">
        <v>2</v>
      </c>
      <c r="B357" s="14" t="s">
        <v>3</v>
      </c>
      <c r="C357" s="50">
        <v>0.71</v>
      </c>
    </row>
    <row r="358" spans="1:3" x14ac:dyDescent="0.3">
      <c r="A358" s="31">
        <v>3</v>
      </c>
      <c r="B358" s="12" t="s">
        <v>4</v>
      </c>
      <c r="C358" s="50">
        <v>0.72</v>
      </c>
    </row>
    <row r="359" spans="1:3" x14ac:dyDescent="0.3">
      <c r="A359" s="31">
        <v>4</v>
      </c>
      <c r="B359" s="14" t="s">
        <v>5</v>
      </c>
      <c r="C359" s="50">
        <v>0.72</v>
      </c>
    </row>
    <row r="360" spans="1:3" x14ac:dyDescent="0.3">
      <c r="A360" s="31">
        <v>5</v>
      </c>
      <c r="B360" s="20" t="s">
        <v>6</v>
      </c>
      <c r="C360" s="50">
        <v>0.7</v>
      </c>
    </row>
    <row r="361" spans="1:3" x14ac:dyDescent="0.3">
      <c r="A361" s="31">
        <v>6</v>
      </c>
      <c r="B361" s="6" t="s">
        <v>7</v>
      </c>
      <c r="C361" s="50">
        <v>0.73</v>
      </c>
    </row>
    <row r="362" spans="1:3" x14ac:dyDescent="0.3">
      <c r="A362" s="31">
        <v>7</v>
      </c>
      <c r="B362" s="21" t="s">
        <v>8</v>
      </c>
      <c r="C362" s="50">
        <v>0.73</v>
      </c>
    </row>
    <row r="363" spans="1:3" x14ac:dyDescent="0.3">
      <c r="A363" s="31">
        <v>8</v>
      </c>
      <c r="B363" s="6" t="s">
        <v>9</v>
      </c>
      <c r="C363" s="50">
        <v>0.71</v>
      </c>
    </row>
    <row r="364" spans="1:3" x14ac:dyDescent="0.3">
      <c r="A364" s="31">
        <v>9</v>
      </c>
      <c r="B364" s="21" t="s">
        <v>10</v>
      </c>
      <c r="C364" s="50">
        <v>0.69</v>
      </c>
    </row>
    <row r="365" spans="1:3" x14ac:dyDescent="0.3">
      <c r="A365" s="31">
        <v>10</v>
      </c>
      <c r="B365" s="9" t="s">
        <v>11</v>
      </c>
      <c r="C365" s="50">
        <v>0.73</v>
      </c>
    </row>
    <row r="366" spans="1:3" x14ac:dyDescent="0.3">
      <c r="A366" s="31">
        <v>11</v>
      </c>
      <c r="B366" s="20" t="s">
        <v>12</v>
      </c>
      <c r="C366" s="50">
        <v>0.73</v>
      </c>
    </row>
    <row r="367" spans="1:3" x14ac:dyDescent="0.3">
      <c r="A367" s="31">
        <v>12</v>
      </c>
      <c r="B367" s="14" t="s">
        <v>13</v>
      </c>
      <c r="C367" s="50">
        <v>0.71</v>
      </c>
    </row>
    <row r="368" spans="1:3" x14ac:dyDescent="0.3">
      <c r="A368" s="31">
        <v>13</v>
      </c>
      <c r="B368" s="6" t="s">
        <v>14</v>
      </c>
      <c r="C368" s="50">
        <v>0.69</v>
      </c>
    </row>
    <row r="369" spans="1:3" x14ac:dyDescent="0.3">
      <c r="A369" s="31">
        <v>14</v>
      </c>
      <c r="B369" s="12" t="s">
        <v>15</v>
      </c>
      <c r="C369" s="50">
        <v>0.7</v>
      </c>
    </row>
    <row r="370" spans="1:3" x14ac:dyDescent="0.3">
      <c r="A370" s="31">
        <v>15</v>
      </c>
      <c r="B370" s="6" t="s">
        <v>16</v>
      </c>
      <c r="C370" s="50">
        <v>0.71</v>
      </c>
    </row>
    <row r="371" spans="1:3" x14ac:dyDescent="0.3">
      <c r="A371" s="31">
        <v>16</v>
      </c>
      <c r="B371" s="21" t="s">
        <v>17</v>
      </c>
      <c r="C371" s="50">
        <v>0.69</v>
      </c>
    </row>
    <row r="372" spans="1:3" x14ac:dyDescent="0.3">
      <c r="A372" s="31">
        <v>17</v>
      </c>
      <c r="B372" s="9" t="s">
        <v>18</v>
      </c>
      <c r="C372" s="50">
        <v>0.71</v>
      </c>
    </row>
    <row r="373" spans="1:3" x14ac:dyDescent="0.3">
      <c r="A373" s="31">
        <v>18</v>
      </c>
      <c r="B373" s="14" t="s">
        <v>19</v>
      </c>
      <c r="C373" s="50">
        <v>0.72</v>
      </c>
    </row>
    <row r="374" spans="1:3" x14ac:dyDescent="0.3">
      <c r="A374" s="31">
        <v>19</v>
      </c>
      <c r="B374" s="12" t="s">
        <v>20</v>
      </c>
      <c r="C374" s="50">
        <v>0.69</v>
      </c>
    </row>
    <row r="375" spans="1:3" x14ac:dyDescent="0.3">
      <c r="A375" s="31">
        <v>20</v>
      </c>
      <c r="B375" s="20" t="s">
        <v>21</v>
      </c>
      <c r="C375" s="50">
        <v>0.7</v>
      </c>
    </row>
    <row r="376" spans="1:3" x14ac:dyDescent="0.3">
      <c r="A376" s="31">
        <v>21</v>
      </c>
      <c r="B376" s="12" t="s">
        <v>22</v>
      </c>
      <c r="C376" s="50">
        <v>0.71</v>
      </c>
    </row>
    <row r="377" spans="1:3" x14ac:dyDescent="0.3">
      <c r="A377" s="31">
        <v>22</v>
      </c>
      <c r="B377" s="20" t="s">
        <v>23</v>
      </c>
      <c r="C377" s="50">
        <v>0.72</v>
      </c>
    </row>
    <row r="378" spans="1:3" x14ac:dyDescent="0.3">
      <c r="A378" s="31">
        <v>23</v>
      </c>
      <c r="B378" s="9" t="s">
        <v>24</v>
      </c>
      <c r="C378" s="50">
        <v>0.69</v>
      </c>
    </row>
    <row r="379" spans="1:3" ht="14.5" thickBot="1" x14ac:dyDescent="0.35">
      <c r="A379" s="32">
        <v>24</v>
      </c>
      <c r="B379" s="33" t="s">
        <v>25</v>
      </c>
      <c r="C379" s="55">
        <v>0.69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39B0-ED7A-47B6-9826-8F280E02D6BB}">
  <dimension ref="A1:J113"/>
  <sheetViews>
    <sheetView topLeftCell="A85" workbookViewId="0">
      <selection activeCell="G120" sqref="G120"/>
    </sheetView>
  </sheetViews>
  <sheetFormatPr baseColWidth="10" defaultColWidth="11.75" defaultRowHeight="14" x14ac:dyDescent="0.3"/>
  <sheetData>
    <row r="1" spans="1:4" ht="14.5" thickBot="1" x14ac:dyDescent="0.35">
      <c r="A1" s="1" t="s">
        <v>36</v>
      </c>
      <c r="B1" s="18">
        <v>45216</v>
      </c>
      <c r="D1" t="s">
        <v>54</v>
      </c>
    </row>
    <row r="2" spans="1:4" x14ac:dyDescent="0.3">
      <c r="A2" s="22" t="s">
        <v>27</v>
      </c>
      <c r="B2" s="30" t="s">
        <v>26</v>
      </c>
    </row>
    <row r="3" spans="1:4" x14ac:dyDescent="0.3">
      <c r="A3" s="31">
        <v>1</v>
      </c>
      <c r="B3" s="9" t="s">
        <v>2</v>
      </c>
      <c r="C3" t="s">
        <v>45</v>
      </c>
    </row>
    <row r="4" spans="1:4" x14ac:dyDescent="0.3">
      <c r="A4" s="31">
        <v>2</v>
      </c>
      <c r="B4" s="14" t="s">
        <v>3</v>
      </c>
    </row>
    <row r="5" spans="1:4" x14ac:dyDescent="0.3">
      <c r="A5" s="31">
        <v>3</v>
      </c>
      <c r="B5" s="12" t="s">
        <v>4</v>
      </c>
    </row>
    <row r="6" spans="1:4" x14ac:dyDescent="0.3">
      <c r="A6" s="31">
        <v>4</v>
      </c>
      <c r="B6" s="14" t="s">
        <v>5</v>
      </c>
    </row>
    <row r="7" spans="1:4" x14ac:dyDescent="0.3">
      <c r="A7" s="31">
        <v>5</v>
      </c>
      <c r="B7" s="20" t="s">
        <v>6</v>
      </c>
    </row>
    <row r="8" spans="1:4" x14ac:dyDescent="0.3">
      <c r="A8" s="31">
        <v>6</v>
      </c>
      <c r="B8" s="6" t="s">
        <v>7</v>
      </c>
    </row>
    <row r="9" spans="1:4" x14ac:dyDescent="0.3">
      <c r="A9" s="31">
        <v>7</v>
      </c>
      <c r="B9" s="21" t="s">
        <v>8</v>
      </c>
    </row>
    <row r="10" spans="1:4" x14ac:dyDescent="0.3">
      <c r="A10" s="31">
        <v>8</v>
      </c>
      <c r="B10" s="6" t="s">
        <v>9</v>
      </c>
      <c r="C10" t="s">
        <v>46</v>
      </c>
    </row>
    <row r="11" spans="1:4" x14ac:dyDescent="0.3">
      <c r="A11" s="31">
        <v>9</v>
      </c>
      <c r="B11" s="21" t="s">
        <v>10</v>
      </c>
      <c r="C11" t="s">
        <v>47</v>
      </c>
    </row>
    <row r="12" spans="1:4" x14ac:dyDescent="0.3">
      <c r="A12" s="31">
        <v>10</v>
      </c>
      <c r="B12" s="9" t="s">
        <v>11</v>
      </c>
    </row>
    <row r="13" spans="1:4" x14ac:dyDescent="0.3">
      <c r="A13" s="31">
        <v>11</v>
      </c>
      <c r="B13" s="20" t="s">
        <v>12</v>
      </c>
      <c r="C13" t="s">
        <v>48</v>
      </c>
    </row>
    <row r="14" spans="1:4" x14ac:dyDescent="0.3">
      <c r="A14" s="31">
        <v>12</v>
      </c>
      <c r="B14" s="14" t="s">
        <v>13</v>
      </c>
    </row>
    <row r="15" spans="1:4" x14ac:dyDescent="0.3">
      <c r="A15" s="31">
        <v>13</v>
      </c>
      <c r="B15" s="6" t="s">
        <v>14</v>
      </c>
      <c r="C15" t="s">
        <v>45</v>
      </c>
    </row>
    <row r="16" spans="1:4" x14ac:dyDescent="0.3">
      <c r="A16" s="31">
        <v>14</v>
      </c>
      <c r="B16" s="12" t="s">
        <v>15</v>
      </c>
      <c r="C16" t="s">
        <v>49</v>
      </c>
    </row>
    <row r="17" spans="1:3" x14ac:dyDescent="0.3">
      <c r="A17" s="31">
        <v>15</v>
      </c>
      <c r="B17" s="6" t="s">
        <v>16</v>
      </c>
      <c r="C17" t="s">
        <v>45</v>
      </c>
    </row>
    <row r="18" spans="1:3" x14ac:dyDescent="0.3">
      <c r="A18" s="31">
        <v>16</v>
      </c>
      <c r="B18" s="21" t="s">
        <v>17</v>
      </c>
    </row>
    <row r="19" spans="1:3" x14ac:dyDescent="0.3">
      <c r="A19" s="31">
        <v>17</v>
      </c>
      <c r="B19" s="9" t="s">
        <v>18</v>
      </c>
    </row>
    <row r="20" spans="1:3" x14ac:dyDescent="0.3">
      <c r="A20" s="31">
        <v>18</v>
      </c>
      <c r="B20" s="14" t="s">
        <v>19</v>
      </c>
      <c r="C20" t="s">
        <v>50</v>
      </c>
    </row>
    <row r="21" spans="1:3" x14ac:dyDescent="0.3">
      <c r="A21" s="31">
        <v>19</v>
      </c>
      <c r="B21" s="12" t="s">
        <v>20</v>
      </c>
      <c r="C21" t="s">
        <v>49</v>
      </c>
    </row>
    <row r="22" spans="1:3" x14ac:dyDescent="0.3">
      <c r="A22" s="31">
        <v>20</v>
      </c>
      <c r="B22" s="20" t="s">
        <v>21</v>
      </c>
    </row>
    <row r="23" spans="1:3" x14ac:dyDescent="0.3">
      <c r="A23" s="31">
        <v>21</v>
      </c>
      <c r="B23" s="12" t="s">
        <v>22</v>
      </c>
      <c r="C23" t="s">
        <v>50</v>
      </c>
    </row>
    <row r="24" spans="1:3" x14ac:dyDescent="0.3">
      <c r="A24" s="31">
        <v>22</v>
      </c>
      <c r="B24" s="20" t="s">
        <v>23</v>
      </c>
    </row>
    <row r="25" spans="1:3" x14ac:dyDescent="0.3">
      <c r="A25" s="31">
        <v>23</v>
      </c>
      <c r="B25" s="9" t="s">
        <v>24</v>
      </c>
      <c r="C25" t="s">
        <v>51</v>
      </c>
    </row>
    <row r="26" spans="1:3" ht="14.5" thickBot="1" x14ac:dyDescent="0.35">
      <c r="A26" s="32">
        <v>24</v>
      </c>
      <c r="B26" s="33" t="s">
        <v>25</v>
      </c>
      <c r="C26" t="s">
        <v>49</v>
      </c>
    </row>
    <row r="29" spans="1:3" ht="14.5" thickBot="1" x14ac:dyDescent="0.35">
      <c r="A29" s="1" t="s">
        <v>36</v>
      </c>
      <c r="B29" s="18">
        <v>45229</v>
      </c>
      <c r="C29" t="s">
        <v>58</v>
      </c>
    </row>
    <row r="30" spans="1:3" x14ac:dyDescent="0.3">
      <c r="A30" s="22" t="s">
        <v>27</v>
      </c>
      <c r="B30" s="30" t="s">
        <v>26</v>
      </c>
    </row>
    <row r="31" spans="1:3" x14ac:dyDescent="0.3">
      <c r="A31" s="31">
        <v>1</v>
      </c>
      <c r="B31" s="9" t="s">
        <v>2</v>
      </c>
      <c r="C31" t="s">
        <v>45</v>
      </c>
    </row>
    <row r="32" spans="1:3" x14ac:dyDescent="0.3">
      <c r="A32" s="31">
        <v>2</v>
      </c>
      <c r="B32" s="14" t="s">
        <v>3</v>
      </c>
    </row>
    <row r="33" spans="1:3" x14ac:dyDescent="0.3">
      <c r="A33" s="31">
        <v>3</v>
      </c>
      <c r="B33" s="12" t="s">
        <v>4</v>
      </c>
    </row>
    <row r="34" spans="1:3" x14ac:dyDescent="0.3">
      <c r="A34" s="31">
        <v>4</v>
      </c>
      <c r="B34" s="14" t="s">
        <v>5</v>
      </c>
    </row>
    <row r="35" spans="1:3" x14ac:dyDescent="0.3">
      <c r="A35" s="31">
        <v>5</v>
      </c>
      <c r="B35" s="20" t="s">
        <v>6</v>
      </c>
    </row>
    <row r="36" spans="1:3" x14ac:dyDescent="0.3">
      <c r="A36" s="31">
        <v>6</v>
      </c>
      <c r="B36" s="6" t="s">
        <v>7</v>
      </c>
    </row>
    <row r="37" spans="1:3" x14ac:dyDescent="0.3">
      <c r="A37" s="31">
        <v>7</v>
      </c>
      <c r="B37" s="21" t="s">
        <v>8</v>
      </c>
    </row>
    <row r="38" spans="1:3" x14ac:dyDescent="0.3">
      <c r="A38" s="31">
        <v>8</v>
      </c>
      <c r="B38" s="6" t="s">
        <v>9</v>
      </c>
      <c r="C38" t="s">
        <v>46</v>
      </c>
    </row>
    <row r="39" spans="1:3" x14ac:dyDescent="0.3">
      <c r="A39" s="31">
        <v>9</v>
      </c>
      <c r="B39" s="21" t="s">
        <v>10</v>
      </c>
      <c r="C39" t="s">
        <v>47</v>
      </c>
    </row>
    <row r="40" spans="1:3" x14ac:dyDescent="0.3">
      <c r="A40" s="31">
        <v>10</v>
      </c>
      <c r="B40" s="9" t="s">
        <v>11</v>
      </c>
    </row>
    <row r="41" spans="1:3" x14ac:dyDescent="0.3">
      <c r="A41" s="31">
        <v>11</v>
      </c>
      <c r="B41" s="20" t="s">
        <v>12</v>
      </c>
      <c r="C41" t="s">
        <v>48</v>
      </c>
    </row>
    <row r="42" spans="1:3" x14ac:dyDescent="0.3">
      <c r="A42" s="31">
        <v>12</v>
      </c>
      <c r="B42" s="14" t="s">
        <v>13</v>
      </c>
    </row>
    <row r="43" spans="1:3" x14ac:dyDescent="0.3">
      <c r="A43" s="31">
        <v>13</v>
      </c>
      <c r="B43" s="6" t="s">
        <v>14</v>
      </c>
      <c r="C43" t="s">
        <v>45</v>
      </c>
    </row>
    <row r="44" spans="1:3" x14ac:dyDescent="0.3">
      <c r="A44" s="31">
        <v>14</v>
      </c>
      <c r="B44" s="12" t="s">
        <v>15</v>
      </c>
      <c r="C44" t="s">
        <v>49</v>
      </c>
    </row>
    <row r="45" spans="1:3" x14ac:dyDescent="0.3">
      <c r="A45" s="31">
        <v>15</v>
      </c>
      <c r="B45" s="6" t="s">
        <v>16</v>
      </c>
      <c r="C45" t="s">
        <v>45</v>
      </c>
    </row>
    <row r="46" spans="1:3" x14ac:dyDescent="0.3">
      <c r="A46" s="31">
        <v>16</v>
      </c>
      <c r="B46" s="21" t="s">
        <v>17</v>
      </c>
    </row>
    <row r="47" spans="1:3" x14ac:dyDescent="0.3">
      <c r="A47" s="31">
        <v>17</v>
      </c>
      <c r="B47" s="9" t="s">
        <v>18</v>
      </c>
    </row>
    <row r="48" spans="1:3" x14ac:dyDescent="0.3">
      <c r="A48" s="31">
        <v>18</v>
      </c>
      <c r="B48" s="14" t="s">
        <v>19</v>
      </c>
      <c r="C48" t="s">
        <v>50</v>
      </c>
    </row>
    <row r="49" spans="1:3" x14ac:dyDescent="0.3">
      <c r="A49" s="31">
        <v>19</v>
      </c>
      <c r="B49" s="12" t="s">
        <v>20</v>
      </c>
      <c r="C49" t="s">
        <v>49</v>
      </c>
    </row>
    <row r="50" spans="1:3" x14ac:dyDescent="0.3">
      <c r="A50" s="31">
        <v>20</v>
      </c>
      <c r="B50" s="20" t="s">
        <v>21</v>
      </c>
    </row>
    <row r="51" spans="1:3" x14ac:dyDescent="0.3">
      <c r="A51" s="31">
        <v>21</v>
      </c>
      <c r="B51" s="12" t="s">
        <v>22</v>
      </c>
      <c r="C51" t="s">
        <v>50</v>
      </c>
    </row>
    <row r="52" spans="1:3" x14ac:dyDescent="0.3">
      <c r="A52" s="31">
        <v>22</v>
      </c>
      <c r="B52" s="20" t="s">
        <v>23</v>
      </c>
    </row>
    <row r="53" spans="1:3" x14ac:dyDescent="0.3">
      <c r="A53" s="31">
        <v>23</v>
      </c>
      <c r="B53" s="9" t="s">
        <v>24</v>
      </c>
      <c r="C53" t="s">
        <v>51</v>
      </c>
    </row>
    <row r="54" spans="1:3" ht="14.5" thickBot="1" x14ac:dyDescent="0.35">
      <c r="A54" s="32">
        <v>24</v>
      </c>
      <c r="B54" s="33" t="s">
        <v>25</v>
      </c>
      <c r="C54" t="s">
        <v>49</v>
      </c>
    </row>
    <row r="57" spans="1:3" ht="14.5" thickBot="1" x14ac:dyDescent="0.35">
      <c r="A57" s="1" t="s">
        <v>36</v>
      </c>
      <c r="B57" s="18">
        <v>45243</v>
      </c>
      <c r="C57" t="s">
        <v>57</v>
      </c>
    </row>
    <row r="58" spans="1:3" x14ac:dyDescent="0.3">
      <c r="A58" s="22" t="s">
        <v>27</v>
      </c>
      <c r="B58" s="30" t="s">
        <v>26</v>
      </c>
    </row>
    <row r="59" spans="1:3" x14ac:dyDescent="0.3">
      <c r="A59" s="31">
        <v>1</v>
      </c>
      <c r="B59" s="9" t="s">
        <v>2</v>
      </c>
      <c r="C59" t="s">
        <v>56</v>
      </c>
    </row>
    <row r="60" spans="1:3" x14ac:dyDescent="0.3">
      <c r="A60" s="31">
        <v>2</v>
      </c>
      <c r="B60" s="14" t="s">
        <v>3</v>
      </c>
    </row>
    <row r="61" spans="1:3" x14ac:dyDescent="0.3">
      <c r="A61" s="31">
        <v>3</v>
      </c>
      <c r="B61" s="12" t="s">
        <v>4</v>
      </c>
    </row>
    <row r="62" spans="1:3" x14ac:dyDescent="0.3">
      <c r="A62" s="31">
        <v>4</v>
      </c>
      <c r="B62" s="14" t="s">
        <v>5</v>
      </c>
      <c r="C62" t="s">
        <v>56</v>
      </c>
    </row>
    <row r="63" spans="1:3" x14ac:dyDescent="0.3">
      <c r="A63" s="31">
        <v>5</v>
      </c>
      <c r="B63" s="20" t="s">
        <v>6</v>
      </c>
    </row>
    <row r="64" spans="1:3" x14ac:dyDescent="0.3">
      <c r="A64" s="31">
        <v>6</v>
      </c>
      <c r="B64" s="6" t="s">
        <v>7</v>
      </c>
    </row>
    <row r="65" spans="1:3" x14ac:dyDescent="0.3">
      <c r="A65" s="31">
        <v>7</v>
      </c>
      <c r="B65" s="21" t="s">
        <v>8</v>
      </c>
    </row>
    <row r="66" spans="1:3" x14ac:dyDescent="0.3">
      <c r="A66" s="31">
        <v>8</v>
      </c>
      <c r="B66" s="6" t="s">
        <v>9</v>
      </c>
    </row>
    <row r="67" spans="1:3" x14ac:dyDescent="0.3">
      <c r="A67" s="31">
        <v>9</v>
      </c>
      <c r="B67" s="21" t="s">
        <v>10</v>
      </c>
    </row>
    <row r="68" spans="1:3" x14ac:dyDescent="0.3">
      <c r="A68" s="31">
        <v>10</v>
      </c>
      <c r="B68" s="9" t="s">
        <v>11</v>
      </c>
    </row>
    <row r="69" spans="1:3" x14ac:dyDescent="0.3">
      <c r="A69" s="31">
        <v>11</v>
      </c>
      <c r="B69" s="20" t="s">
        <v>12</v>
      </c>
    </row>
    <row r="70" spans="1:3" x14ac:dyDescent="0.3">
      <c r="A70" s="31">
        <v>12</v>
      </c>
      <c r="B70" s="14" t="s">
        <v>13</v>
      </c>
    </row>
    <row r="71" spans="1:3" x14ac:dyDescent="0.3">
      <c r="A71" s="31">
        <v>13</v>
      </c>
      <c r="B71" s="6" t="s">
        <v>14</v>
      </c>
    </row>
    <row r="72" spans="1:3" x14ac:dyDescent="0.3">
      <c r="A72" s="31">
        <v>14</v>
      </c>
      <c r="B72" s="12" t="s">
        <v>15</v>
      </c>
    </row>
    <row r="73" spans="1:3" x14ac:dyDescent="0.3">
      <c r="A73" s="31">
        <v>15</v>
      </c>
      <c r="B73" s="6" t="s">
        <v>16</v>
      </c>
    </row>
    <row r="74" spans="1:3" x14ac:dyDescent="0.3">
      <c r="A74" s="31">
        <v>16</v>
      </c>
      <c r="B74" s="21" t="s">
        <v>17</v>
      </c>
    </row>
    <row r="75" spans="1:3" x14ac:dyDescent="0.3">
      <c r="A75" s="31">
        <v>17</v>
      </c>
      <c r="B75" s="9" t="s">
        <v>18</v>
      </c>
      <c r="C75" t="s">
        <v>56</v>
      </c>
    </row>
    <row r="76" spans="1:3" x14ac:dyDescent="0.3">
      <c r="A76" s="31">
        <v>18</v>
      </c>
      <c r="B76" s="14" t="s">
        <v>19</v>
      </c>
    </row>
    <row r="77" spans="1:3" x14ac:dyDescent="0.3">
      <c r="A77" s="31">
        <v>19</v>
      </c>
      <c r="B77" s="12" t="s">
        <v>20</v>
      </c>
    </row>
    <row r="78" spans="1:3" x14ac:dyDescent="0.3">
      <c r="A78" s="31">
        <v>20</v>
      </c>
      <c r="B78" s="20" t="s">
        <v>21</v>
      </c>
    </row>
    <row r="79" spans="1:3" x14ac:dyDescent="0.3">
      <c r="A79" s="31">
        <v>21</v>
      </c>
      <c r="B79" s="12" t="s">
        <v>22</v>
      </c>
    </row>
    <row r="80" spans="1:3" x14ac:dyDescent="0.3">
      <c r="A80" s="31">
        <v>22</v>
      </c>
      <c r="B80" s="20" t="s">
        <v>23</v>
      </c>
    </row>
    <row r="81" spans="1:3" x14ac:dyDescent="0.3">
      <c r="A81" s="31">
        <v>23</v>
      </c>
      <c r="B81" s="9" t="s">
        <v>24</v>
      </c>
    </row>
    <row r="82" spans="1:3" ht="14.5" thickBot="1" x14ac:dyDescent="0.35">
      <c r="A82" s="32">
        <v>24</v>
      </c>
      <c r="B82" s="33" t="s">
        <v>25</v>
      </c>
    </row>
    <row r="85" spans="1:3" ht="14.5" thickBot="1" x14ac:dyDescent="0.35">
      <c r="A85" s="1" t="s">
        <v>36</v>
      </c>
      <c r="B85" s="18">
        <v>45257</v>
      </c>
      <c r="C85" t="s">
        <v>59</v>
      </c>
    </row>
    <row r="86" spans="1:3" x14ac:dyDescent="0.3">
      <c r="A86" s="22" t="s">
        <v>27</v>
      </c>
      <c r="B86" s="30" t="s">
        <v>26</v>
      </c>
    </row>
    <row r="87" spans="1:3" x14ac:dyDescent="0.3">
      <c r="A87" s="31">
        <v>1</v>
      </c>
      <c r="B87" s="9" t="s">
        <v>2</v>
      </c>
    </row>
    <row r="88" spans="1:3" x14ac:dyDescent="0.3">
      <c r="A88" s="31">
        <v>2</v>
      </c>
      <c r="B88" s="14" t="s">
        <v>3</v>
      </c>
    </row>
    <row r="89" spans="1:3" x14ac:dyDescent="0.3">
      <c r="A89" s="31">
        <v>3</v>
      </c>
      <c r="B89" s="12" t="s">
        <v>4</v>
      </c>
    </row>
    <row r="90" spans="1:3" x14ac:dyDescent="0.3">
      <c r="A90" s="31">
        <v>4</v>
      </c>
      <c r="B90" s="14" t="s">
        <v>5</v>
      </c>
    </row>
    <row r="91" spans="1:3" x14ac:dyDescent="0.3">
      <c r="A91" s="31">
        <v>5</v>
      </c>
      <c r="B91" s="20" t="s">
        <v>6</v>
      </c>
    </row>
    <row r="92" spans="1:3" x14ac:dyDescent="0.3">
      <c r="A92" s="31">
        <v>6</v>
      </c>
      <c r="B92" s="6" t="s">
        <v>7</v>
      </c>
    </row>
    <row r="93" spans="1:3" x14ac:dyDescent="0.3">
      <c r="A93" s="31">
        <v>7</v>
      </c>
      <c r="B93" s="21" t="s">
        <v>8</v>
      </c>
    </row>
    <row r="94" spans="1:3" x14ac:dyDescent="0.3">
      <c r="A94" s="31">
        <v>8</v>
      </c>
      <c r="B94" s="6" t="s">
        <v>9</v>
      </c>
    </row>
    <row r="95" spans="1:3" x14ac:dyDescent="0.3">
      <c r="A95" s="31">
        <v>9</v>
      </c>
      <c r="B95" s="21" t="s">
        <v>10</v>
      </c>
    </row>
    <row r="96" spans="1:3" x14ac:dyDescent="0.3">
      <c r="A96" s="31">
        <v>10</v>
      </c>
      <c r="B96" s="9" t="s">
        <v>11</v>
      </c>
    </row>
    <row r="97" spans="1:10" x14ac:dyDescent="0.3">
      <c r="A97" s="31">
        <v>11</v>
      </c>
      <c r="B97" s="20" t="s">
        <v>12</v>
      </c>
    </row>
    <row r="98" spans="1:10" x14ac:dyDescent="0.3">
      <c r="A98" s="31">
        <v>12</v>
      </c>
      <c r="B98" s="14" t="s">
        <v>13</v>
      </c>
    </row>
    <row r="99" spans="1:10" x14ac:dyDescent="0.3">
      <c r="A99" s="31">
        <v>13</v>
      </c>
      <c r="B99" s="6" t="s">
        <v>14</v>
      </c>
    </row>
    <row r="100" spans="1:10" x14ac:dyDescent="0.3">
      <c r="A100" s="31">
        <v>14</v>
      </c>
      <c r="B100" s="12" t="s">
        <v>15</v>
      </c>
    </row>
    <row r="101" spans="1:10" x14ac:dyDescent="0.3">
      <c r="A101" s="31">
        <v>15</v>
      </c>
      <c r="B101" s="6" t="s">
        <v>16</v>
      </c>
    </row>
    <row r="102" spans="1:10" x14ac:dyDescent="0.3">
      <c r="A102" s="31">
        <v>16</v>
      </c>
      <c r="B102" s="21" t="s">
        <v>17</v>
      </c>
    </row>
    <row r="103" spans="1:10" x14ac:dyDescent="0.3">
      <c r="A103" s="31">
        <v>17</v>
      </c>
      <c r="B103" s="9" t="s">
        <v>18</v>
      </c>
    </row>
    <row r="104" spans="1:10" x14ac:dyDescent="0.3">
      <c r="A104" s="31">
        <v>18</v>
      </c>
      <c r="B104" s="14" t="s">
        <v>19</v>
      </c>
    </row>
    <row r="105" spans="1:10" x14ac:dyDescent="0.3">
      <c r="A105" s="31">
        <v>19</v>
      </c>
      <c r="B105" s="12" t="s">
        <v>20</v>
      </c>
      <c r="G105" t="s">
        <v>64</v>
      </c>
      <c r="H105">
        <f>400/10000*4*4</f>
        <v>0.64</v>
      </c>
      <c r="I105">
        <v>3</v>
      </c>
      <c r="J105">
        <f>H105*I105</f>
        <v>1.92</v>
      </c>
    </row>
    <row r="106" spans="1:10" x14ac:dyDescent="0.3">
      <c r="A106" s="31">
        <v>20</v>
      </c>
      <c r="B106" s="20" t="s">
        <v>21</v>
      </c>
      <c r="G106" t="s">
        <v>63</v>
      </c>
      <c r="H106">
        <f>0.4*4*4</f>
        <v>6.4</v>
      </c>
      <c r="I106">
        <v>3</v>
      </c>
      <c r="J106">
        <f>H106*I106</f>
        <v>19.200000000000003</v>
      </c>
    </row>
    <row r="107" spans="1:10" x14ac:dyDescent="0.3">
      <c r="A107" s="31">
        <v>21</v>
      </c>
      <c r="B107" s="12" t="s">
        <v>22</v>
      </c>
      <c r="G107" t="s">
        <v>65</v>
      </c>
      <c r="H107">
        <f>1.2*4*4</f>
        <v>19.2</v>
      </c>
      <c r="I107">
        <v>3</v>
      </c>
      <c r="J107">
        <f>H107*I107</f>
        <v>57.599999999999994</v>
      </c>
    </row>
    <row r="108" spans="1:10" x14ac:dyDescent="0.3">
      <c r="A108" s="31">
        <v>22</v>
      </c>
      <c r="B108" s="20" t="s">
        <v>23</v>
      </c>
      <c r="J108">
        <f t="shared" ref="J108:J110" si="0">H108*I108</f>
        <v>0</v>
      </c>
    </row>
    <row r="109" spans="1:10" x14ac:dyDescent="0.3">
      <c r="A109" s="31">
        <v>23</v>
      </c>
      <c r="B109" s="9" t="s">
        <v>24</v>
      </c>
      <c r="G109" t="s">
        <v>64</v>
      </c>
      <c r="H109">
        <f>300/10000*4*4</f>
        <v>0.48</v>
      </c>
      <c r="I109">
        <v>4</v>
      </c>
      <c r="J109">
        <f t="shared" si="0"/>
        <v>1.92</v>
      </c>
    </row>
    <row r="110" spans="1:10" ht="14.5" thickBot="1" x14ac:dyDescent="0.35">
      <c r="A110" s="32">
        <v>24</v>
      </c>
      <c r="B110" s="33" t="s">
        <v>25</v>
      </c>
      <c r="G110" t="s">
        <v>66</v>
      </c>
      <c r="H110">
        <f>1.5/10000*4*4*3</f>
        <v>7.1999999999999998E-3</v>
      </c>
      <c r="I110">
        <v>4</v>
      </c>
      <c r="J110">
        <f t="shared" si="0"/>
        <v>2.8799999999999999E-2</v>
      </c>
    </row>
    <row r="111" spans="1:10" x14ac:dyDescent="0.3">
      <c r="H111">
        <f>H110*1000</f>
        <v>7.2</v>
      </c>
      <c r="I111">
        <f t="shared" ref="I111:J111" si="1">I110*1000</f>
        <v>4000</v>
      </c>
      <c r="J111">
        <f t="shared" si="1"/>
        <v>28.8</v>
      </c>
    </row>
    <row r="113" spans="1:1" x14ac:dyDescent="0.3">
      <c r="A113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Krankheitsbefall_Note</vt:lpstr>
      <vt:lpstr>Krankheitsbefall_%</vt:lpstr>
      <vt:lpstr>Bodendeckung_Rahmen</vt:lpstr>
      <vt:lpstr>Bodendeckung_Sigma</vt:lpstr>
      <vt:lpstr>Rasennarbe_Qualität</vt:lpstr>
      <vt:lpstr>Rasennarbe_Dichte</vt:lpstr>
      <vt:lpstr>Rasennarbe_Farbe</vt:lpstr>
      <vt:lpstr>Rasennarbe_NDVI</vt:lpstr>
      <vt:lpstr>Bemerkungen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Hunt, Daniel Richard</dc:creator>
  <cp:lastModifiedBy>Hans-Georg Schön</cp:lastModifiedBy>
  <dcterms:created xsi:type="dcterms:W3CDTF">2023-10-12T06:01:11Z</dcterms:created>
  <dcterms:modified xsi:type="dcterms:W3CDTF">2024-10-08T11:54:52Z</dcterms:modified>
</cp:coreProperties>
</file>