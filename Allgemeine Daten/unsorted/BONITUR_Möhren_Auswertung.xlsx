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ki\Desktop\"/>
    </mc:Choice>
  </mc:AlternateContent>
  <xr:revisionPtr revIDLastSave="0" documentId="13_ncr:1_{4967F3A1-655F-4037-97C0-3BBADFCFEAB2}" xr6:coauthVersionLast="47" xr6:coauthVersionMax="47" xr10:uidLastSave="{00000000-0000-0000-0000-000000000000}"/>
  <bookViews>
    <workbookView xWindow="-120" yWindow="-120" windowWidth="29040" windowHeight="15720" tabRatio="969" activeTab="6" xr2:uid="{00000000-000D-0000-FFFF-FFFF00000000}"/>
  </bookViews>
  <sheets>
    <sheet name="Versuchsanordnung" sheetId="1" r:id="rId1"/>
    <sheet name="Gewichtsverlust" sheetId="2" r:id="rId2"/>
    <sheet name="Mikrobielle Belastung " sheetId="3" r:id="rId3"/>
    <sheet name=" Feuchte der Verpackung" sheetId="5" r:id="rId4"/>
    <sheet name="Elastizität" sheetId="6" r:id="rId5"/>
    <sheet name="Farbmessung" sheetId="4" r:id="rId6"/>
    <sheet name="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5" l="1"/>
  <c r="N28" i="5"/>
  <c r="M28" i="5"/>
  <c r="L28" i="5"/>
  <c r="N27" i="5"/>
  <c r="M27" i="5"/>
  <c r="L27" i="5"/>
  <c r="N15" i="5"/>
  <c r="M15" i="5"/>
  <c r="L15" i="5"/>
  <c r="K15" i="5"/>
  <c r="J15" i="5"/>
  <c r="M14" i="5"/>
  <c r="N14" i="5"/>
  <c r="L14" i="5"/>
  <c r="K14" i="5"/>
  <c r="Q39" i="3"/>
  <c r="R39" i="3"/>
  <c r="S39" i="3"/>
  <c r="T39" i="3"/>
  <c r="P39" i="3"/>
  <c r="Q38" i="3"/>
  <c r="R38" i="3"/>
  <c r="S38" i="3"/>
  <c r="T38" i="3"/>
  <c r="P38" i="3"/>
  <c r="Q33" i="3"/>
  <c r="R33" i="3"/>
  <c r="S33" i="3"/>
  <c r="T33" i="3"/>
  <c r="P33" i="3"/>
  <c r="Q32" i="3"/>
  <c r="R32" i="3"/>
  <c r="S32" i="3"/>
  <c r="T32" i="3"/>
  <c r="P32" i="3"/>
  <c r="Q27" i="3"/>
  <c r="R27" i="3"/>
  <c r="S27" i="3"/>
  <c r="T27" i="3"/>
  <c r="P27" i="3"/>
  <c r="Q26" i="3"/>
  <c r="R26" i="3"/>
  <c r="S26" i="3"/>
  <c r="T26" i="3"/>
  <c r="P26" i="3"/>
  <c r="Q21" i="3"/>
  <c r="R21" i="3"/>
  <c r="S21" i="3"/>
  <c r="T21" i="3"/>
  <c r="P21" i="3"/>
  <c r="Q20" i="3"/>
  <c r="R20" i="3"/>
  <c r="S20" i="3"/>
  <c r="T20" i="3"/>
  <c r="P20" i="3"/>
  <c r="Q15" i="3"/>
  <c r="R15" i="3"/>
  <c r="S15" i="3"/>
  <c r="T15" i="3"/>
  <c r="P15" i="3"/>
  <c r="Q14" i="3"/>
  <c r="R14" i="3"/>
  <c r="S14" i="3"/>
  <c r="T14" i="3"/>
  <c r="P14" i="3"/>
  <c r="T8" i="3"/>
  <c r="S8" i="3"/>
  <c r="Q9" i="3"/>
  <c r="R9" i="3"/>
  <c r="S9" i="3"/>
  <c r="T9" i="3"/>
  <c r="P9" i="3"/>
  <c r="R35" i="2"/>
  <c r="R36" i="2"/>
  <c r="R37" i="2"/>
  <c r="R34" i="2"/>
  <c r="S39" i="2"/>
  <c r="T39" i="2"/>
  <c r="U39" i="2"/>
  <c r="Q39" i="2"/>
  <c r="R38" i="2"/>
  <c r="S38" i="2"/>
  <c r="T38" i="2"/>
  <c r="U38" i="2"/>
  <c r="Q38" i="2"/>
  <c r="R33" i="2"/>
  <c r="S33" i="2"/>
  <c r="T33" i="2"/>
  <c r="U33" i="2"/>
  <c r="Q33" i="2"/>
  <c r="R32" i="2"/>
  <c r="S32" i="2"/>
  <c r="T32" i="2"/>
  <c r="U32" i="2"/>
  <c r="Q32" i="2"/>
  <c r="R27" i="2"/>
  <c r="S27" i="2"/>
  <c r="T27" i="2"/>
  <c r="U27" i="2"/>
  <c r="Q27" i="2"/>
  <c r="R26" i="2"/>
  <c r="S26" i="2"/>
  <c r="T26" i="2"/>
  <c r="U26" i="2"/>
  <c r="Q26" i="2"/>
  <c r="H35" i="2"/>
  <c r="H36" i="2"/>
  <c r="H37" i="2"/>
  <c r="H34" i="2"/>
  <c r="R21" i="2"/>
  <c r="S21" i="2"/>
  <c r="T21" i="2"/>
  <c r="U21" i="2"/>
  <c r="Q21" i="2"/>
  <c r="R20" i="2"/>
  <c r="S20" i="2"/>
  <c r="T20" i="2"/>
  <c r="U20" i="2"/>
  <c r="Q20" i="2"/>
  <c r="H27" i="2"/>
  <c r="H25" i="2"/>
  <c r="H26" i="2"/>
  <c r="H24" i="2"/>
  <c r="R15" i="2"/>
  <c r="S15" i="2"/>
  <c r="T15" i="2"/>
  <c r="U15" i="2"/>
  <c r="Q15" i="2"/>
  <c r="R14" i="2"/>
  <c r="S14" i="2"/>
  <c r="T14" i="2"/>
  <c r="U14" i="2"/>
  <c r="Q14" i="2"/>
  <c r="H15" i="2"/>
  <c r="H16" i="2"/>
  <c r="H17" i="2"/>
  <c r="H14" i="2"/>
  <c r="R9" i="2"/>
  <c r="S9" i="2"/>
  <c r="T9" i="2"/>
  <c r="U9" i="2"/>
  <c r="R8" i="2"/>
  <c r="S8" i="2"/>
  <c r="T8" i="2"/>
  <c r="U8" i="2"/>
  <c r="Q9" i="2"/>
  <c r="Q8" i="2"/>
  <c r="H7" i="2"/>
  <c r="H4" i="2"/>
  <c r="H6" i="2"/>
  <c r="H5" i="2"/>
  <c r="R39" i="2" l="1"/>
</calcChain>
</file>

<file path=xl/sharedStrings.xml><?xml version="1.0" encoding="utf-8"?>
<sst xmlns="http://schemas.openxmlformats.org/spreadsheetml/2006/main" count="748" uniqueCount="174">
  <si>
    <t>Kontrolle [1]</t>
  </si>
  <si>
    <t>Variante 3 [1]</t>
  </si>
  <si>
    <t>Variante 1 [9]</t>
  </si>
  <si>
    <t>Variante 2 [8]</t>
  </si>
  <si>
    <t>Variante 1 [8]</t>
  </si>
  <si>
    <t>Kontrolle [3]</t>
  </si>
  <si>
    <t>Variante 3 [2]</t>
  </si>
  <si>
    <t>Variante 2 [6]</t>
  </si>
  <si>
    <t>Variante 3 [7]</t>
  </si>
  <si>
    <t>Kontrolle [7]</t>
  </si>
  <si>
    <t>Kontrolle [2]</t>
  </si>
  <si>
    <t>Variante 4 [9]</t>
  </si>
  <si>
    <t>Variante 1 [4]</t>
  </si>
  <si>
    <t>Variante 4 [7]</t>
  </si>
  <si>
    <t>Kontrolle [8]</t>
  </si>
  <si>
    <t>Variante 4 [3]</t>
  </si>
  <si>
    <t>Variante 5 [5]</t>
  </si>
  <si>
    <t>Variante 5 [6]</t>
  </si>
  <si>
    <t>Variante 1 [7]</t>
  </si>
  <si>
    <t>Variante 1 [5]</t>
  </si>
  <si>
    <t>Variante 2 [3]</t>
  </si>
  <si>
    <t>Variante 5 [3]</t>
  </si>
  <si>
    <t>Variante 4 [2]</t>
  </si>
  <si>
    <t>Variante 5 [4]</t>
  </si>
  <si>
    <t>Kontrolle [6]</t>
  </si>
  <si>
    <t>Kontrolle [10]</t>
  </si>
  <si>
    <t>Variante 4 [8]</t>
  </si>
  <si>
    <t>Variante 4 [1]</t>
  </si>
  <si>
    <t>Variante 4 [5]</t>
  </si>
  <si>
    <t>Kontrolle [5]</t>
  </si>
  <si>
    <t>Variante 5 [9]</t>
  </si>
  <si>
    <t>Kontrolle [9]</t>
  </si>
  <si>
    <t>Variante 2 [10]</t>
  </si>
  <si>
    <t>Variante 3 [10]</t>
  </si>
  <si>
    <t>Variante 5 [2]</t>
  </si>
  <si>
    <t>Variante 1 [3]</t>
  </si>
  <si>
    <t>Variante 3 [6]</t>
  </si>
  <si>
    <t>Variante 1 [10]</t>
  </si>
  <si>
    <t>Variante 2 [1]</t>
  </si>
  <si>
    <t>Variante 2 [7]</t>
  </si>
  <si>
    <t>Variante 1 [2]</t>
  </si>
  <si>
    <t>Variante 3 [8]</t>
  </si>
  <si>
    <t>Variante 4 [4]</t>
  </si>
  <si>
    <t>Variante 1 [6]</t>
  </si>
  <si>
    <t>Variante 5 [1]</t>
  </si>
  <si>
    <t>Variante 1 [1]</t>
  </si>
  <si>
    <t>Variante 2 [4]</t>
  </si>
  <si>
    <t>Variante 4 [6]</t>
  </si>
  <si>
    <t>Variante 2 [2]</t>
  </si>
  <si>
    <t>Variante 5 [8]</t>
  </si>
  <si>
    <t>Variante 2 [9]</t>
  </si>
  <si>
    <t>Variante 3 [4]</t>
  </si>
  <si>
    <t>Variante 3 [5]</t>
  </si>
  <si>
    <t>Variante 5 [7]</t>
  </si>
  <si>
    <t>Variante 5 [10]</t>
  </si>
  <si>
    <t>Variante 3 [9]</t>
  </si>
  <si>
    <t>Kontrolle [4]</t>
  </si>
  <si>
    <t>Variante 3 [3]</t>
  </si>
  <si>
    <t>Variante 4 [10]</t>
  </si>
  <si>
    <t>Variante 2 [5]</t>
  </si>
  <si>
    <t>Kontrolle:</t>
  </si>
  <si>
    <t>Variante 1:</t>
  </si>
  <si>
    <t>Variante 2:</t>
  </si>
  <si>
    <t>Variante 3:</t>
  </si>
  <si>
    <t>Variante 4:</t>
  </si>
  <si>
    <t>Variante 5:</t>
  </si>
  <si>
    <t>Parameter:</t>
  </si>
  <si>
    <t>Gewichtsverlust (wiegen)</t>
  </si>
  <si>
    <t>Mikrobielle Belastung (Sichtkontrolle)</t>
  </si>
  <si>
    <t>Farbmessung der Möhrenoberfläche (Farbkarten)</t>
  </si>
  <si>
    <t>Festigkeit und Feuchtigkeitsaufnahme der Verpackung (wiegen, Sichtkontrolle)</t>
  </si>
  <si>
    <t>Elastizität der Möhren (messen)</t>
  </si>
  <si>
    <t>TS (messen)</t>
  </si>
  <si>
    <t>Gewicht in g</t>
  </si>
  <si>
    <t>Startgewicht</t>
  </si>
  <si>
    <t>21.11.2022</t>
  </si>
  <si>
    <t>23.11.2022</t>
  </si>
  <si>
    <t>25.11.2022</t>
  </si>
  <si>
    <t>28.11.2022</t>
  </si>
  <si>
    <t>30.11.2022</t>
  </si>
  <si>
    <t>02.12.2022</t>
  </si>
  <si>
    <t>Flowpack</t>
  </si>
  <si>
    <t>Durchschnitt</t>
  </si>
  <si>
    <t xml:space="preserve">Standardabweichung </t>
  </si>
  <si>
    <t>PLA</t>
  </si>
  <si>
    <t>Papiersack</t>
  </si>
  <si>
    <t xml:space="preserve">Brauner Karton </t>
  </si>
  <si>
    <t>Durschnitt</t>
  </si>
  <si>
    <t>Bagasse Box</t>
  </si>
  <si>
    <t>Unverpackt</t>
  </si>
  <si>
    <t>354 g Frischmasse</t>
  </si>
  <si>
    <t> </t>
  </si>
  <si>
    <t>05.12.2022</t>
  </si>
  <si>
    <t>06.12.2022</t>
  </si>
  <si>
    <t>07.12.2022</t>
  </si>
  <si>
    <t>08.12.2022</t>
  </si>
  <si>
    <t>09.12.2022</t>
  </si>
  <si>
    <t xml:space="preserve">Durchschnitt </t>
  </si>
  <si>
    <t xml:space="preserve"> Feuchtigkeitsaufnahme der Verpackung (Sichtkontrolle)</t>
  </si>
  <si>
    <t>Mittelwert</t>
  </si>
  <si>
    <t>SD</t>
  </si>
  <si>
    <t>keine verpackung</t>
  </si>
  <si>
    <t>Brauner Karton</t>
  </si>
  <si>
    <t>unverpackt</t>
  </si>
  <si>
    <t>/</t>
  </si>
  <si>
    <t>RAL-Nummern</t>
  </si>
  <si>
    <t>in g</t>
  </si>
  <si>
    <t>PLA-SCHALE</t>
  </si>
  <si>
    <t xml:space="preserve">Bagasse Box </t>
  </si>
  <si>
    <t>PLA-Schale</t>
  </si>
  <si>
    <t>Flowpack 1</t>
  </si>
  <si>
    <t>Flowpack 6</t>
  </si>
  <si>
    <t>Flowpack 4</t>
  </si>
  <si>
    <t>Flowpack 3</t>
  </si>
  <si>
    <t>Flowpack 7</t>
  </si>
  <si>
    <t>Flowpack 10</t>
  </si>
  <si>
    <t>Flowpack 5</t>
  </si>
  <si>
    <t>Flowpack 2</t>
  </si>
  <si>
    <t>Flowpack 8</t>
  </si>
  <si>
    <t>Flowpack 9</t>
  </si>
  <si>
    <t>PLA-Schale 8</t>
  </si>
  <si>
    <t>PLA-Schale 4</t>
  </si>
  <si>
    <t>PLA-Schale 2</t>
  </si>
  <si>
    <t>PLA-Schale 1</t>
  </si>
  <si>
    <t>PLA-Schale 10</t>
  </si>
  <si>
    <t>PLA-Schale 7</t>
  </si>
  <si>
    <t>PLA-Schale 9</t>
  </si>
  <si>
    <t>PLA-Schale 5</t>
  </si>
  <si>
    <t>PLA-Schale 3</t>
  </si>
  <si>
    <t>PLA-Schale 6</t>
  </si>
  <si>
    <t>Papiersack 3</t>
  </si>
  <si>
    <t>Papiersack 10</t>
  </si>
  <si>
    <t>Papiersack 2</t>
  </si>
  <si>
    <t>Papiersack 1</t>
  </si>
  <si>
    <t>Papiersack 4</t>
  </si>
  <si>
    <t>Papiersack 9</t>
  </si>
  <si>
    <t>Papiersack 8</t>
  </si>
  <si>
    <t>Papiersack 6</t>
  </si>
  <si>
    <t>Papiersack 7</t>
  </si>
  <si>
    <t>Papiersack 5</t>
  </si>
  <si>
    <t>Brauner Karton 7</t>
  </si>
  <si>
    <t>Bagasse Box 5</t>
  </si>
  <si>
    <t>Bagasse Box 7</t>
  </si>
  <si>
    <t>Bagasse Box 2</t>
  </si>
  <si>
    <t>Bagasse Box 8</t>
  </si>
  <si>
    <t>Bagasse Box 4</t>
  </si>
  <si>
    <t>Bagasse Box 10</t>
  </si>
  <si>
    <t>Bagasse Box 9</t>
  </si>
  <si>
    <t>Bagasse Box 3</t>
  </si>
  <si>
    <t>Bagasse Box 1</t>
  </si>
  <si>
    <t>Bagasse Box 6</t>
  </si>
  <si>
    <t>unverpackt 5</t>
  </si>
  <si>
    <t>unverpackt 1</t>
  </si>
  <si>
    <t>unverpackt 10</t>
  </si>
  <si>
    <t>unverpackt 6</t>
  </si>
  <si>
    <t>unverpackt 3</t>
  </si>
  <si>
    <t>unverpackt 8</t>
  </si>
  <si>
    <t>unverpackt 7</t>
  </si>
  <si>
    <t>unverpackt 9</t>
  </si>
  <si>
    <t>unverpackt 2</t>
  </si>
  <si>
    <t>unverpackt 4</t>
  </si>
  <si>
    <t>Brauner Karton 6</t>
  </si>
  <si>
    <t>Brauner Karton 5</t>
  </si>
  <si>
    <t>Brauner Karton 3</t>
  </si>
  <si>
    <t>Brauner Karton 1</t>
  </si>
  <si>
    <t>Brauner Karton 10</t>
  </si>
  <si>
    <t>Brauner Karton 8</t>
  </si>
  <si>
    <t>Brauner Karton 2</t>
  </si>
  <si>
    <t>Brauner Karton 4</t>
  </si>
  <si>
    <t>Brauner Karton 9</t>
  </si>
  <si>
    <t>Bagasse-Box</t>
  </si>
  <si>
    <t>541;378</t>
  </si>
  <si>
    <t>525;245</t>
  </si>
  <si>
    <t>Standardabweichung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</si>
</sst>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444444"/>
      <name val="Calibri"/>
      <scheme val="minor"/>
    </font>
    <font>
      <sz val="11"/>
      <color rgb="FF444444"/>
      <name val="Calibri"/>
      <charset val="1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8B0F7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8B0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7" borderId="3" xfId="0" applyFont="1" applyFill="1" applyBorder="1"/>
    <xf numFmtId="0" fontId="1" fillId="7" borderId="1" xfId="0" applyFont="1" applyFill="1" applyBorder="1"/>
    <xf numFmtId="0" fontId="1" fillId="2" borderId="3" xfId="0" applyFont="1" applyFill="1" applyBorder="1"/>
    <xf numFmtId="0" fontId="1" fillId="7" borderId="2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8" borderId="1" xfId="0" applyFont="1" applyFill="1" applyBorder="1"/>
    <xf numFmtId="0" fontId="1" fillId="8" borderId="14" xfId="0" applyFont="1" applyFill="1" applyBorder="1"/>
    <xf numFmtId="0" fontId="1" fillId="8" borderId="15" xfId="0" applyFont="1" applyFill="1" applyBorder="1"/>
    <xf numFmtId="0" fontId="1" fillId="8" borderId="2" xfId="0" applyFont="1" applyFill="1" applyBorder="1"/>
    <xf numFmtId="0" fontId="1" fillId="8" borderId="16" xfId="0" applyFont="1" applyFill="1" applyBorder="1"/>
    <xf numFmtId="0" fontId="1" fillId="8" borderId="17" xfId="0" applyFont="1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8" borderId="13" xfId="0" applyFont="1" applyFill="1" applyBorder="1"/>
    <xf numFmtId="0" fontId="1" fillId="9" borderId="1" xfId="0" applyFont="1" applyFill="1" applyBorder="1"/>
    <xf numFmtId="0" fontId="1" fillId="9" borderId="12" xfId="0" applyFont="1" applyFill="1" applyBorder="1"/>
    <xf numFmtId="0" fontId="1" fillId="9" borderId="13" xfId="0" applyFont="1" applyFill="1" applyBorder="1"/>
    <xf numFmtId="0" fontId="1" fillId="9" borderId="2" xfId="0" applyFont="1" applyFill="1" applyBorder="1"/>
    <xf numFmtId="0" fontId="1" fillId="9" borderId="14" xfId="0" applyFont="1" applyFill="1" applyBorder="1"/>
    <xf numFmtId="0" fontId="1" fillId="9" borderId="15" xfId="0" applyFont="1" applyFill="1" applyBorder="1"/>
    <xf numFmtId="0" fontId="1" fillId="9" borderId="3" xfId="0" applyFont="1" applyFill="1" applyBorder="1"/>
    <xf numFmtId="0" fontId="1" fillId="9" borderId="16" xfId="0" applyFont="1" applyFill="1" applyBorder="1"/>
    <xf numFmtId="0" fontId="1" fillId="9" borderId="17" xfId="0" applyFont="1" applyFill="1" applyBorder="1"/>
    <xf numFmtId="0" fontId="1" fillId="10" borderId="3" xfId="0" applyFont="1" applyFill="1" applyBorder="1"/>
    <xf numFmtId="0" fontId="1" fillId="10" borderId="14" xfId="0" applyFont="1" applyFill="1" applyBorder="1"/>
    <xf numFmtId="0" fontId="1" fillId="10" borderId="15" xfId="0" applyFont="1" applyFill="1" applyBorder="1"/>
    <xf numFmtId="0" fontId="1" fillId="10" borderId="2" xfId="0" applyFont="1" applyFill="1" applyBorder="1"/>
    <xf numFmtId="0" fontId="1" fillId="10" borderId="16" xfId="0" applyFont="1" applyFill="1" applyBorder="1"/>
    <xf numFmtId="0" fontId="1" fillId="10" borderId="17" xfId="0" applyFont="1" applyFill="1" applyBorder="1"/>
    <xf numFmtId="0" fontId="1" fillId="10" borderId="12" xfId="0" applyFont="1" applyFill="1" applyBorder="1"/>
    <xf numFmtId="0" fontId="1" fillId="10" borderId="13" xfId="0" applyFont="1" applyFill="1" applyBorder="1"/>
    <xf numFmtId="0" fontId="1" fillId="10" borderId="1" xfId="0" applyFont="1" applyFill="1" applyBorder="1"/>
    <xf numFmtId="0" fontId="1" fillId="11" borderId="3" xfId="0" applyFont="1" applyFill="1" applyBorder="1"/>
    <xf numFmtId="0" fontId="1" fillId="11" borderId="12" xfId="0" applyFont="1" applyFill="1" applyBorder="1"/>
    <xf numFmtId="0" fontId="1" fillId="11" borderId="13" xfId="0" applyFont="1" applyFill="1" applyBorder="1"/>
    <xf numFmtId="0" fontId="1" fillId="11" borderId="2" xfId="0" applyFont="1" applyFill="1" applyBorder="1"/>
    <xf numFmtId="0" fontId="1" fillId="11" borderId="14" xfId="0" applyFont="1" applyFill="1" applyBorder="1"/>
    <xf numFmtId="0" fontId="1" fillId="11" borderId="15" xfId="0" applyFont="1" applyFill="1" applyBorder="1"/>
    <xf numFmtId="0" fontId="1" fillId="11" borderId="16" xfId="0" applyFont="1" applyFill="1" applyBorder="1"/>
    <xf numFmtId="0" fontId="1" fillId="11" borderId="17" xfId="0" applyFont="1" applyFill="1" applyBorder="1"/>
    <xf numFmtId="0" fontId="1" fillId="11" borderId="1" xfId="0" applyFont="1" applyFill="1" applyBorder="1"/>
    <xf numFmtId="0" fontId="1" fillId="12" borderId="14" xfId="0" applyFont="1" applyFill="1" applyBorder="1"/>
    <xf numFmtId="0" fontId="1" fillId="12" borderId="16" xfId="0" applyFont="1" applyFill="1" applyBorder="1"/>
    <xf numFmtId="0" fontId="1" fillId="12" borderId="12" xfId="0" applyFont="1" applyFill="1" applyBorder="1"/>
    <xf numFmtId="14" fontId="1" fillId="0" borderId="10" xfId="0" applyNumberFormat="1" applyFont="1" applyBorder="1" applyAlignment="1">
      <alignment horizontal="center"/>
    </xf>
    <xf numFmtId="0" fontId="5" fillId="13" borderId="0" xfId="0" applyFont="1" applyFill="1"/>
    <xf numFmtId="0" fontId="1" fillId="14" borderId="12" xfId="0" applyFont="1" applyFill="1" applyBorder="1"/>
    <xf numFmtId="0" fontId="1" fillId="14" borderId="14" xfId="0" applyFont="1" applyFill="1" applyBorder="1"/>
    <xf numFmtId="0" fontId="0" fillId="14" borderId="0" xfId="0" applyFill="1"/>
    <xf numFmtId="0" fontId="1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7" xfId="0" applyFont="1" applyBorder="1"/>
    <xf numFmtId="14" fontId="6" fillId="0" borderId="18" xfId="0" applyNumberFormat="1" applyFont="1" applyBorder="1"/>
    <xf numFmtId="0" fontId="6" fillId="2" borderId="19" xfId="0" applyFont="1" applyFill="1" applyBorder="1"/>
    <xf numFmtId="0" fontId="6" fillId="2" borderId="12" xfId="0" applyFont="1" applyFill="1" applyBorder="1"/>
    <xf numFmtId="0" fontId="6" fillId="4" borderId="19" xfId="0" applyFont="1" applyFill="1" applyBorder="1"/>
    <xf numFmtId="0" fontId="6" fillId="4" borderId="18" xfId="0" applyFont="1" applyFill="1" applyBorder="1"/>
    <xf numFmtId="0" fontId="6" fillId="5" borderId="19" xfId="0" applyFont="1" applyFill="1" applyBorder="1"/>
    <xf numFmtId="0" fontId="6" fillId="5" borderId="18" xfId="0" applyFont="1" applyFill="1" applyBorder="1"/>
    <xf numFmtId="0" fontId="6" fillId="3" borderId="19" xfId="0" applyFont="1" applyFill="1" applyBorder="1"/>
    <xf numFmtId="0" fontId="6" fillId="3" borderId="18" xfId="0" applyFont="1" applyFill="1" applyBorder="1"/>
    <xf numFmtId="0" fontId="6" fillId="6" borderId="19" xfId="0" applyFont="1" applyFill="1" applyBorder="1"/>
    <xf numFmtId="0" fontId="6" fillId="6" borderId="18" xfId="0" applyFont="1" applyFill="1" applyBorder="1"/>
    <xf numFmtId="0" fontId="6" fillId="7" borderId="1" xfId="0" applyFont="1" applyFill="1" applyBorder="1"/>
    <xf numFmtId="0" fontId="6" fillId="7" borderId="20" xfId="0" applyFont="1" applyFill="1" applyBorder="1"/>
    <xf numFmtId="0" fontId="6" fillId="7" borderId="21" xfId="0" applyFont="1" applyFill="1" applyBorder="1"/>
    <xf numFmtId="0" fontId="6" fillId="0" borderId="0" xfId="0" applyFont="1"/>
    <xf numFmtId="0" fontId="6" fillId="5" borderId="12" xfId="0" applyFont="1" applyFill="1" applyBorder="1"/>
    <xf numFmtId="0" fontId="6" fillId="3" borderId="22" xfId="0" applyFont="1" applyFill="1" applyBorder="1"/>
    <xf numFmtId="0" fontId="6" fillId="6" borderId="14" xfId="0" applyFont="1" applyFill="1" applyBorder="1"/>
    <xf numFmtId="0" fontId="1" fillId="15" borderId="1" xfId="0" applyFont="1" applyFill="1" applyBorder="1"/>
    <xf numFmtId="0" fontId="1" fillId="15" borderId="12" xfId="0" applyFont="1" applyFill="1" applyBorder="1"/>
    <xf numFmtId="0" fontId="1" fillId="15" borderId="14" xfId="0" applyFont="1" applyFill="1" applyBorder="1"/>
    <xf numFmtId="0" fontId="1" fillId="15" borderId="2" xfId="0" applyFont="1" applyFill="1" applyBorder="1"/>
    <xf numFmtId="14" fontId="1" fillId="0" borderId="10" xfId="0" applyNumberFormat="1" applyFont="1" applyBorder="1"/>
    <xf numFmtId="14" fontId="1" fillId="0" borderId="11" xfId="0" applyNumberFormat="1" applyFont="1" applyBorder="1"/>
    <xf numFmtId="0" fontId="0" fillId="0" borderId="14" xfId="0" applyBorder="1"/>
    <xf numFmtId="0" fontId="0" fillId="0" borderId="23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16" borderId="20" xfId="0" applyFill="1" applyBorder="1"/>
    <xf numFmtId="0" fontId="0" fillId="16" borderId="24" xfId="0" applyFill="1" applyBorder="1"/>
    <xf numFmtId="0" fontId="0" fillId="16" borderId="25" xfId="0" applyFill="1" applyBorder="1"/>
    <xf numFmtId="0" fontId="1" fillId="17" borderId="25" xfId="0" applyFont="1" applyFill="1" applyBorder="1"/>
    <xf numFmtId="0" fontId="1" fillId="17" borderId="26" xfId="0" applyFont="1" applyFill="1" applyBorder="1"/>
    <xf numFmtId="14" fontId="0" fillId="0" borderId="23" xfId="0" applyNumberFormat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/>
    </xf>
    <xf numFmtId="0" fontId="1" fillId="17" borderId="15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1" fillId="17" borderId="16" xfId="0" applyFont="1" applyFill="1" applyBorder="1" applyAlignment="1">
      <alignment horizontal="center" vertical="center"/>
    </xf>
    <xf numFmtId="0" fontId="1" fillId="17" borderId="17" xfId="0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7" xfId="0" applyFill="1" applyBorder="1"/>
    <xf numFmtId="2" fontId="0" fillId="16" borderId="23" xfId="0" applyNumberForma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23" xfId="0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8" borderId="27" xfId="0" applyFont="1" applyFill="1" applyBorder="1" applyAlignment="1">
      <alignment horizontal="left"/>
    </xf>
    <xf numFmtId="0" fontId="1" fillId="8" borderId="27" xfId="0" applyFont="1" applyFill="1" applyBorder="1"/>
    <xf numFmtId="2" fontId="0" fillId="18" borderId="23" xfId="0" applyNumberFormat="1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1" fillId="9" borderId="27" xfId="0" applyFont="1" applyFill="1" applyBorder="1"/>
    <xf numFmtId="0" fontId="0" fillId="19" borderId="23" xfId="0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2" fontId="0" fillId="19" borderId="23" xfId="0" applyNumberFormat="1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1" fillId="10" borderId="27" xfId="0" applyFont="1" applyFill="1" applyBorder="1"/>
    <xf numFmtId="0" fontId="0" fillId="20" borderId="23" xfId="0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10" borderId="28" xfId="0" applyFont="1" applyFill="1" applyBorder="1" applyAlignment="1">
      <alignment horizontal="center"/>
    </xf>
    <xf numFmtId="2" fontId="0" fillId="20" borderId="23" xfId="0" applyNumberForma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1" borderId="27" xfId="0" applyFont="1" applyFill="1" applyBorder="1"/>
    <xf numFmtId="0" fontId="1" fillId="12" borderId="23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8" xfId="0" applyFont="1" applyFill="1" applyBorder="1" applyAlignment="1">
      <alignment horizontal="center"/>
    </xf>
    <xf numFmtId="2" fontId="0" fillId="21" borderId="12" xfId="0" applyNumberFormat="1" applyFill="1" applyBorder="1" applyAlignment="1">
      <alignment horizontal="center"/>
    </xf>
    <xf numFmtId="2" fontId="0" fillId="21" borderId="23" xfId="0" applyNumberFormat="1" applyFill="1" applyBorder="1" applyAlignment="1">
      <alignment horizontal="center"/>
    </xf>
    <xf numFmtId="0" fontId="1" fillId="7" borderId="14" xfId="0" applyFont="1" applyFill="1" applyBorder="1"/>
    <xf numFmtId="0" fontId="1" fillId="7" borderId="12" xfId="0" applyFont="1" applyFill="1" applyBorder="1"/>
    <xf numFmtId="0" fontId="1" fillId="7" borderId="15" xfId="0" applyFont="1" applyFill="1" applyBorder="1"/>
    <xf numFmtId="0" fontId="1" fillId="7" borderId="12" xfId="0" applyFont="1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1" fillId="15" borderId="12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2" fontId="0" fillId="15" borderId="16" xfId="0" applyNumberFormat="1" applyFill="1" applyBorder="1" applyAlignment="1">
      <alignment horizontal="center"/>
    </xf>
    <xf numFmtId="0" fontId="1" fillId="7" borderId="20" xfId="0" applyFont="1" applyFill="1" applyBorder="1"/>
    <xf numFmtId="0" fontId="0" fillId="15" borderId="19" xfId="0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6" fillId="2" borderId="14" xfId="0" applyFont="1" applyFill="1" applyBorder="1"/>
    <xf numFmtId="0" fontId="1" fillId="0" borderId="29" xfId="0" applyFont="1" applyBorder="1"/>
    <xf numFmtId="0" fontId="1" fillId="0" borderId="30" xfId="0" applyFont="1" applyBorder="1" applyAlignment="1">
      <alignment horizontal="center"/>
    </xf>
    <xf numFmtId="14" fontId="1" fillId="0" borderId="30" xfId="0" applyNumberFormat="1" applyFont="1" applyBorder="1" applyAlignment="1">
      <alignment horizontal="center"/>
    </xf>
    <xf numFmtId="14" fontId="6" fillId="0" borderId="30" xfId="0" applyNumberFormat="1" applyFont="1" applyBorder="1"/>
    <xf numFmtId="0" fontId="1" fillId="0" borderId="31" xfId="0" applyFont="1" applyBorder="1" applyAlignment="1">
      <alignment horizontal="center"/>
    </xf>
    <xf numFmtId="0" fontId="1" fillId="2" borderId="27" xfId="0" applyFont="1" applyFill="1" applyBorder="1"/>
    <xf numFmtId="0" fontId="1" fillId="2" borderId="23" xfId="0" applyFont="1" applyFill="1" applyBorder="1"/>
    <xf numFmtId="0" fontId="6" fillId="2" borderId="23" xfId="0" applyFont="1" applyFill="1" applyBorder="1"/>
    <xf numFmtId="0" fontId="1" fillId="2" borderId="28" xfId="0" applyFont="1" applyFill="1" applyBorder="1"/>
    <xf numFmtId="2" fontId="0" fillId="0" borderId="16" xfId="0" applyNumberFormat="1" applyBorder="1"/>
    <xf numFmtId="2" fontId="0" fillId="0" borderId="23" xfId="0" applyNumberFormat="1" applyBorder="1"/>
    <xf numFmtId="0" fontId="6" fillId="4" borderId="14" xfId="0" applyFont="1" applyFill="1" applyBorder="1"/>
    <xf numFmtId="0" fontId="6" fillId="4" borderId="12" xfId="0" applyFont="1" applyFill="1" applyBorder="1"/>
    <xf numFmtId="2" fontId="0" fillId="0" borderId="28" xfId="0" applyNumberFormat="1" applyBorder="1"/>
    <xf numFmtId="0" fontId="6" fillId="5" borderId="14" xfId="0" applyFont="1" applyFill="1" applyBorder="1"/>
    <xf numFmtId="0" fontId="0" fillId="0" borderId="28" xfId="0" applyBorder="1"/>
    <xf numFmtId="0" fontId="6" fillId="3" borderId="14" xfId="0" applyFont="1" applyFill="1" applyBorder="1"/>
    <xf numFmtId="0" fontId="6" fillId="3" borderId="12" xfId="0" applyFont="1" applyFill="1" applyBorder="1"/>
    <xf numFmtId="0" fontId="6" fillId="6" borderId="12" xfId="0" applyFont="1" applyFill="1" applyBorder="1"/>
    <xf numFmtId="0" fontId="6" fillId="7" borderId="14" xfId="0" applyFont="1" applyFill="1" applyBorder="1"/>
    <xf numFmtId="0" fontId="6" fillId="7" borderId="12" xfId="0" applyFont="1" applyFill="1" applyBorder="1"/>
    <xf numFmtId="0" fontId="1" fillId="7" borderId="13" xfId="0" applyFont="1" applyFill="1" applyBorder="1"/>
    <xf numFmtId="2" fontId="0" fillId="0" borderId="0" xfId="0" applyNumberFormat="1"/>
    <xf numFmtId="0" fontId="0" fillId="23" borderId="0" xfId="0" applyFill="1"/>
    <xf numFmtId="0" fontId="1" fillId="8" borderId="23" xfId="0" applyFont="1" applyFill="1" applyBorder="1"/>
    <xf numFmtId="0" fontId="6" fillId="4" borderId="22" xfId="0" applyFont="1" applyFill="1" applyBorder="1"/>
    <xf numFmtId="0" fontId="1" fillId="22" borderId="14" xfId="0" applyFont="1" applyFill="1" applyBorder="1"/>
    <xf numFmtId="2" fontId="0" fillId="0" borderId="14" xfId="0" applyNumberFormat="1" applyBorder="1"/>
    <xf numFmtId="0" fontId="1" fillId="9" borderId="22" xfId="0" applyFont="1" applyFill="1" applyBorder="1"/>
    <xf numFmtId="0" fontId="6" fillId="5" borderId="22" xfId="0" applyFont="1" applyFill="1" applyBorder="1"/>
    <xf numFmtId="0" fontId="1" fillId="9" borderId="32" xfId="0" applyFont="1" applyFill="1" applyBorder="1"/>
    <xf numFmtId="0" fontId="1" fillId="10" borderId="22" xfId="0" applyFont="1" applyFill="1" applyBorder="1"/>
    <xf numFmtId="0" fontId="1" fillId="10" borderId="32" xfId="0" applyFont="1" applyFill="1" applyBorder="1"/>
    <xf numFmtId="0" fontId="1" fillId="11" borderId="22" xfId="0" applyFont="1" applyFill="1" applyBorder="1"/>
    <xf numFmtId="0" fontId="6" fillId="6" borderId="22" xfId="0" applyFont="1" applyFill="1" applyBorder="1"/>
    <xf numFmtId="0" fontId="1" fillId="11" borderId="32" xfId="0" applyFont="1" applyFill="1" applyBorder="1"/>
    <xf numFmtId="0" fontId="1" fillId="22" borderId="33" xfId="0" applyFont="1" applyFill="1" applyBorder="1"/>
    <xf numFmtId="0" fontId="0" fillId="0" borderId="0" xfId="0" applyAlignment="1">
      <alignment horizontal="center"/>
    </xf>
    <xf numFmtId="0" fontId="1" fillId="23" borderId="5" xfId="0" applyFont="1" applyFill="1" applyBorder="1" applyAlignment="1">
      <alignment horizontal="center"/>
    </xf>
    <xf numFmtId="0" fontId="1" fillId="23" borderId="0" xfId="0" applyFont="1" applyFill="1"/>
    <xf numFmtId="0" fontId="1" fillId="23" borderId="0" xfId="0" applyFont="1" applyFill="1" applyAlignment="1">
      <alignment horizontal="center"/>
    </xf>
    <xf numFmtId="0" fontId="1" fillId="22" borderId="0" xfId="0" applyFont="1" applyFill="1"/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6" fillId="2" borderId="19" xfId="0" applyNumberFormat="1" applyFont="1" applyFill="1" applyBorder="1"/>
    <xf numFmtId="2" fontId="1" fillId="2" borderId="14" xfId="0" applyNumberFormat="1" applyFont="1" applyFill="1" applyBorder="1"/>
    <xf numFmtId="2" fontId="1" fillId="2" borderId="12" xfId="0" applyNumberFormat="1" applyFont="1" applyFill="1" applyBorder="1"/>
    <xf numFmtId="2" fontId="6" fillId="4" borderId="19" xfId="0" applyNumberFormat="1" applyFont="1" applyFill="1" applyBorder="1"/>
    <xf numFmtId="2" fontId="1" fillId="14" borderId="12" xfId="0" applyNumberFormat="1" applyFont="1" applyFill="1" applyBorder="1"/>
    <xf numFmtId="2" fontId="1" fillId="8" borderId="14" xfId="0" applyNumberFormat="1" applyFont="1" applyFill="1" applyBorder="1"/>
    <xf numFmtId="2" fontId="6" fillId="5" borderId="18" xfId="0" applyNumberFormat="1" applyFont="1" applyFill="1" applyBorder="1"/>
    <xf numFmtId="2" fontId="1" fillId="9" borderId="12" xfId="0" applyNumberFormat="1" applyFont="1" applyFill="1" applyBorder="1"/>
    <xf numFmtId="2" fontId="6" fillId="3" borderId="19" xfId="0" applyNumberFormat="1" applyFont="1" applyFill="1" applyBorder="1"/>
    <xf numFmtId="2" fontId="1" fillId="10" borderId="14" xfId="0" applyNumberFormat="1" applyFont="1" applyFill="1" applyBorder="1"/>
    <xf numFmtId="2" fontId="6" fillId="6" borderId="18" xfId="0" applyNumberFormat="1" applyFont="1" applyFill="1" applyBorder="1"/>
    <xf numFmtId="2" fontId="1" fillId="11" borderId="12" xfId="0" applyNumberFormat="1" applyFont="1" applyFill="1" applyBorder="1"/>
    <xf numFmtId="2" fontId="6" fillId="7" borderId="20" xfId="0" applyNumberFormat="1" applyFont="1" applyFill="1" applyBorder="1"/>
    <xf numFmtId="2" fontId="1" fillId="7" borderId="2" xfId="0" applyNumberFormat="1" applyFont="1" applyFill="1" applyBorder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0" borderId="5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B0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Möhrengewicht</a:t>
            </a:r>
            <a:r>
              <a:rPr lang="en-US" baseline="0"/>
              <a:t> im Verlauf des Versuchs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Flowpack</c:v>
          </c:tx>
          <c:cat>
            <c:numRef>
              <c:f>Gewichtsverlust!$Q$3:$U$3</c:f>
              <c:numCache>
                <c:formatCode>m/d/yyyy</c:formatCode>
                <c:ptCount val="5"/>
                <c:pt idx="0">
                  <c:v>44886</c:v>
                </c:pt>
                <c:pt idx="1">
                  <c:v>44888</c:v>
                </c:pt>
                <c:pt idx="2">
                  <c:v>44890</c:v>
                </c:pt>
                <c:pt idx="3">
                  <c:v>44893</c:v>
                </c:pt>
                <c:pt idx="4">
                  <c:v>44895</c:v>
                </c:pt>
              </c:numCache>
            </c:numRef>
          </c:cat>
          <c:val>
            <c:numRef>
              <c:f>Gewichtsverlust!$Q$8:$U$8</c:f>
              <c:numCache>
                <c:formatCode>General</c:formatCode>
                <c:ptCount val="5"/>
                <c:pt idx="0">
                  <c:v>544.83000000000004</c:v>
                </c:pt>
                <c:pt idx="1">
                  <c:v>546.5</c:v>
                </c:pt>
                <c:pt idx="2">
                  <c:v>549</c:v>
                </c:pt>
                <c:pt idx="3">
                  <c:v>528.5</c:v>
                </c:pt>
                <c:pt idx="4">
                  <c:v>521.22499999999991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B-443A-95AD-70C3D34D2D1C}"/>
            </c:ext>
          </c:extLst>
        </c:ser>
        <c:ser>
          <c:idx val="1"/>
          <c:order val="1"/>
          <c:tx>
            <c:v>PLA-Box</c:v>
          </c:tx>
          <c:val>
            <c:numRef>
              <c:f>Gewichtsverlust!$Q$14:$U$14</c:f>
              <c:numCache>
                <c:formatCode>General</c:formatCode>
                <c:ptCount val="5"/>
                <c:pt idx="0">
                  <c:v>541.43000000000006</c:v>
                </c:pt>
                <c:pt idx="1">
                  <c:v>543.75</c:v>
                </c:pt>
                <c:pt idx="2">
                  <c:v>546.25</c:v>
                </c:pt>
                <c:pt idx="3">
                  <c:v>530.57500000000005</c:v>
                </c:pt>
                <c:pt idx="4">
                  <c:v>526.59999999999991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B-443A-95AD-70C3D34D2D1C}"/>
            </c:ext>
          </c:extLst>
        </c:ser>
        <c:ser>
          <c:idx val="2"/>
          <c:order val="2"/>
          <c:tx>
            <c:v>Nassfester Papiersack</c:v>
          </c:tx>
          <c:val>
            <c:numRef>
              <c:f>Gewichtsverlust!$Q$20:$U$20</c:f>
              <c:numCache>
                <c:formatCode>General</c:formatCode>
                <c:ptCount val="5"/>
                <c:pt idx="0">
                  <c:v>541.24749999999995</c:v>
                </c:pt>
                <c:pt idx="1">
                  <c:v>520.375</c:v>
                </c:pt>
                <c:pt idx="2">
                  <c:v>494.75</c:v>
                </c:pt>
                <c:pt idx="3">
                  <c:v>423.07499999999999</c:v>
                </c:pt>
                <c:pt idx="4">
                  <c:v>378.9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B-443A-95AD-70C3D34D2D1C}"/>
            </c:ext>
          </c:extLst>
        </c:ser>
        <c:ser>
          <c:idx val="3"/>
          <c:order val="3"/>
          <c:tx>
            <c:v>Brauner Karton mit Biowachsbeschichtung</c:v>
          </c:tx>
          <c:val>
            <c:numRef>
              <c:f>Gewichtsverlust!$Q$26:$U$26</c:f>
              <c:numCache>
                <c:formatCode>General</c:formatCode>
                <c:ptCount val="5"/>
                <c:pt idx="0">
                  <c:v>544.72500000000002</c:v>
                </c:pt>
                <c:pt idx="1">
                  <c:v>535.70000000000005</c:v>
                </c:pt>
                <c:pt idx="2">
                  <c:v>530.25</c:v>
                </c:pt>
                <c:pt idx="3">
                  <c:v>492.15000000000003</c:v>
                </c:pt>
                <c:pt idx="4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0B-443A-95AD-70C3D34D2D1C}"/>
            </c:ext>
          </c:extLst>
        </c:ser>
        <c:ser>
          <c:idx val="4"/>
          <c:order val="4"/>
          <c:tx>
            <c:v>Bagasse Box</c:v>
          </c:tx>
          <c:val>
            <c:numRef>
              <c:f>Gewichtsverlust!$Q$32:$U$32</c:f>
              <c:numCache>
                <c:formatCode>0.00</c:formatCode>
                <c:ptCount val="5"/>
                <c:pt idx="0">
                  <c:v>538.95249999999999</c:v>
                </c:pt>
                <c:pt idx="1">
                  <c:v>534.84999999999991</c:v>
                </c:pt>
                <c:pt idx="2">
                  <c:v>529.75</c:v>
                </c:pt>
                <c:pt idx="3">
                  <c:v>489.54999999999995</c:v>
                </c:pt>
                <c:pt idx="4">
                  <c:v>468.27499999999998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0B-443A-95AD-70C3D34D2D1C}"/>
            </c:ext>
          </c:extLst>
        </c:ser>
        <c:ser>
          <c:idx val="5"/>
          <c:order val="5"/>
          <c:tx>
            <c:v>Unverpackt</c:v>
          </c:tx>
          <c:val>
            <c:numRef>
              <c:f>Gewichtsverlust!$Q$38:$U$38</c:f>
              <c:numCache>
                <c:formatCode>General</c:formatCode>
                <c:ptCount val="5"/>
                <c:pt idx="0">
                  <c:v>525.25</c:v>
                </c:pt>
                <c:pt idx="1">
                  <c:v>471.25</c:v>
                </c:pt>
                <c:pt idx="2">
                  <c:v>417.25</c:v>
                </c:pt>
                <c:pt idx="3">
                  <c:v>302</c:v>
                </c:pt>
                <c:pt idx="4">
                  <c:v>245.875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0B-443A-95AD-70C3D34D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81568"/>
        <c:axId val="75668224"/>
      </c:lineChart>
      <c:dateAx>
        <c:axId val="7518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Datum 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crossAx val="75668224"/>
        <c:crosses val="autoZero"/>
        <c:auto val="1"/>
        <c:lblOffset val="100"/>
        <c:baseTimeUnit val="days"/>
      </c:dateAx>
      <c:valAx>
        <c:axId val="756682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Möhrengewicht in Gramm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18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Bonitur mikrobielle Belastung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 Flowpack</c:v>
          </c:tx>
          <c:invertIfNegative val="0"/>
          <c:cat>
            <c:strRef>
              <c:f>'Mikrobielle Belastung '!$P$3:$T$3</c:f>
              <c:strCache>
                <c:ptCount val="5"/>
                <c:pt idx="0">
                  <c:v>21.11.2022</c:v>
                </c:pt>
                <c:pt idx="1">
                  <c:v>23/11/2022</c:v>
                </c:pt>
                <c:pt idx="2">
                  <c:v>25/11/2022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'Mikrobielle Belastung '!$P$8:$T$8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4.75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C-43BF-A0BA-6CAA5F14CE2B}"/>
            </c:ext>
          </c:extLst>
        </c:ser>
        <c:ser>
          <c:idx val="1"/>
          <c:order val="1"/>
          <c:tx>
            <c:v>PLA-Box</c:v>
          </c:tx>
          <c:invertIfNegative val="0"/>
          <c:val>
            <c:numRef>
              <c:f>'Mikrobielle Belastung '!$P$14:$T$14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5.25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C-43BF-A0BA-6CAA5F14CE2B}"/>
            </c:ext>
          </c:extLst>
        </c:ser>
        <c:ser>
          <c:idx val="2"/>
          <c:order val="2"/>
          <c:tx>
            <c:v>Nassfester Papiersack</c:v>
          </c:tx>
          <c:invertIfNegative val="0"/>
          <c:val>
            <c:numRef>
              <c:f>'Mikrobielle Belastung '!$P$20:$T$20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C-43BF-A0BA-6CAA5F14CE2B}"/>
            </c:ext>
          </c:extLst>
        </c:ser>
        <c:ser>
          <c:idx val="3"/>
          <c:order val="3"/>
          <c:tx>
            <c:v>Braunerkarton mit PLA-Sichtfenster</c:v>
          </c:tx>
          <c:invertIfNegative val="0"/>
          <c:val>
            <c:numRef>
              <c:f>'Mikrobielle Belastung '!$P$26:$T$26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1.25</c:v>
                </c:pt>
                <c:pt idx="3">
                  <c:v>3.5</c:v>
                </c:pt>
                <c:pt idx="4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3C-43BF-A0BA-6CAA5F14CE2B}"/>
            </c:ext>
          </c:extLst>
        </c:ser>
        <c:ser>
          <c:idx val="4"/>
          <c:order val="4"/>
          <c:tx>
            <c:v>Bagasse Box</c:v>
          </c:tx>
          <c:invertIfNegative val="0"/>
          <c:val>
            <c:numRef>
              <c:f>'Mikrobielle Belastung '!$P$32:$T$32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2.75</c:v>
                </c:pt>
                <c:pt idx="4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C-43BF-A0BA-6CAA5F14CE2B}"/>
            </c:ext>
          </c:extLst>
        </c:ser>
        <c:ser>
          <c:idx val="5"/>
          <c:order val="5"/>
          <c:tx>
            <c:v>Unverpackt</c:v>
          </c:tx>
          <c:invertIfNegative val="0"/>
          <c:val>
            <c:numRef>
              <c:f>'Mikrobielle Belastung '!$P$38:$T$38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3.75</c:v>
                </c:pt>
                <c:pt idx="3">
                  <c:v>8.5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3C-43BF-A0BA-6CAA5F14C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42240"/>
        <c:axId val="107169472"/>
      </c:barChart>
      <c:catAx>
        <c:axId val="5044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Datum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07169472"/>
        <c:crosses val="autoZero"/>
        <c:auto val="1"/>
        <c:lblAlgn val="ctr"/>
        <c:lblOffset val="100"/>
        <c:noMultiLvlLbl val="0"/>
      </c:catAx>
      <c:valAx>
        <c:axId val="107169472"/>
        <c:scaling>
          <c:orientation val="minMax"/>
          <c:max val="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Boniturschlüssel (1-9)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442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Feuchte der</a:t>
            </a:r>
            <a:r>
              <a:rPr lang="de-DE" baseline="0"/>
              <a:t> Verpackung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Feuchte der Verpackung'!$O$4</c:f>
              <c:strCache>
                <c:ptCount val="1"/>
                <c:pt idx="0">
                  <c:v>Flowpack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' Feuchte der Verpackung'!$P$3:$T$3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Verpackung'!$P$4:$T$4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 formatCode="0.00">
                  <c:v>4.7</c:v>
                </c:pt>
                <c:pt idx="3" formatCode="0.00">
                  <c:v>3.8571428571428572</c:v>
                </c:pt>
                <c:pt idx="4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F-4383-A5D6-37F0CD940EB3}"/>
            </c:ext>
          </c:extLst>
        </c:ser>
        <c:ser>
          <c:idx val="1"/>
          <c:order val="1"/>
          <c:tx>
            <c:strRef>
              <c:f>' Feuchte der Verpackung'!$O$5</c:f>
              <c:strCache>
                <c:ptCount val="1"/>
                <c:pt idx="0">
                  <c:v>PLA-Schale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 Feuchte der Verpackung'!$P$3:$T$3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Verpackung'!$P$5:$T$5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4.9000000000000004</c:v>
                </c:pt>
                <c:pt idx="3">
                  <c:v>4.5714285714285712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F-4383-A5D6-37F0CD940EB3}"/>
            </c:ext>
          </c:extLst>
        </c:ser>
        <c:ser>
          <c:idx val="2"/>
          <c:order val="2"/>
          <c:tx>
            <c:strRef>
              <c:f>' Feuchte der Verpackung'!$O$6</c:f>
              <c:strCache>
                <c:ptCount val="1"/>
                <c:pt idx="0">
                  <c:v>Papiersack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' Feuchte der Verpackung'!$P$3:$T$3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Verpackung'!$P$6:$T$6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F-4383-A5D6-37F0CD940EB3}"/>
            </c:ext>
          </c:extLst>
        </c:ser>
        <c:ser>
          <c:idx val="3"/>
          <c:order val="3"/>
          <c:tx>
            <c:strRef>
              <c:f>' Feuchte der Verpackung'!$O$7</c:f>
              <c:strCache>
                <c:ptCount val="1"/>
                <c:pt idx="0">
                  <c:v>Brauner Karton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 Feuchte der Verpackung'!$P$3:$T$3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Verpackung'!$P$7:$T$7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BF-4383-A5D6-37F0CD940EB3}"/>
            </c:ext>
          </c:extLst>
        </c:ser>
        <c:ser>
          <c:idx val="4"/>
          <c:order val="4"/>
          <c:tx>
            <c:strRef>
              <c:f>' Feuchte der Verpackung'!$O$8</c:f>
              <c:strCache>
                <c:ptCount val="1"/>
                <c:pt idx="0">
                  <c:v>Bagasse Box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 Feuchte der Verpackung'!$P$3:$T$3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Verpackung'!$P$8:$T$8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BF-4383-A5D6-37F0CD940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866352"/>
        <c:axId val="1110866768"/>
      </c:lineChart>
      <c:catAx>
        <c:axId val="111086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0866768"/>
        <c:crosses val="autoZero"/>
        <c:auto val="1"/>
        <c:lblAlgn val="ctr"/>
        <c:lblOffset val="100"/>
        <c:noMultiLvlLbl val="0"/>
      </c:catAx>
      <c:valAx>
        <c:axId val="11108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Boniturnoten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1086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2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Feuchte der Verpackung'!$AB$11</c:f>
              <c:strCache>
                <c:ptCount val="1"/>
                <c:pt idx="0">
                  <c:v>Flowpack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' Feuchte der Verpackung'!$AC$10:$AG$10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Verpackung'!$AC$11:$AG$11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2-435D-826C-B04F48A23638}"/>
            </c:ext>
          </c:extLst>
        </c:ser>
        <c:ser>
          <c:idx val="1"/>
          <c:order val="1"/>
          <c:tx>
            <c:strRef>
              <c:f>' Feuchte der Verpackung'!$AB$12</c:f>
              <c:strCache>
                <c:ptCount val="1"/>
                <c:pt idx="0">
                  <c:v>PLA-Schale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 Feuchte der Verpackung'!$AC$10:$AG$10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Verpackung'!$AC$12:$AG$12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2-435D-826C-B04F48A23638}"/>
            </c:ext>
          </c:extLst>
        </c:ser>
        <c:ser>
          <c:idx val="2"/>
          <c:order val="2"/>
          <c:tx>
            <c:strRef>
              <c:f>' Feuchte der Verpackung'!$AB$13</c:f>
              <c:strCache>
                <c:ptCount val="1"/>
                <c:pt idx="0">
                  <c:v>Papiersack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 Feuchte der Verpackung'!$AC$10:$AG$10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Verpackung'!$AC$13:$AG$13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2-435D-826C-B04F48A23638}"/>
            </c:ext>
          </c:extLst>
        </c:ser>
        <c:ser>
          <c:idx val="3"/>
          <c:order val="3"/>
          <c:tx>
            <c:strRef>
              <c:f>' Feuchte der Verpackung'!$AB$14</c:f>
              <c:strCache>
                <c:ptCount val="1"/>
                <c:pt idx="0">
                  <c:v>Brauner Karton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 Feuchte der Verpackung'!$AC$10:$AG$10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Verpackung'!$AC$14:$AG$14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22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E2-435D-826C-B04F48A23638}"/>
            </c:ext>
          </c:extLst>
        </c:ser>
        <c:ser>
          <c:idx val="4"/>
          <c:order val="4"/>
          <c:tx>
            <c:strRef>
              <c:f>' Feuchte der Verpackung'!$AB$15</c:f>
              <c:strCache>
                <c:ptCount val="1"/>
                <c:pt idx="0">
                  <c:v>Bagasse Box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 Feuchte der Verpackung'!$AC$10:$AG$10</c:f>
              <c:strCache>
                <c:ptCount val="5"/>
                <c:pt idx="0">
                  <c:v>21.11.2022</c:v>
                </c:pt>
                <c:pt idx="1">
                  <c:v>23.11.2022</c:v>
                </c:pt>
                <c:pt idx="2">
                  <c:v>25.11.2022</c:v>
                </c:pt>
                <c:pt idx="3">
                  <c:v>28.11.2022</c:v>
                </c:pt>
                <c:pt idx="4">
                  <c:v>30.11.2022</c:v>
                </c:pt>
              </c:strCache>
            </c:strRef>
          </c:cat>
          <c:val>
            <c:numRef>
              <c:f>' Feuchte der Verpackung'!$AC$15:$AG$15</c:f>
              <c:numCache>
                <c:formatCode>General</c:formatCode>
                <c:ptCount val="5"/>
                <c:pt idx="0">
                  <c:v>0</c:v>
                </c:pt>
                <c:pt idx="1">
                  <c:v>13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E2-435D-826C-B04F48A23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933535"/>
        <c:axId val="842916479"/>
      </c:lineChart>
      <c:catAx>
        <c:axId val="8429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916479"/>
        <c:crosses val="autoZero"/>
        <c:auto val="1"/>
        <c:lblAlgn val="ctr"/>
        <c:lblOffset val="100"/>
        <c:noMultiLvlLbl val="0"/>
      </c:catAx>
      <c:valAx>
        <c:axId val="84291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Gewichtszunahme der Verpackung</a:t>
                </a:r>
                <a:r>
                  <a:rPr lang="de-DE" baseline="0"/>
                  <a:t> in %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9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Elastizität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Elastizität!$H$5</c:f>
              <c:strCache>
                <c:ptCount val="1"/>
                <c:pt idx="0">
                  <c:v>Flowpack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Elastizität!$J$5:$L$5</c:f>
              <c:numCache>
                <c:formatCode>0.00</c:formatCode>
                <c:ptCount val="3"/>
                <c:pt idx="0">
                  <c:v>0.5</c:v>
                </c:pt>
                <c:pt idx="1">
                  <c:v>1.1666666666666667</c:v>
                </c:pt>
                <c:pt idx="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1-484A-8362-96007EC6D2D4}"/>
            </c:ext>
          </c:extLst>
        </c:ser>
        <c:ser>
          <c:idx val="1"/>
          <c:order val="1"/>
          <c:tx>
            <c:strRef>
              <c:f>Elastizität!$H$6</c:f>
              <c:strCache>
                <c:ptCount val="1"/>
                <c:pt idx="0">
                  <c:v>PLA-Schale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Elastizität!$J$6:$L$6</c:f>
              <c:numCache>
                <c:formatCode>0.00</c:formatCode>
                <c:ptCount val="3"/>
                <c:pt idx="0">
                  <c:v>0.56666666666666676</c:v>
                </c:pt>
                <c:pt idx="1">
                  <c:v>0.56666666666666676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F1-484A-8362-96007EC6D2D4}"/>
            </c:ext>
          </c:extLst>
        </c:ser>
        <c:ser>
          <c:idx val="2"/>
          <c:order val="2"/>
          <c:tx>
            <c:strRef>
              <c:f>Elastizität!$H$7</c:f>
              <c:strCache>
                <c:ptCount val="1"/>
                <c:pt idx="0">
                  <c:v>Papiersack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Elastizität!$J$7:$L$7</c:f>
              <c:numCache>
                <c:formatCode>0.00</c:formatCode>
                <c:ptCount val="3"/>
                <c:pt idx="0">
                  <c:v>1.5666666666666664</c:v>
                </c:pt>
                <c:pt idx="1">
                  <c:v>5.25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F1-484A-8362-96007EC6D2D4}"/>
            </c:ext>
          </c:extLst>
        </c:ser>
        <c:ser>
          <c:idx val="3"/>
          <c:order val="3"/>
          <c:tx>
            <c:strRef>
              <c:f>Elastizität!$H$8</c:f>
              <c:strCache>
                <c:ptCount val="1"/>
                <c:pt idx="0">
                  <c:v>Brauner Karton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Elastizität!$J$8:$L$8</c:f>
              <c:numCache>
                <c:formatCode>0.00</c:formatCode>
                <c:ptCount val="3"/>
                <c:pt idx="0">
                  <c:v>1.4666666666666668</c:v>
                </c:pt>
                <c:pt idx="1">
                  <c:v>0.6</c:v>
                </c:pt>
                <c:pt idx="2">
                  <c:v>1.3499999999999999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F1-484A-8362-96007EC6D2D4}"/>
            </c:ext>
          </c:extLst>
        </c:ser>
        <c:ser>
          <c:idx val="4"/>
          <c:order val="4"/>
          <c:tx>
            <c:strRef>
              <c:f>Elastizität!$H$9</c:f>
              <c:strCache>
                <c:ptCount val="1"/>
                <c:pt idx="0">
                  <c:v>Bagasse-Box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Elastizität!$J$9:$L$9</c:f>
              <c:numCache>
                <c:formatCode>0.00</c:formatCode>
                <c:ptCount val="3"/>
                <c:pt idx="0">
                  <c:v>2</c:v>
                </c:pt>
                <c:pt idx="1">
                  <c:v>0.76666666666666661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F1-484A-8362-96007EC6D2D4}"/>
            </c:ext>
          </c:extLst>
        </c:ser>
        <c:ser>
          <c:idx val="5"/>
          <c:order val="5"/>
          <c:tx>
            <c:strRef>
              <c:f>Elastizität!$H$10</c:f>
              <c:strCache>
                <c:ptCount val="1"/>
                <c:pt idx="0">
                  <c:v>unverpackt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Elastizität!$J$10:$L$10</c:f>
              <c:numCache>
                <c:formatCode>0.00</c:formatCode>
                <c:ptCount val="3"/>
                <c:pt idx="0">
                  <c:v>4.333333333333333</c:v>
                </c:pt>
                <c:pt idx="1">
                  <c:v>9.3333333333333339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F1-484A-8362-96007EC6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308656"/>
        <c:axId val="1086311568"/>
      </c:lineChart>
      <c:catAx>
        <c:axId val="10863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6311568"/>
        <c:crosses val="autoZero"/>
        <c:auto val="1"/>
        <c:lblAlgn val="ctr"/>
        <c:lblOffset val="100"/>
        <c:noMultiLvlLbl val="0"/>
      </c:catAx>
      <c:valAx>
        <c:axId val="10863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Biegsamkeit</a:t>
                </a:r>
                <a:r>
                  <a:rPr lang="de-DE" baseline="0"/>
                  <a:t>  (cm)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630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Elastizität!$H$5</c:f>
              <c:strCache>
                <c:ptCount val="1"/>
                <c:pt idx="0">
                  <c:v>Flowpack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Elastizität!$J$5:$L$5</c:f>
              <c:numCache>
                <c:formatCode>0.00</c:formatCode>
                <c:ptCount val="3"/>
                <c:pt idx="0">
                  <c:v>0.5</c:v>
                </c:pt>
                <c:pt idx="1">
                  <c:v>1.1666666666666667</c:v>
                </c:pt>
                <c:pt idx="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1-4DB1-A230-CABF897BA25A}"/>
            </c:ext>
          </c:extLst>
        </c:ser>
        <c:ser>
          <c:idx val="1"/>
          <c:order val="1"/>
          <c:tx>
            <c:strRef>
              <c:f>Elastizität!$H$6</c:f>
              <c:strCache>
                <c:ptCount val="1"/>
                <c:pt idx="0">
                  <c:v>PLA-Schale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Elastizität!$J$6:$L$6</c:f>
              <c:numCache>
                <c:formatCode>0.00</c:formatCode>
                <c:ptCount val="3"/>
                <c:pt idx="0">
                  <c:v>0.56666666666666676</c:v>
                </c:pt>
                <c:pt idx="1">
                  <c:v>0.56666666666666676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1-4DB1-A230-CABF897BA25A}"/>
            </c:ext>
          </c:extLst>
        </c:ser>
        <c:ser>
          <c:idx val="2"/>
          <c:order val="2"/>
          <c:tx>
            <c:strRef>
              <c:f>Elastizität!$H$7</c:f>
              <c:strCache>
                <c:ptCount val="1"/>
                <c:pt idx="0">
                  <c:v>Papiersack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Elastizität!$J$7:$L$7</c:f>
              <c:numCache>
                <c:formatCode>0.00</c:formatCode>
                <c:ptCount val="3"/>
                <c:pt idx="0">
                  <c:v>1.5666666666666664</c:v>
                </c:pt>
                <c:pt idx="1">
                  <c:v>5.25</c:v>
                </c:pt>
                <c:pt idx="2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1-4DB1-A230-CABF897BA25A}"/>
            </c:ext>
          </c:extLst>
        </c:ser>
        <c:ser>
          <c:idx val="3"/>
          <c:order val="3"/>
          <c:tx>
            <c:strRef>
              <c:f>Elastizität!$H$8</c:f>
              <c:strCache>
                <c:ptCount val="1"/>
                <c:pt idx="0">
                  <c:v>Brauner Karton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Elastizität!$J$8:$L$8</c:f>
              <c:numCache>
                <c:formatCode>0.00</c:formatCode>
                <c:ptCount val="3"/>
                <c:pt idx="0">
                  <c:v>1.4666666666666668</c:v>
                </c:pt>
                <c:pt idx="1">
                  <c:v>0.6</c:v>
                </c:pt>
                <c:pt idx="2">
                  <c:v>1.3499999999999999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1-4DB1-A230-CABF897BA25A}"/>
            </c:ext>
          </c:extLst>
        </c:ser>
        <c:ser>
          <c:idx val="4"/>
          <c:order val="4"/>
          <c:tx>
            <c:strRef>
              <c:f>Elastizität!$H$9</c:f>
              <c:strCache>
                <c:ptCount val="1"/>
                <c:pt idx="0">
                  <c:v>Bagasse-Box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Elastizität!$J$9:$L$9</c:f>
              <c:numCache>
                <c:formatCode>0.00</c:formatCode>
                <c:ptCount val="3"/>
                <c:pt idx="0">
                  <c:v>2</c:v>
                </c:pt>
                <c:pt idx="1">
                  <c:v>0.76666666666666661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1-4DB1-A230-CABF897BA25A}"/>
            </c:ext>
          </c:extLst>
        </c:ser>
        <c:ser>
          <c:idx val="5"/>
          <c:order val="5"/>
          <c:tx>
            <c:strRef>
              <c:f>Elastizität!$H$10</c:f>
              <c:strCache>
                <c:ptCount val="1"/>
                <c:pt idx="0">
                  <c:v>unverpackt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Elastizität!$J$4:$L$4</c:f>
              <c:strCache>
                <c:ptCount val="3"/>
                <c:pt idx="0">
                  <c:v>25.11.2022</c:v>
                </c:pt>
                <c:pt idx="1">
                  <c:v>28.11.2022</c:v>
                </c:pt>
                <c:pt idx="2">
                  <c:v>30.11.2022</c:v>
                </c:pt>
              </c:strCache>
            </c:strRef>
          </c:cat>
          <c:val>
            <c:numRef>
              <c:f>Elastizität!$J$10:$L$10</c:f>
              <c:numCache>
                <c:formatCode>0.00</c:formatCode>
                <c:ptCount val="3"/>
                <c:pt idx="0">
                  <c:v>4.333333333333333</c:v>
                </c:pt>
                <c:pt idx="1">
                  <c:v>9.3333333333333339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1-4DB1-A230-CABF897BA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422591"/>
        <c:axId val="331423839"/>
      </c:lineChart>
      <c:catAx>
        <c:axId val="33142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1423839"/>
        <c:crosses val="autoZero"/>
        <c:auto val="1"/>
        <c:lblAlgn val="ctr"/>
        <c:lblOffset val="100"/>
        <c:noMultiLvlLbl val="0"/>
      </c:catAx>
      <c:valAx>
        <c:axId val="3314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Biegsamkeit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14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Elastizität!$H$5</c:f>
              <c:strCache>
                <c:ptCount val="1"/>
                <c:pt idx="0">
                  <c:v>Flowpack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Elastizität!$I$5:$L$5</c:f>
              <c:numCache>
                <c:formatCode>0.00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1.1666666666666667</c:v>
                </c:pt>
                <c:pt idx="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9-4397-B883-34894E2DFAE9}"/>
            </c:ext>
          </c:extLst>
        </c:ser>
        <c:ser>
          <c:idx val="1"/>
          <c:order val="1"/>
          <c:tx>
            <c:strRef>
              <c:f>Elastizität!$H$6</c:f>
              <c:strCache>
                <c:ptCount val="1"/>
                <c:pt idx="0">
                  <c:v>PLA-Schale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Elastizität!$I$6:$L$6</c:f>
              <c:numCache>
                <c:formatCode>0.00</c:formatCode>
                <c:ptCount val="4"/>
                <c:pt idx="0">
                  <c:v>0.5</c:v>
                </c:pt>
                <c:pt idx="1">
                  <c:v>0.56666666666666676</c:v>
                </c:pt>
                <c:pt idx="2">
                  <c:v>0.56666666666666676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9-4397-B883-34894E2DFAE9}"/>
            </c:ext>
          </c:extLst>
        </c:ser>
        <c:ser>
          <c:idx val="2"/>
          <c:order val="2"/>
          <c:tx>
            <c:strRef>
              <c:f>Elastizität!$H$7</c:f>
              <c:strCache>
                <c:ptCount val="1"/>
                <c:pt idx="0">
                  <c:v>Papiersack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Elastizität!$I$7:$L$7</c:f>
              <c:numCache>
                <c:formatCode>0.00</c:formatCode>
                <c:ptCount val="4"/>
                <c:pt idx="0">
                  <c:v>0.5</c:v>
                </c:pt>
                <c:pt idx="1">
                  <c:v>1.5666666666666664</c:v>
                </c:pt>
                <c:pt idx="2">
                  <c:v>5.25</c:v>
                </c:pt>
                <c:pt idx="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49-4397-B883-34894E2DFAE9}"/>
            </c:ext>
          </c:extLst>
        </c:ser>
        <c:ser>
          <c:idx val="3"/>
          <c:order val="3"/>
          <c:tx>
            <c:strRef>
              <c:f>Elastizität!$H$8</c:f>
              <c:strCache>
                <c:ptCount val="1"/>
                <c:pt idx="0">
                  <c:v>Brauner Karton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Elastizität!$I$8:$L$8</c:f>
              <c:numCache>
                <c:formatCode>0.00</c:formatCode>
                <c:ptCount val="4"/>
                <c:pt idx="0">
                  <c:v>0.5</c:v>
                </c:pt>
                <c:pt idx="1">
                  <c:v>1.4666666666666668</c:v>
                </c:pt>
                <c:pt idx="2">
                  <c:v>0.6</c:v>
                </c:pt>
                <c:pt idx="3">
                  <c:v>1.3499999999999999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49-4397-B883-34894E2DFAE9}"/>
            </c:ext>
          </c:extLst>
        </c:ser>
        <c:ser>
          <c:idx val="4"/>
          <c:order val="4"/>
          <c:tx>
            <c:strRef>
              <c:f>Elastizität!$H$9</c:f>
              <c:strCache>
                <c:ptCount val="1"/>
                <c:pt idx="0">
                  <c:v>Bagasse-Box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Elastizität!$I$9:$L$9</c:f>
              <c:numCache>
                <c:formatCode>0.00</c:formatCode>
                <c:ptCount val="4"/>
                <c:pt idx="0">
                  <c:v>0.5</c:v>
                </c:pt>
                <c:pt idx="1">
                  <c:v>2</c:v>
                </c:pt>
                <c:pt idx="2">
                  <c:v>0.76666666666666661</c:v>
                </c:pt>
                <c:pt idx="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49-4397-B883-34894E2DFAE9}"/>
            </c:ext>
          </c:extLst>
        </c:ser>
        <c:ser>
          <c:idx val="5"/>
          <c:order val="5"/>
          <c:tx>
            <c:strRef>
              <c:f>Elastizität!$H$10</c:f>
              <c:strCache>
                <c:ptCount val="1"/>
                <c:pt idx="0">
                  <c:v>unverpackt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Elastizität!$I$4:$L$4</c:f>
              <c:strCache>
                <c:ptCount val="4"/>
                <c:pt idx="0">
                  <c:v>21.11.2022</c:v>
                </c:pt>
                <c:pt idx="1">
                  <c:v>25.11.2022</c:v>
                </c:pt>
                <c:pt idx="2">
                  <c:v>28.11.2022</c:v>
                </c:pt>
                <c:pt idx="3">
                  <c:v>30.11.2022</c:v>
                </c:pt>
              </c:strCache>
            </c:strRef>
          </c:cat>
          <c:val>
            <c:numRef>
              <c:f>Elastizität!$I$10:$L$10</c:f>
              <c:numCache>
                <c:formatCode>0.00</c:formatCode>
                <c:ptCount val="4"/>
                <c:pt idx="0">
                  <c:v>0.5</c:v>
                </c:pt>
                <c:pt idx="1">
                  <c:v>4.333333333333333</c:v>
                </c:pt>
                <c:pt idx="2">
                  <c:v>9.3333333333333339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49-4397-B883-34894E2D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306975"/>
        <c:axId val="2061308639"/>
      </c:lineChart>
      <c:catAx>
        <c:axId val="206130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1308639"/>
        <c:crosses val="autoZero"/>
        <c:auto val="1"/>
        <c:lblAlgn val="ctr"/>
        <c:lblOffset val="100"/>
        <c:noMultiLvlLbl val="0"/>
      </c:catAx>
      <c:valAx>
        <c:axId val="20613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Biegsamkeit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130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171449</xdr:colOff>
      <xdr:row>10</xdr:row>
      <xdr:rowOff>95249</xdr:rowOff>
    </xdr:from>
    <xdr:to>
      <xdr:col>31</xdr:col>
      <xdr:colOff>504824</xdr:colOff>
      <xdr:row>32</xdr:row>
      <xdr:rowOff>66675</xdr:rowOff>
    </xdr:to>
    <xdr:graphicFrame macro="">
      <xdr:nvGraphicFramePr>
        <xdr:cNvPr id="4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752475</xdr:colOff>
      <xdr:row>2</xdr:row>
      <xdr:rowOff>9525</xdr:rowOff>
    </xdr:from>
    <xdr:to>
      <xdr:col>28</xdr:col>
      <xdr:colOff>114300</xdr:colOff>
      <xdr:row>20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21943</xdr:colOff>
      <xdr:row>17</xdr:row>
      <xdr:rowOff>145154</xdr:rowOff>
    </xdr:from>
    <xdr:to>
      <xdr:col>25</xdr:col>
      <xdr:colOff>21943</xdr:colOff>
      <xdr:row>31</xdr:row>
      <xdr:rowOff>118337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AC2B310-660F-E077-738D-AFD71F148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422671</xdr:colOff>
      <xdr:row>17</xdr:row>
      <xdr:rowOff>143470</xdr:rowOff>
    </xdr:from>
    <xdr:to>
      <xdr:col>31</xdr:col>
      <xdr:colOff>17858</xdr:colOff>
      <xdr:row>32</xdr:row>
      <xdr:rowOff>124420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62AAA6-6D7A-ABBC-0CF7-F2D0CD40C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176212</xdr:rowOff>
    </xdr:from>
    <xdr:to>
      <xdr:col>13</xdr:col>
      <xdr:colOff>561975</xdr:colOff>
      <xdr:row>25</xdr:row>
      <xdr:rowOff>166687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0CB1C79-A461-85D1-DC91-77689FA53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626554</xdr:colOff>
      <xdr:row>16</xdr:row>
      <xdr:rowOff>43506</xdr:rowOff>
    </xdr:from>
    <xdr:to>
      <xdr:col>20</xdr:col>
      <xdr:colOff>626554</xdr:colOff>
      <xdr:row>30</xdr:row>
      <xdr:rowOff>27136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1B1BC38-C329-B53C-B802-72EA4B65F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613230</xdr:colOff>
      <xdr:row>1</xdr:row>
      <xdr:rowOff>173935</xdr:rowOff>
    </xdr:from>
    <xdr:to>
      <xdr:col>20</xdr:col>
      <xdr:colOff>613230</xdr:colOff>
      <xdr:row>15</xdr:row>
      <xdr:rowOff>153929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211972F-8317-35FA-DB9C-570256D66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B30" sqref="B30:B31"/>
    </sheetView>
  </sheetViews>
  <sheetFormatPr baseColWidth="10" defaultColWidth="11.42578125" defaultRowHeight="15" x14ac:dyDescent="0.25"/>
  <cols>
    <col min="1" max="1" width="15.85546875" customWidth="1"/>
    <col min="2" max="2" width="17.5703125" customWidth="1"/>
    <col min="3" max="3" width="18" customWidth="1"/>
    <col min="4" max="4" width="19.28515625" customWidth="1"/>
  </cols>
  <sheetData>
    <row r="1" spans="1:4" x14ac:dyDescent="0.25">
      <c r="A1" s="250" t="s">
        <v>110</v>
      </c>
      <c r="B1" s="246" t="s">
        <v>164</v>
      </c>
      <c r="C1" s="248" t="s">
        <v>126</v>
      </c>
      <c r="D1" s="249" t="s">
        <v>136</v>
      </c>
    </row>
    <row r="2" spans="1:4" x14ac:dyDescent="0.25">
      <c r="A2" s="248" t="s">
        <v>120</v>
      </c>
      <c r="B2" s="250" t="s">
        <v>113</v>
      </c>
      <c r="C2" s="246" t="s">
        <v>167</v>
      </c>
      <c r="D2" s="249" t="s">
        <v>137</v>
      </c>
    </row>
    <row r="3" spans="1:4" x14ac:dyDescent="0.25">
      <c r="A3" s="246" t="s">
        <v>140</v>
      </c>
      <c r="B3" s="250" t="s">
        <v>114</v>
      </c>
      <c r="C3" s="250" t="s">
        <v>117</v>
      </c>
      <c r="D3" s="247" t="s">
        <v>147</v>
      </c>
    </row>
    <row r="4" spans="1:4" x14ac:dyDescent="0.25">
      <c r="A4" s="248" t="s">
        <v>121</v>
      </c>
      <c r="B4" s="247" t="s">
        <v>142</v>
      </c>
      <c r="C4" s="250" t="s">
        <v>118</v>
      </c>
      <c r="D4" s="247" t="s">
        <v>148</v>
      </c>
    </row>
    <row r="5" spans="1:4" x14ac:dyDescent="0.25">
      <c r="A5" s="251" t="s">
        <v>151</v>
      </c>
      <c r="B5" s="251" t="s">
        <v>154</v>
      </c>
      <c r="C5" s="248" t="s">
        <v>125</v>
      </c>
      <c r="D5" s="248" t="s">
        <v>127</v>
      </c>
    </row>
    <row r="6" spans="1:4" x14ac:dyDescent="0.25">
      <c r="A6" s="249" t="s">
        <v>130</v>
      </c>
      <c r="B6" s="251" t="s">
        <v>155</v>
      </c>
      <c r="C6" s="247" t="s">
        <v>143</v>
      </c>
      <c r="D6" s="251" t="s">
        <v>160</v>
      </c>
    </row>
    <row r="7" spans="1:4" x14ac:dyDescent="0.25">
      <c r="A7" s="250" t="s">
        <v>111</v>
      </c>
      <c r="B7" s="250" t="s">
        <v>115</v>
      </c>
      <c r="C7" s="247" t="s">
        <v>144</v>
      </c>
      <c r="D7" s="247" t="s">
        <v>149</v>
      </c>
    </row>
    <row r="8" spans="1:4" x14ac:dyDescent="0.25">
      <c r="A8" s="247" t="s">
        <v>141</v>
      </c>
      <c r="B8" s="250" t="s">
        <v>116</v>
      </c>
      <c r="C8" s="251" t="s">
        <v>158</v>
      </c>
      <c r="D8" s="250" t="s">
        <v>119</v>
      </c>
    </row>
    <row r="9" spans="1:4" x14ac:dyDescent="0.25">
      <c r="A9" s="249" t="s">
        <v>131</v>
      </c>
      <c r="B9" s="246" t="s">
        <v>165</v>
      </c>
      <c r="C9" s="251" t="s">
        <v>159</v>
      </c>
      <c r="D9" s="248" t="s">
        <v>128</v>
      </c>
    </row>
    <row r="10" spans="1:4" x14ac:dyDescent="0.25">
      <c r="A10" s="246" t="s">
        <v>161</v>
      </c>
      <c r="B10" s="248" t="s">
        <v>124</v>
      </c>
      <c r="C10" s="249" t="s">
        <v>133</v>
      </c>
      <c r="D10" s="249" t="s">
        <v>138</v>
      </c>
    </row>
    <row r="11" spans="1:4" x14ac:dyDescent="0.25">
      <c r="A11" s="248" t="s">
        <v>122</v>
      </c>
      <c r="B11" s="246" t="s">
        <v>166</v>
      </c>
      <c r="C11" s="247" t="s">
        <v>145</v>
      </c>
      <c r="D11" s="248" t="s">
        <v>129</v>
      </c>
    </row>
    <row r="12" spans="1:4" x14ac:dyDescent="0.25">
      <c r="A12" s="251" t="s">
        <v>152</v>
      </c>
      <c r="B12" s="248" t="s">
        <v>123</v>
      </c>
      <c r="C12" s="249" t="s">
        <v>134</v>
      </c>
      <c r="D12" s="247" t="s">
        <v>150</v>
      </c>
    </row>
    <row r="13" spans="1:4" x14ac:dyDescent="0.25">
      <c r="A13" s="249" t="s">
        <v>132</v>
      </c>
      <c r="B13" s="251" t="s">
        <v>156</v>
      </c>
      <c r="C13" s="249" t="s">
        <v>135</v>
      </c>
      <c r="D13" s="246" t="s">
        <v>168</v>
      </c>
    </row>
    <row r="14" spans="1:4" x14ac:dyDescent="0.25">
      <c r="A14" s="246" t="s">
        <v>162</v>
      </c>
      <c r="B14" s="251" t="s">
        <v>157</v>
      </c>
      <c r="C14" s="251" t="s">
        <v>153</v>
      </c>
      <c r="D14" s="246" t="s">
        <v>169</v>
      </c>
    </row>
    <row r="15" spans="1:4" x14ac:dyDescent="0.25">
      <c r="A15" s="250" t="s">
        <v>112</v>
      </c>
      <c r="B15" s="246" t="s">
        <v>163</v>
      </c>
      <c r="C15" s="247" t="s">
        <v>146</v>
      </c>
      <c r="D15" s="249" t="s">
        <v>139</v>
      </c>
    </row>
    <row r="18" spans="1:7" x14ac:dyDescent="0.25">
      <c r="A18" s="7" t="s">
        <v>60</v>
      </c>
      <c r="B18" s="250" t="s">
        <v>81</v>
      </c>
      <c r="C18" s="7"/>
      <c r="D18" s="7"/>
      <c r="E18" s="7"/>
      <c r="F18" s="7"/>
      <c r="G18" s="7"/>
    </row>
    <row r="19" spans="1:7" x14ac:dyDescent="0.25">
      <c r="A19" s="7" t="s">
        <v>61</v>
      </c>
      <c r="B19" s="248" t="s">
        <v>109</v>
      </c>
      <c r="C19" s="7"/>
      <c r="D19" s="7"/>
      <c r="E19" s="7"/>
      <c r="F19" s="7"/>
      <c r="G19" s="7"/>
    </row>
    <row r="20" spans="1:7" x14ac:dyDescent="0.25">
      <c r="A20" s="7" t="s">
        <v>62</v>
      </c>
      <c r="B20" s="249" t="s">
        <v>85</v>
      </c>
      <c r="C20" s="7"/>
      <c r="D20" s="7"/>
      <c r="E20" s="7"/>
      <c r="F20" s="7"/>
      <c r="G20" s="7"/>
    </row>
    <row r="21" spans="1:7" x14ac:dyDescent="0.25">
      <c r="A21" s="7" t="s">
        <v>63</v>
      </c>
      <c r="B21" s="246" t="s">
        <v>102</v>
      </c>
      <c r="C21" s="7"/>
      <c r="D21" s="7"/>
      <c r="E21" s="7"/>
      <c r="F21" s="7"/>
      <c r="G21" s="7"/>
    </row>
    <row r="22" spans="1:7" x14ac:dyDescent="0.25">
      <c r="A22" s="7" t="s">
        <v>64</v>
      </c>
      <c r="B22" s="247" t="s">
        <v>108</v>
      </c>
      <c r="C22" s="7"/>
      <c r="D22" s="7"/>
      <c r="E22" s="7"/>
      <c r="F22" s="7"/>
      <c r="G22" s="7"/>
    </row>
    <row r="23" spans="1:7" x14ac:dyDescent="0.25">
      <c r="A23" s="7" t="s">
        <v>65</v>
      </c>
      <c r="B23" s="251" t="s">
        <v>103</v>
      </c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 t="s">
        <v>66</v>
      </c>
      <c r="B25" s="8" t="s">
        <v>67</v>
      </c>
      <c r="C25" s="7"/>
      <c r="D25" s="7"/>
      <c r="E25" s="7"/>
      <c r="F25" s="7"/>
      <c r="G25" s="7"/>
    </row>
    <row r="26" spans="1:7" x14ac:dyDescent="0.25">
      <c r="A26" s="7"/>
      <c r="B26" s="9" t="s">
        <v>68</v>
      </c>
      <c r="C26" s="7"/>
      <c r="D26" s="7"/>
      <c r="E26" s="7"/>
      <c r="F26" s="7"/>
      <c r="G26" s="7"/>
    </row>
    <row r="27" spans="1:7" x14ac:dyDescent="0.25">
      <c r="A27" s="7"/>
      <c r="B27" s="9" t="s">
        <v>69</v>
      </c>
      <c r="C27" s="7"/>
      <c r="D27" s="7"/>
      <c r="E27" s="7"/>
      <c r="F27" s="7"/>
      <c r="G27" s="7"/>
    </row>
    <row r="28" spans="1:7" x14ac:dyDescent="0.25">
      <c r="A28" s="7"/>
      <c r="B28" s="9" t="s">
        <v>70</v>
      </c>
      <c r="C28" s="7"/>
      <c r="D28" s="7"/>
      <c r="E28" s="7"/>
      <c r="F28" s="7"/>
      <c r="G28" s="7"/>
    </row>
    <row r="29" spans="1:7" x14ac:dyDescent="0.25">
      <c r="A29" s="7"/>
      <c r="B29" s="9" t="s">
        <v>71</v>
      </c>
      <c r="C29" s="7"/>
      <c r="D29" s="7"/>
      <c r="E29" s="7"/>
      <c r="F29" s="7"/>
      <c r="G29" s="7"/>
    </row>
    <row r="30" spans="1:7" x14ac:dyDescent="0.25">
      <c r="A30" s="7"/>
      <c r="B30" s="9"/>
      <c r="C30" s="7"/>
      <c r="D30" s="7"/>
      <c r="E30" s="7"/>
      <c r="F30" s="7"/>
      <c r="G30" s="7"/>
    </row>
    <row r="31" spans="1:7" x14ac:dyDescent="0.25">
      <c r="A31" s="7"/>
      <c r="B31" s="10"/>
      <c r="C31" s="7"/>
      <c r="D31" s="7"/>
      <c r="E31" s="7"/>
      <c r="F31" s="7"/>
      <c r="G31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5"/>
  <sheetViews>
    <sheetView topLeftCell="A5" zoomScale="91" zoomScaleNormal="55" workbookViewId="0">
      <pane xSplit="49500"/>
      <selection activeCell="P39" sqref="P39"/>
      <selection pane="topRight"/>
    </sheetView>
  </sheetViews>
  <sheetFormatPr baseColWidth="10" defaultColWidth="11.42578125" defaultRowHeight="15" x14ac:dyDescent="0.25"/>
  <cols>
    <col min="1" max="1" width="13.42578125" customWidth="1"/>
    <col min="14" max="14" width="4.5703125" customWidth="1"/>
    <col min="15" max="15" width="21.7109375" customWidth="1"/>
    <col min="16" max="16" width="20.140625" bestFit="1" customWidth="1"/>
    <col min="17" max="17" width="14.7109375" customWidth="1"/>
  </cols>
  <sheetData>
    <row r="1" spans="1:23" x14ac:dyDescent="0.25">
      <c r="A1" s="11"/>
      <c r="B1" s="252" t="s">
        <v>73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23" ht="15.75" thickBot="1" x14ac:dyDescent="0.3">
      <c r="A2" s="12"/>
      <c r="B2" s="13" t="s">
        <v>74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23" ht="15.75" thickBot="1" x14ac:dyDescent="0.3">
      <c r="A3" s="15"/>
      <c r="B3" s="16" t="s">
        <v>75</v>
      </c>
      <c r="C3" s="16" t="s">
        <v>76</v>
      </c>
      <c r="D3" s="16" t="s">
        <v>77</v>
      </c>
      <c r="E3" s="16" t="s">
        <v>78</v>
      </c>
      <c r="F3" s="16" t="s">
        <v>79</v>
      </c>
      <c r="G3" s="16" t="s">
        <v>80</v>
      </c>
      <c r="H3" s="92">
        <v>44886</v>
      </c>
      <c r="I3" s="92">
        <v>44888</v>
      </c>
      <c r="J3" s="92">
        <v>44890</v>
      </c>
      <c r="K3" s="92">
        <v>44893</v>
      </c>
      <c r="L3" s="93">
        <v>44895</v>
      </c>
      <c r="P3" s="95"/>
      <c r="Q3" s="105">
        <v>44886</v>
      </c>
      <c r="R3" s="105">
        <v>44888</v>
      </c>
      <c r="S3" s="105">
        <v>44890</v>
      </c>
      <c r="T3" s="105">
        <v>44893</v>
      </c>
      <c r="U3" s="105">
        <v>44895</v>
      </c>
    </row>
    <row r="4" spans="1:23" x14ac:dyDescent="0.25">
      <c r="A4" s="1" t="s">
        <v>0</v>
      </c>
      <c r="B4" s="19">
        <v>24.69</v>
      </c>
      <c r="C4" s="19">
        <v>542</v>
      </c>
      <c r="D4" s="19">
        <v>576</v>
      </c>
      <c r="E4" s="19">
        <v>559.79999999999995</v>
      </c>
      <c r="F4" s="19">
        <v>556.79999999999995</v>
      </c>
      <c r="G4" s="19"/>
      <c r="H4" s="19">
        <f>B4+C4</f>
        <v>566.69000000000005</v>
      </c>
      <c r="I4" s="19"/>
      <c r="J4" s="19"/>
      <c r="K4" s="19"/>
      <c r="L4" s="20"/>
      <c r="P4" s="101" t="s">
        <v>0</v>
      </c>
      <c r="Q4" s="106">
        <v>566.69000000000005</v>
      </c>
      <c r="R4" s="107">
        <v>571.29999999999995</v>
      </c>
      <c r="S4" s="108">
        <v>576</v>
      </c>
      <c r="T4" s="108">
        <v>559.79999999999995</v>
      </c>
      <c r="U4" s="109">
        <v>556.79999999999995</v>
      </c>
      <c r="W4" t="s">
        <v>171</v>
      </c>
    </row>
    <row r="5" spans="1:23" x14ac:dyDescent="0.25">
      <c r="A5" s="2" t="s">
        <v>10</v>
      </c>
      <c r="B5" s="21">
        <v>24.59</v>
      </c>
      <c r="C5" s="21">
        <v>505</v>
      </c>
      <c r="D5" s="21">
        <v>531</v>
      </c>
      <c r="E5" s="21">
        <v>509.9</v>
      </c>
      <c r="F5" s="21">
        <v>496.9</v>
      </c>
      <c r="G5" s="21"/>
      <c r="H5" s="21">
        <f>B5+C5</f>
        <v>529.59</v>
      </c>
      <c r="I5" s="21"/>
      <c r="J5" s="21"/>
      <c r="K5" s="21"/>
      <c r="L5" s="22"/>
      <c r="O5" t="s">
        <v>81</v>
      </c>
      <c r="P5" s="102" t="s">
        <v>10</v>
      </c>
      <c r="Q5" s="110">
        <v>529.59</v>
      </c>
      <c r="R5" s="111">
        <v>530</v>
      </c>
      <c r="S5" s="112">
        <v>531</v>
      </c>
      <c r="T5" s="112">
        <v>509.9</v>
      </c>
      <c r="U5" s="113">
        <v>496.9</v>
      </c>
      <c r="W5" t="s">
        <v>172</v>
      </c>
    </row>
    <row r="6" spans="1:23" ht="15.75" thickBot="1" x14ac:dyDescent="0.3">
      <c r="A6" s="5" t="s">
        <v>5</v>
      </c>
      <c r="B6" s="21">
        <v>24.45</v>
      </c>
      <c r="C6" s="21">
        <v>516</v>
      </c>
      <c r="D6" s="21">
        <v>540</v>
      </c>
      <c r="E6" s="21">
        <v>512.9</v>
      </c>
      <c r="F6" s="21">
        <v>503.9</v>
      </c>
      <c r="G6" s="21"/>
      <c r="H6" s="21">
        <f>B6+C6</f>
        <v>540.45000000000005</v>
      </c>
      <c r="I6" s="21"/>
      <c r="J6" s="21"/>
      <c r="K6" s="21"/>
      <c r="L6" s="22"/>
      <c r="P6" s="103" t="s">
        <v>5</v>
      </c>
      <c r="Q6" s="110">
        <v>540.45000000000005</v>
      </c>
      <c r="R6" s="111">
        <v>540.29999999999995</v>
      </c>
      <c r="S6" s="112">
        <v>540</v>
      </c>
      <c r="T6" s="112">
        <v>512.9</v>
      </c>
      <c r="U6" s="113">
        <v>503.9</v>
      </c>
    </row>
    <row r="7" spans="1:23" ht="15.75" thickBot="1" x14ac:dyDescent="0.3">
      <c r="A7" s="5" t="s">
        <v>56</v>
      </c>
      <c r="B7" s="19">
        <v>24.59</v>
      </c>
      <c r="C7" s="19">
        <v>518</v>
      </c>
      <c r="D7" s="19">
        <v>549</v>
      </c>
      <c r="E7" s="19">
        <v>531.4</v>
      </c>
      <c r="F7" s="19">
        <v>527.29999999999995</v>
      </c>
      <c r="G7" s="19"/>
      <c r="H7" s="21">
        <f>B7+C7</f>
        <v>542.59</v>
      </c>
      <c r="I7" s="19"/>
      <c r="J7" s="19"/>
      <c r="K7" s="19"/>
      <c r="L7" s="20"/>
      <c r="P7" s="104" t="s">
        <v>56</v>
      </c>
      <c r="Q7" s="114">
        <v>542.59</v>
      </c>
      <c r="R7" s="115">
        <v>544.4</v>
      </c>
      <c r="S7" s="116">
        <v>549</v>
      </c>
      <c r="T7" s="116">
        <v>531.4</v>
      </c>
      <c r="U7" s="117">
        <v>527.29999999999995</v>
      </c>
    </row>
    <row r="8" spans="1:23" ht="15.75" thickBot="1" x14ac:dyDescent="0.3">
      <c r="A8" s="5" t="s">
        <v>29</v>
      </c>
      <c r="B8" s="21">
        <v>24.63</v>
      </c>
      <c r="C8" s="21">
        <v>519</v>
      </c>
      <c r="D8" s="21">
        <v>546</v>
      </c>
      <c r="E8" s="21">
        <v>524</v>
      </c>
      <c r="F8" s="21"/>
      <c r="G8" s="21"/>
      <c r="H8" s="21"/>
      <c r="I8" s="21"/>
      <c r="J8" s="21"/>
      <c r="K8" s="21"/>
      <c r="L8" s="22"/>
      <c r="P8" s="100" t="s">
        <v>82</v>
      </c>
      <c r="Q8" s="118">
        <f>(Q4+Q5+Q6+Q7)/4</f>
        <v>544.83000000000004</v>
      </c>
      <c r="R8" s="118">
        <f t="shared" ref="R8:U8" si="0">(R4+R5+R6+R7)/4</f>
        <v>546.5</v>
      </c>
      <c r="S8" s="118">
        <f t="shared" si="0"/>
        <v>549</v>
      </c>
      <c r="T8" s="118">
        <f t="shared" si="0"/>
        <v>528.5</v>
      </c>
      <c r="U8" s="118">
        <f t="shared" si="0"/>
        <v>521.22499999999991</v>
      </c>
    </row>
    <row r="9" spans="1:23" ht="15.75" thickBot="1" x14ac:dyDescent="0.3">
      <c r="A9" s="5" t="s">
        <v>24</v>
      </c>
      <c r="B9" s="21">
        <v>24.97</v>
      </c>
      <c r="C9" s="21">
        <v>513</v>
      </c>
      <c r="D9" s="21">
        <v>547</v>
      </c>
      <c r="E9" s="21">
        <v>530.20000000000005</v>
      </c>
      <c r="F9" s="21"/>
      <c r="G9" s="21"/>
      <c r="H9" s="21"/>
      <c r="I9" s="21"/>
      <c r="J9" s="21"/>
      <c r="K9" s="21"/>
      <c r="L9" s="22"/>
      <c r="P9" s="119" t="s">
        <v>83</v>
      </c>
      <c r="Q9" s="120">
        <f>_xlfn.STDEV.P(Q4:Q7)</f>
        <v>13.549162335731321</v>
      </c>
      <c r="R9" s="120">
        <f t="shared" ref="R9:U9" si="1">_xlfn.STDEV.P(R4:R7)</f>
        <v>15.249098333999934</v>
      </c>
      <c r="S9" s="120">
        <f t="shared" si="1"/>
        <v>16.837458240482736</v>
      </c>
      <c r="T9" s="120">
        <f t="shared" si="1"/>
        <v>19.858373548707345</v>
      </c>
      <c r="U9" s="120">
        <f t="shared" si="1"/>
        <v>23.421931495929183</v>
      </c>
    </row>
    <row r="10" spans="1:23" ht="15.75" thickBot="1" x14ac:dyDescent="0.3">
      <c r="A10" s="5" t="s">
        <v>9</v>
      </c>
      <c r="B10" s="19">
        <v>24.6</v>
      </c>
      <c r="C10" s="19">
        <v>545</v>
      </c>
      <c r="D10" s="19">
        <v>578</v>
      </c>
      <c r="E10" s="19">
        <v>553.29999999999995</v>
      </c>
      <c r="F10" s="19"/>
      <c r="G10" s="19"/>
      <c r="H10" s="19"/>
      <c r="I10" s="19"/>
      <c r="J10" s="19"/>
      <c r="K10" s="19"/>
      <c r="L10" s="20"/>
      <c r="P10" s="130" t="s">
        <v>45</v>
      </c>
      <c r="Q10" s="125">
        <v>537.37</v>
      </c>
      <c r="R10" s="125">
        <v>542.29999999999995</v>
      </c>
      <c r="S10" s="122">
        <v>544</v>
      </c>
      <c r="T10" s="122">
        <v>527.5</v>
      </c>
      <c r="U10" s="123">
        <v>523.5</v>
      </c>
    </row>
    <row r="11" spans="1:23" ht="15.75" thickBot="1" x14ac:dyDescent="0.3">
      <c r="A11" s="5" t="s">
        <v>14</v>
      </c>
      <c r="B11" s="21">
        <v>24.62</v>
      </c>
      <c r="C11" s="21">
        <v>532</v>
      </c>
      <c r="D11" s="21">
        <v>559</v>
      </c>
      <c r="E11" s="21"/>
      <c r="F11" s="21"/>
      <c r="G11" s="21"/>
      <c r="H11" s="21"/>
      <c r="I11" s="21"/>
      <c r="J11" s="21"/>
      <c r="K11" s="21"/>
      <c r="L11" s="22"/>
      <c r="O11" t="s">
        <v>84</v>
      </c>
      <c r="P11" s="131" t="s">
        <v>40</v>
      </c>
      <c r="Q11" s="126">
        <v>531.36</v>
      </c>
      <c r="R11" s="126">
        <v>533.6</v>
      </c>
      <c r="S11" s="121">
        <v>538</v>
      </c>
      <c r="T11" s="121">
        <v>523</v>
      </c>
      <c r="U11" s="124">
        <v>519.70000000000005</v>
      </c>
    </row>
    <row r="12" spans="1:23" ht="15.75" thickBot="1" x14ac:dyDescent="0.3">
      <c r="A12" s="5" t="s">
        <v>31</v>
      </c>
      <c r="B12" s="21">
        <v>24.68</v>
      </c>
      <c r="C12" s="21">
        <v>502</v>
      </c>
      <c r="D12" s="21">
        <v>541</v>
      </c>
      <c r="E12" s="21"/>
      <c r="F12" s="21"/>
      <c r="G12" s="21"/>
      <c r="H12" s="21"/>
      <c r="I12" s="21"/>
      <c r="J12" s="21"/>
      <c r="K12" s="21"/>
      <c r="L12" s="22"/>
      <c r="P12" s="131" t="s">
        <v>35</v>
      </c>
      <c r="Q12" s="126">
        <v>538.99</v>
      </c>
      <c r="R12" s="126">
        <v>542.1</v>
      </c>
      <c r="S12" s="121">
        <v>546</v>
      </c>
      <c r="T12" s="121">
        <v>530.4</v>
      </c>
      <c r="U12" s="124">
        <v>525.9</v>
      </c>
    </row>
    <row r="13" spans="1:23" ht="15.75" thickBot="1" x14ac:dyDescent="0.3">
      <c r="A13" s="5" t="s">
        <v>25</v>
      </c>
      <c r="B13" s="21">
        <v>24.78</v>
      </c>
      <c r="C13" s="21">
        <v>547</v>
      </c>
      <c r="D13" s="21">
        <v>572</v>
      </c>
      <c r="E13" s="21"/>
      <c r="F13" s="21"/>
      <c r="G13" s="21"/>
      <c r="H13" s="21"/>
      <c r="I13" s="21"/>
      <c r="J13" s="21"/>
      <c r="K13" s="21"/>
      <c r="L13" s="22"/>
      <c r="P13" s="132" t="s">
        <v>12</v>
      </c>
      <c r="Q13" s="127">
        <v>558</v>
      </c>
      <c r="R13" s="127">
        <v>557</v>
      </c>
      <c r="S13" s="128">
        <v>557</v>
      </c>
      <c r="T13" s="128">
        <v>541.4</v>
      </c>
      <c r="U13" s="129">
        <v>537.29999999999995</v>
      </c>
    </row>
    <row r="14" spans="1:23" x14ac:dyDescent="0.25">
      <c r="A14" s="23" t="s">
        <v>45</v>
      </c>
      <c r="B14" s="24">
        <v>29.37</v>
      </c>
      <c r="C14" s="24">
        <v>508</v>
      </c>
      <c r="D14" s="24">
        <v>544</v>
      </c>
      <c r="E14" s="24">
        <v>527.5</v>
      </c>
      <c r="F14" s="24">
        <v>523.5</v>
      </c>
      <c r="G14" s="24"/>
      <c r="H14" s="24">
        <f>B14+C14</f>
        <v>537.37</v>
      </c>
      <c r="I14" s="24"/>
      <c r="J14" s="24"/>
      <c r="K14" s="24"/>
      <c r="L14" s="25"/>
      <c r="P14" s="23" t="s">
        <v>82</v>
      </c>
      <c r="Q14" s="125">
        <f>(Q10+Q11+Q12+Q13)/4</f>
        <v>541.43000000000006</v>
      </c>
      <c r="R14" s="125">
        <f t="shared" ref="R14:U14" si="2">(R10+R11+R12+R13)/4</f>
        <v>543.75</v>
      </c>
      <c r="S14" s="125">
        <f t="shared" si="2"/>
        <v>546.25</v>
      </c>
      <c r="T14" s="125">
        <f t="shared" si="2"/>
        <v>530.57500000000005</v>
      </c>
      <c r="U14" s="125">
        <f t="shared" si="2"/>
        <v>526.59999999999991</v>
      </c>
    </row>
    <row r="15" spans="1:23" ht="15.75" thickBot="1" x14ac:dyDescent="0.3">
      <c r="A15" s="26" t="s">
        <v>40</v>
      </c>
      <c r="B15" s="27">
        <v>30.36</v>
      </c>
      <c r="C15" s="27">
        <v>501</v>
      </c>
      <c r="D15" s="27">
        <v>538</v>
      </c>
      <c r="E15" s="27">
        <v>523</v>
      </c>
      <c r="F15" s="27">
        <v>519.70000000000005</v>
      </c>
      <c r="G15" s="27"/>
      <c r="H15" s="24">
        <f t="shared" ref="H15:H17" si="3">B15+C15</f>
        <v>531.36</v>
      </c>
      <c r="I15" s="27"/>
      <c r="J15" s="27"/>
      <c r="K15" s="27"/>
      <c r="L15" s="28"/>
      <c r="P15" s="133" t="s">
        <v>173</v>
      </c>
      <c r="Q15" s="134">
        <f>_xlfn.STDEV.P(Q10:Q13)</f>
        <v>9.9800676350413529</v>
      </c>
      <c r="R15" s="134">
        <f t="shared" ref="R15:U15" si="4">_xlfn.STDEV.P(R10:R13)</f>
        <v>8.4173927079589141</v>
      </c>
      <c r="S15" s="134">
        <f t="shared" si="4"/>
        <v>6.8693158320170431</v>
      </c>
      <c r="T15" s="134">
        <f t="shared" si="4"/>
        <v>6.7832053632482543</v>
      </c>
      <c r="U15" s="134">
        <f t="shared" si="4"/>
        <v>6.5612498809296698</v>
      </c>
    </row>
    <row r="16" spans="1:23" ht="15.75" thickBot="1" x14ac:dyDescent="0.3">
      <c r="A16" s="29" t="s">
        <v>35</v>
      </c>
      <c r="B16" s="30">
        <v>30.39</v>
      </c>
      <c r="C16" s="30">
        <v>508.6</v>
      </c>
      <c r="D16" s="30">
        <v>546</v>
      </c>
      <c r="E16" s="30">
        <v>530.4</v>
      </c>
      <c r="F16" s="30">
        <v>525.9</v>
      </c>
      <c r="G16" s="30"/>
      <c r="H16" s="24">
        <f t="shared" si="3"/>
        <v>538.99</v>
      </c>
      <c r="I16" s="30"/>
      <c r="J16" s="30"/>
      <c r="K16" s="30"/>
      <c r="L16" s="31"/>
      <c r="P16" s="32" t="s">
        <v>38</v>
      </c>
      <c r="Q16" s="136">
        <v>541</v>
      </c>
      <c r="R16" s="136">
        <v>520.29999999999995</v>
      </c>
      <c r="S16" s="139">
        <v>496</v>
      </c>
      <c r="T16" s="139">
        <v>422.8</v>
      </c>
      <c r="U16" s="140">
        <v>377.5</v>
      </c>
    </row>
    <row r="17" spans="1:21" x14ac:dyDescent="0.25">
      <c r="A17" s="23" t="s">
        <v>12</v>
      </c>
      <c r="B17" s="24">
        <v>30</v>
      </c>
      <c r="C17" s="24">
        <v>528</v>
      </c>
      <c r="D17" s="24">
        <v>557</v>
      </c>
      <c r="E17" s="24">
        <v>541.4</v>
      </c>
      <c r="F17" s="24">
        <v>537.29999999999995</v>
      </c>
      <c r="G17" s="24"/>
      <c r="H17" s="24">
        <f t="shared" si="3"/>
        <v>558</v>
      </c>
      <c r="I17" s="24"/>
      <c r="J17" s="24"/>
      <c r="K17" s="24"/>
      <c r="L17" s="25"/>
      <c r="O17" t="s">
        <v>85</v>
      </c>
      <c r="P17" s="35" t="s">
        <v>48</v>
      </c>
      <c r="Q17" s="135">
        <v>525.83000000000004</v>
      </c>
      <c r="R17" s="135">
        <v>503.7</v>
      </c>
      <c r="S17" s="141">
        <v>484</v>
      </c>
      <c r="T17" s="141">
        <v>416.5</v>
      </c>
      <c r="U17" s="142">
        <v>372.2</v>
      </c>
    </row>
    <row r="18" spans="1:21" ht="15.75" thickBot="1" x14ac:dyDescent="0.3">
      <c r="A18" s="26" t="s">
        <v>19</v>
      </c>
      <c r="B18" s="24">
        <v>30.14</v>
      </c>
      <c r="C18" s="24">
        <v>510</v>
      </c>
      <c r="D18" s="24">
        <v>540</v>
      </c>
      <c r="E18" s="24">
        <v>523.4</v>
      </c>
      <c r="F18" s="24"/>
      <c r="G18" s="24"/>
      <c r="H18" s="24"/>
      <c r="I18" s="24"/>
      <c r="J18" s="24"/>
      <c r="K18" s="24"/>
      <c r="L18" s="25"/>
      <c r="P18" s="35" t="s">
        <v>20</v>
      </c>
      <c r="Q18" s="135">
        <v>547.08000000000004</v>
      </c>
      <c r="R18" s="135">
        <v>527.4</v>
      </c>
      <c r="S18" s="141">
        <v>501</v>
      </c>
      <c r="T18" s="141">
        <v>429.2</v>
      </c>
      <c r="U18" s="142">
        <v>383.4</v>
      </c>
    </row>
    <row r="19" spans="1:21" ht="15.75" thickBot="1" x14ac:dyDescent="0.3">
      <c r="A19" s="23" t="s">
        <v>43</v>
      </c>
      <c r="B19" s="27">
        <v>30.84</v>
      </c>
      <c r="C19" s="27">
        <v>541</v>
      </c>
      <c r="D19" s="27">
        <v>581</v>
      </c>
      <c r="E19" s="27">
        <v>563</v>
      </c>
      <c r="F19" s="27"/>
      <c r="G19" s="27"/>
      <c r="H19" s="27"/>
      <c r="I19" s="27"/>
      <c r="J19" s="27"/>
      <c r="K19" s="27"/>
      <c r="L19" s="28"/>
      <c r="P19" s="137" t="s">
        <v>46</v>
      </c>
      <c r="Q19" s="138">
        <v>551.08000000000004</v>
      </c>
      <c r="R19" s="138">
        <v>530.1</v>
      </c>
      <c r="S19" s="143">
        <v>498</v>
      </c>
      <c r="T19" s="143">
        <v>423.8</v>
      </c>
      <c r="U19" s="144">
        <v>382.5</v>
      </c>
    </row>
    <row r="20" spans="1:21" x14ac:dyDescent="0.25">
      <c r="A20" s="26" t="s">
        <v>18</v>
      </c>
      <c r="B20" s="30">
        <v>30.49</v>
      </c>
      <c r="C20" s="30">
        <v>510</v>
      </c>
      <c r="D20" s="30">
        <v>546</v>
      </c>
      <c r="E20" s="30">
        <v>531.29999999999995</v>
      </c>
      <c r="F20" s="30"/>
      <c r="G20" s="30"/>
      <c r="H20" s="30"/>
      <c r="I20" s="30"/>
      <c r="J20" s="30"/>
      <c r="K20" s="30"/>
      <c r="L20" s="31"/>
      <c r="P20" s="32" t="s">
        <v>82</v>
      </c>
      <c r="Q20" s="136">
        <f>(Q16+Q17+Q18+Q19)/4</f>
        <v>541.24749999999995</v>
      </c>
      <c r="R20" s="136">
        <f t="shared" ref="R20:U20" si="5">(R16+R17+R18+R19)/4</f>
        <v>520.375</v>
      </c>
      <c r="S20" s="136">
        <f t="shared" si="5"/>
        <v>494.75</v>
      </c>
      <c r="T20" s="136">
        <f t="shared" si="5"/>
        <v>423.07499999999999</v>
      </c>
      <c r="U20" s="136">
        <f t="shared" si="5"/>
        <v>378.9</v>
      </c>
    </row>
    <row r="21" spans="1:21" ht="15.75" thickBot="1" x14ac:dyDescent="0.3">
      <c r="A21" s="26" t="s">
        <v>4</v>
      </c>
      <c r="B21" s="24">
        <v>30.07</v>
      </c>
      <c r="C21" s="24">
        <v>541</v>
      </c>
      <c r="D21" s="24">
        <v>580</v>
      </c>
      <c r="E21" s="24"/>
      <c r="F21" s="24"/>
      <c r="G21" s="24"/>
      <c r="H21" s="24"/>
      <c r="I21" s="24"/>
      <c r="J21" s="24"/>
      <c r="K21" s="24"/>
      <c r="L21" s="25"/>
      <c r="P21" s="137" t="s">
        <v>173</v>
      </c>
      <c r="Q21" s="145">
        <f>_xlfn.STDEV.P(Q16:Q19)</f>
        <v>9.5976126588855415</v>
      </c>
      <c r="R21" s="145">
        <f t="shared" ref="R21:U21" si="6">_xlfn.STDEV.P(R16:R19)</f>
        <v>10.27116716834071</v>
      </c>
      <c r="S21" s="145">
        <f t="shared" si="6"/>
        <v>6.4565857850724786</v>
      </c>
      <c r="T21" s="145">
        <f t="shared" si="6"/>
        <v>4.5096424470239285</v>
      </c>
      <c r="U21" s="145">
        <f t="shared" si="6"/>
        <v>4.4738126916535057</v>
      </c>
    </row>
    <row r="22" spans="1:21" ht="15.75" thickBot="1" x14ac:dyDescent="0.3">
      <c r="A22" s="29" t="s">
        <v>2</v>
      </c>
      <c r="B22" s="24">
        <v>30.58</v>
      </c>
      <c r="C22" s="24">
        <v>517</v>
      </c>
      <c r="D22" s="24">
        <v>554</v>
      </c>
      <c r="E22" s="24"/>
      <c r="F22" s="24"/>
      <c r="G22" s="24"/>
      <c r="H22" s="24"/>
      <c r="I22" s="24"/>
      <c r="J22" s="24"/>
      <c r="K22" s="24"/>
      <c r="L22" s="25"/>
      <c r="P22" s="49" t="s">
        <v>1</v>
      </c>
      <c r="Q22" s="147">
        <v>563.16999999999996</v>
      </c>
      <c r="R22" s="147">
        <v>553.20000000000005</v>
      </c>
      <c r="S22" s="150">
        <v>545</v>
      </c>
      <c r="T22" s="150">
        <v>504.1</v>
      </c>
      <c r="U22" s="151">
        <v>486.1</v>
      </c>
    </row>
    <row r="23" spans="1:21" ht="15.75" thickBot="1" x14ac:dyDescent="0.3">
      <c r="A23" s="29" t="s">
        <v>37</v>
      </c>
      <c r="B23" s="24">
        <v>30.74</v>
      </c>
      <c r="C23" s="24">
        <v>510</v>
      </c>
      <c r="D23" s="27">
        <v>542</v>
      </c>
      <c r="E23" s="27"/>
      <c r="F23" s="27"/>
      <c r="G23" s="27"/>
      <c r="H23" s="27"/>
      <c r="I23" s="27"/>
      <c r="J23" s="27"/>
      <c r="K23" s="27"/>
      <c r="L23" s="28"/>
      <c r="P23" s="44" t="s">
        <v>6</v>
      </c>
      <c r="Q23" s="146">
        <v>544.23</v>
      </c>
      <c r="R23" s="146">
        <v>533.1</v>
      </c>
      <c r="S23" s="152">
        <v>529</v>
      </c>
      <c r="T23" s="152">
        <v>488.9</v>
      </c>
      <c r="U23" s="153">
        <v>466.5</v>
      </c>
    </row>
    <row r="24" spans="1:21" ht="15.75" thickBot="1" x14ac:dyDescent="0.3">
      <c r="A24" s="32" t="s">
        <v>38</v>
      </c>
      <c r="B24" s="33">
        <v>21</v>
      </c>
      <c r="C24" s="33">
        <v>520</v>
      </c>
      <c r="D24" s="33">
        <v>496</v>
      </c>
      <c r="E24" s="33">
        <v>422.8</v>
      </c>
      <c r="F24" s="33">
        <v>377.5</v>
      </c>
      <c r="G24" s="33"/>
      <c r="H24" s="33">
        <f>B24+C24</f>
        <v>541</v>
      </c>
      <c r="I24" s="33"/>
      <c r="J24" s="33"/>
      <c r="K24" s="33"/>
      <c r="L24" s="34"/>
      <c r="O24" t="s">
        <v>86</v>
      </c>
      <c r="P24" s="44" t="s">
        <v>57</v>
      </c>
      <c r="Q24" s="146">
        <v>527.23</v>
      </c>
      <c r="R24" s="146">
        <v>517.6</v>
      </c>
      <c r="S24" s="152">
        <v>515</v>
      </c>
      <c r="T24" s="152">
        <v>481.9</v>
      </c>
      <c r="U24" s="153">
        <v>464.8</v>
      </c>
    </row>
    <row r="25" spans="1:21" ht="15.75" thickBot="1" x14ac:dyDescent="0.3">
      <c r="A25" s="35" t="s">
        <v>48</v>
      </c>
      <c r="B25" s="36">
        <v>20.83</v>
      </c>
      <c r="C25" s="36">
        <v>505</v>
      </c>
      <c r="D25" s="36">
        <v>484</v>
      </c>
      <c r="E25" s="36">
        <v>416.5</v>
      </c>
      <c r="F25" s="36">
        <v>372.2</v>
      </c>
      <c r="G25" s="36"/>
      <c r="H25" s="33">
        <f t="shared" ref="H25:H26" si="7">B25+C25</f>
        <v>525.83000000000004</v>
      </c>
      <c r="I25" s="36"/>
      <c r="J25" s="36"/>
      <c r="K25" s="36"/>
      <c r="L25" s="37"/>
      <c r="P25" s="148" t="s">
        <v>51</v>
      </c>
      <c r="Q25" s="149">
        <v>544.27</v>
      </c>
      <c r="R25" s="149">
        <v>538.9</v>
      </c>
      <c r="S25" s="154">
        <v>532</v>
      </c>
      <c r="T25" s="154">
        <v>493.7</v>
      </c>
      <c r="U25" s="155">
        <v>474.6</v>
      </c>
    </row>
    <row r="26" spans="1:21" ht="15.75" thickBot="1" x14ac:dyDescent="0.3">
      <c r="A26" s="38" t="s">
        <v>20</v>
      </c>
      <c r="B26" s="36">
        <v>21.08</v>
      </c>
      <c r="C26" s="36">
        <v>526</v>
      </c>
      <c r="D26" s="36">
        <v>501</v>
      </c>
      <c r="E26" s="36">
        <v>429.2</v>
      </c>
      <c r="F26" s="36">
        <v>383.4</v>
      </c>
      <c r="G26" s="36"/>
      <c r="H26" s="33">
        <f t="shared" si="7"/>
        <v>547.08000000000004</v>
      </c>
      <c r="I26" s="36"/>
      <c r="J26" s="36"/>
      <c r="K26" s="36"/>
      <c r="L26" s="37"/>
      <c r="P26" s="49" t="s">
        <v>87</v>
      </c>
      <c r="Q26" s="147">
        <f>(Q22+Q23+Q24+Q25)/4</f>
        <v>544.72500000000002</v>
      </c>
      <c r="R26" s="147">
        <f t="shared" ref="R26:U26" si="8">(R22+R23+R24+R25)/4</f>
        <v>535.70000000000005</v>
      </c>
      <c r="S26" s="147">
        <f t="shared" si="8"/>
        <v>530.25</v>
      </c>
      <c r="T26" s="147">
        <f t="shared" si="8"/>
        <v>492.15000000000003</v>
      </c>
      <c r="U26" s="147">
        <f t="shared" si="8"/>
        <v>473</v>
      </c>
    </row>
    <row r="27" spans="1:21" ht="15.75" thickBot="1" x14ac:dyDescent="0.3">
      <c r="A27" s="32" t="s">
        <v>46</v>
      </c>
      <c r="B27" s="39">
        <v>21.08</v>
      </c>
      <c r="C27" s="39">
        <v>530</v>
      </c>
      <c r="D27" s="39">
        <v>498</v>
      </c>
      <c r="E27" s="39">
        <v>423.8</v>
      </c>
      <c r="F27" s="39">
        <v>382.5</v>
      </c>
      <c r="G27" s="39"/>
      <c r="H27" s="33">
        <f>B27+C27</f>
        <v>551.08000000000004</v>
      </c>
      <c r="I27" s="39"/>
      <c r="J27" s="39"/>
      <c r="K27" s="39"/>
      <c r="L27" s="40"/>
      <c r="P27" s="148" t="s">
        <v>173</v>
      </c>
      <c r="Q27" s="156">
        <f>_xlfn.STDEV.P(Q22:Q25)</f>
        <v>12.71559180691168</v>
      </c>
      <c r="R27" s="156">
        <f t="shared" ref="R27:U27" si="9">_xlfn.STDEV.P(R22:R25)</f>
        <v>12.755978990261786</v>
      </c>
      <c r="S27" s="156">
        <f t="shared" si="9"/>
        <v>10.662434056068061</v>
      </c>
      <c r="T27" s="156">
        <f t="shared" si="9"/>
        <v>8.0751160982366237</v>
      </c>
      <c r="U27" s="156">
        <f t="shared" si="9"/>
        <v>8.4211044406301063</v>
      </c>
    </row>
    <row r="28" spans="1:21" ht="15.75" thickBot="1" x14ac:dyDescent="0.3">
      <c r="A28" s="35" t="s">
        <v>59</v>
      </c>
      <c r="B28" s="33">
        <v>20.97</v>
      </c>
      <c r="C28" s="33">
        <v>508</v>
      </c>
      <c r="D28" s="33">
        <v>477</v>
      </c>
      <c r="E28" s="33">
        <v>399.8</v>
      </c>
      <c r="F28" s="33"/>
      <c r="G28" s="33"/>
      <c r="H28" s="33"/>
      <c r="I28" s="33"/>
      <c r="J28" s="33"/>
      <c r="K28" s="33"/>
      <c r="L28" s="34"/>
      <c r="P28" s="58" t="s">
        <v>27</v>
      </c>
      <c r="Q28" s="157">
        <v>535.54999999999995</v>
      </c>
      <c r="R28" s="157">
        <v>530.4</v>
      </c>
      <c r="S28" s="158">
        <v>525</v>
      </c>
      <c r="T28" s="158">
        <v>487.7</v>
      </c>
      <c r="U28" s="159">
        <v>468.2</v>
      </c>
    </row>
    <row r="29" spans="1:21" x14ac:dyDescent="0.25">
      <c r="A29" s="32" t="s">
        <v>7</v>
      </c>
      <c r="B29" s="36">
        <v>21</v>
      </c>
      <c r="C29" s="36">
        <v>522</v>
      </c>
      <c r="D29" s="36">
        <v>504</v>
      </c>
      <c r="E29" s="36">
        <v>431.9</v>
      </c>
      <c r="F29" s="36"/>
      <c r="G29" s="36"/>
      <c r="H29" s="36"/>
      <c r="I29" s="36"/>
      <c r="J29" s="36"/>
      <c r="K29" s="36"/>
      <c r="L29" s="37"/>
      <c r="O29" t="s">
        <v>88</v>
      </c>
      <c r="P29" s="53" t="s">
        <v>22</v>
      </c>
      <c r="Q29" s="160">
        <v>529.75</v>
      </c>
      <c r="R29" s="160">
        <v>523.29999999999995</v>
      </c>
      <c r="S29" s="161">
        <v>514</v>
      </c>
      <c r="T29" s="161">
        <v>469.6</v>
      </c>
      <c r="U29" s="162">
        <v>447.7</v>
      </c>
    </row>
    <row r="30" spans="1:21" x14ac:dyDescent="0.25">
      <c r="A30" s="35" t="s">
        <v>39</v>
      </c>
      <c r="B30" s="36">
        <v>21.11</v>
      </c>
      <c r="C30" s="36">
        <v>547</v>
      </c>
      <c r="D30" s="36">
        <v>514</v>
      </c>
      <c r="E30" s="36">
        <v>431.6</v>
      </c>
      <c r="F30" s="36"/>
      <c r="G30" s="36"/>
      <c r="H30" s="36"/>
      <c r="I30" s="36"/>
      <c r="J30" s="36"/>
      <c r="K30" s="36"/>
      <c r="L30" s="37"/>
      <c r="P30" s="53" t="s">
        <v>15</v>
      </c>
      <c r="Q30" s="160">
        <v>527.94000000000005</v>
      </c>
      <c r="R30" s="160">
        <v>527</v>
      </c>
      <c r="S30" s="161">
        <v>528</v>
      </c>
      <c r="T30" s="161">
        <v>487</v>
      </c>
      <c r="U30" s="162">
        <v>465.7</v>
      </c>
    </row>
    <row r="31" spans="1:21" ht="15.75" thickBot="1" x14ac:dyDescent="0.3">
      <c r="A31" s="35" t="s">
        <v>3</v>
      </c>
      <c r="B31" s="39">
        <v>21.03</v>
      </c>
      <c r="C31" s="39">
        <v>512</v>
      </c>
      <c r="D31" s="39">
        <v>493</v>
      </c>
      <c r="E31" s="39"/>
      <c r="F31" s="39"/>
      <c r="G31" s="39"/>
      <c r="H31" s="39"/>
      <c r="I31" s="39"/>
      <c r="J31" s="39"/>
      <c r="K31" s="39"/>
      <c r="L31" s="40"/>
      <c r="P31" s="163" t="s">
        <v>42</v>
      </c>
      <c r="Q31" s="164">
        <v>562.57000000000005</v>
      </c>
      <c r="R31" s="164">
        <v>558.70000000000005</v>
      </c>
      <c r="S31" s="165">
        <v>552</v>
      </c>
      <c r="T31" s="165">
        <v>513.9</v>
      </c>
      <c r="U31" s="166">
        <v>491.5</v>
      </c>
    </row>
    <row r="32" spans="1:21" ht="15.75" thickBot="1" x14ac:dyDescent="0.3">
      <c r="A32" s="38" t="s">
        <v>50</v>
      </c>
      <c r="B32" s="33">
        <v>21.06</v>
      </c>
      <c r="C32" s="33">
        <v>511</v>
      </c>
      <c r="D32" s="33">
        <v>486</v>
      </c>
      <c r="E32" s="33"/>
      <c r="F32" s="33"/>
      <c r="G32" s="33"/>
      <c r="H32" s="33"/>
      <c r="I32" s="33"/>
      <c r="J32" s="33"/>
      <c r="K32" s="33"/>
      <c r="L32" s="34"/>
      <c r="P32" s="58" t="s">
        <v>82</v>
      </c>
      <c r="Q32" s="167">
        <f>(Q28+Q29+Q30+Q31)/4</f>
        <v>538.95249999999999</v>
      </c>
      <c r="R32" s="167">
        <f t="shared" ref="R32:U32" si="10">(R28+R29+R30+R31)/4</f>
        <v>534.84999999999991</v>
      </c>
      <c r="S32" s="167">
        <f t="shared" si="10"/>
        <v>529.75</v>
      </c>
      <c r="T32" s="167">
        <f t="shared" si="10"/>
        <v>489.54999999999995</v>
      </c>
      <c r="U32" s="167">
        <f t="shared" si="10"/>
        <v>468.27499999999998</v>
      </c>
    </row>
    <row r="33" spans="1:21" ht="15.75" thickBot="1" x14ac:dyDescent="0.3">
      <c r="A33" s="38" t="s">
        <v>32</v>
      </c>
      <c r="B33" s="36">
        <v>21.05</v>
      </c>
      <c r="C33" s="36">
        <v>536</v>
      </c>
      <c r="D33" s="36">
        <v>506</v>
      </c>
      <c r="E33" s="36"/>
      <c r="F33" s="36"/>
      <c r="G33" s="36"/>
      <c r="H33" s="36"/>
      <c r="I33" s="36"/>
      <c r="J33" s="36"/>
      <c r="K33" s="36"/>
      <c r="L33" s="37"/>
      <c r="P33" s="163" t="s">
        <v>83</v>
      </c>
      <c r="Q33" s="168">
        <f>_xlfn.STDEV.P(Q28:Q31)</f>
        <v>13.922324473664602</v>
      </c>
      <c r="R33" s="168">
        <f t="shared" ref="R33:U33" si="11">_xlfn.STDEV.P(R28:R31)</f>
        <v>13.996874651149836</v>
      </c>
      <c r="S33" s="168">
        <f t="shared" si="11"/>
        <v>13.863170633011771</v>
      </c>
      <c r="T33" s="168">
        <f t="shared" si="11"/>
        <v>15.818106713510296</v>
      </c>
      <c r="U33" s="168">
        <f t="shared" si="11"/>
        <v>15.56733358671292</v>
      </c>
    </row>
    <row r="34" spans="1:21" ht="15.75" thickBot="1" x14ac:dyDescent="0.3">
      <c r="A34" s="41" t="s">
        <v>1</v>
      </c>
      <c r="B34" s="42">
        <v>27.17</v>
      </c>
      <c r="C34" s="42">
        <v>536</v>
      </c>
      <c r="D34" s="42">
        <v>545</v>
      </c>
      <c r="E34" s="42">
        <v>504.1</v>
      </c>
      <c r="F34" s="42">
        <v>486.1</v>
      </c>
      <c r="G34" s="42"/>
      <c r="H34" s="42">
        <f>B34+C34</f>
        <v>563.16999999999996</v>
      </c>
      <c r="I34" s="42"/>
      <c r="J34" s="42"/>
      <c r="K34" s="42"/>
      <c r="L34" s="43"/>
      <c r="O34" t="s">
        <v>89</v>
      </c>
      <c r="P34" s="4" t="s">
        <v>44</v>
      </c>
      <c r="Q34" s="172">
        <v>525</v>
      </c>
      <c r="R34" s="173">
        <f>(Q34+S34)/2</f>
        <v>465</v>
      </c>
      <c r="S34" s="172">
        <v>405</v>
      </c>
      <c r="T34" s="174">
        <v>291.7</v>
      </c>
      <c r="U34" s="175">
        <v>233.9</v>
      </c>
    </row>
    <row r="35" spans="1:21" ht="15.75" thickBot="1" x14ac:dyDescent="0.3">
      <c r="A35" s="44" t="s">
        <v>6</v>
      </c>
      <c r="B35" s="45">
        <v>27.23</v>
      </c>
      <c r="C35" s="45">
        <v>517</v>
      </c>
      <c r="D35" s="45">
        <v>529</v>
      </c>
      <c r="E35" s="45">
        <v>488.9</v>
      </c>
      <c r="F35" s="45">
        <v>466.5</v>
      </c>
      <c r="G35" s="45"/>
      <c r="H35" s="42">
        <f t="shared" ref="H35:H37" si="12">B35+C35</f>
        <v>544.23</v>
      </c>
      <c r="I35" s="45"/>
      <c r="J35" s="45"/>
      <c r="K35" s="45"/>
      <c r="L35" s="46"/>
      <c r="P35" s="6" t="s">
        <v>34</v>
      </c>
      <c r="Q35" s="176">
        <v>513</v>
      </c>
      <c r="R35" s="177">
        <f t="shared" ref="R35:R37" si="13">(Q35+S35)/2</f>
        <v>460.5</v>
      </c>
      <c r="S35" s="176">
        <v>408</v>
      </c>
      <c r="T35" s="178">
        <v>292.2</v>
      </c>
      <c r="U35" s="179">
        <v>236.6</v>
      </c>
    </row>
    <row r="36" spans="1:21" x14ac:dyDescent="0.25">
      <c r="A36" s="44" t="s">
        <v>57</v>
      </c>
      <c r="B36" s="47">
        <v>27.23</v>
      </c>
      <c r="C36" s="47">
        <v>500</v>
      </c>
      <c r="D36" s="47">
        <v>515</v>
      </c>
      <c r="E36" s="47">
        <v>481.9</v>
      </c>
      <c r="F36" s="47">
        <v>464.8</v>
      </c>
      <c r="G36" s="47"/>
      <c r="H36" s="42">
        <f t="shared" si="12"/>
        <v>527.23</v>
      </c>
      <c r="I36" s="47"/>
      <c r="J36" s="47"/>
      <c r="K36" s="47"/>
      <c r="L36" s="48"/>
      <c r="P36" s="6" t="s">
        <v>21</v>
      </c>
      <c r="Q36" s="176">
        <v>513</v>
      </c>
      <c r="R36" s="177">
        <f t="shared" si="13"/>
        <v>468</v>
      </c>
      <c r="S36" s="176">
        <v>423</v>
      </c>
      <c r="T36" s="178">
        <v>309</v>
      </c>
      <c r="U36" s="179">
        <v>252.4</v>
      </c>
    </row>
    <row r="37" spans="1:21" ht="15.75" thickBot="1" x14ac:dyDescent="0.3">
      <c r="A37" s="41" t="s">
        <v>51</v>
      </c>
      <c r="B37" s="42">
        <v>27.27</v>
      </c>
      <c r="C37" s="42">
        <v>517</v>
      </c>
      <c r="D37" s="42">
        <v>532</v>
      </c>
      <c r="E37" s="42">
        <v>493.7</v>
      </c>
      <c r="F37" s="42">
        <v>474.6</v>
      </c>
      <c r="G37" s="42"/>
      <c r="H37" s="42">
        <f t="shared" si="12"/>
        <v>544.27</v>
      </c>
      <c r="I37" s="42"/>
      <c r="J37" s="42"/>
      <c r="K37" s="42"/>
      <c r="L37" s="43"/>
      <c r="P37" s="3" t="s">
        <v>23</v>
      </c>
      <c r="Q37" s="184">
        <v>550</v>
      </c>
      <c r="R37" s="180">
        <f t="shared" si="13"/>
        <v>491.5</v>
      </c>
      <c r="S37" s="184">
        <v>433</v>
      </c>
      <c r="T37" s="185">
        <v>315.10000000000002</v>
      </c>
      <c r="U37" s="186">
        <v>260.60000000000002</v>
      </c>
    </row>
    <row r="38" spans="1:21" x14ac:dyDescent="0.25">
      <c r="A38" s="49" t="s">
        <v>52</v>
      </c>
      <c r="B38" s="42">
        <v>27.38</v>
      </c>
      <c r="C38" s="42">
        <v>539</v>
      </c>
      <c r="D38" s="42">
        <v>554</v>
      </c>
      <c r="E38" s="63">
        <v>520.29999999999995</v>
      </c>
      <c r="F38" s="42"/>
      <c r="G38" s="42"/>
      <c r="H38" s="42"/>
      <c r="I38" s="42"/>
      <c r="J38" s="42"/>
      <c r="K38" s="42"/>
      <c r="L38" s="43"/>
      <c r="P38" s="182" t="s">
        <v>82</v>
      </c>
      <c r="Q38" s="183">
        <f>(Q34+Q35+Q36+Q37)/4</f>
        <v>525.25</v>
      </c>
      <c r="R38" s="183">
        <f t="shared" ref="R38:U38" si="14">(R34+R35+R36+R37)/4</f>
        <v>471.25</v>
      </c>
      <c r="S38" s="183">
        <f t="shared" si="14"/>
        <v>417.25</v>
      </c>
      <c r="T38" s="183">
        <f t="shared" si="14"/>
        <v>302</v>
      </c>
      <c r="U38" s="183">
        <f t="shared" si="14"/>
        <v>245.875</v>
      </c>
    </row>
    <row r="39" spans="1:21" ht="15.75" thickBot="1" x14ac:dyDescent="0.3">
      <c r="A39" s="44" t="s">
        <v>36</v>
      </c>
      <c r="B39" s="45">
        <v>27.42</v>
      </c>
      <c r="C39" s="45">
        <v>507</v>
      </c>
      <c r="D39" s="45">
        <v>515</v>
      </c>
      <c r="E39" s="45">
        <v>476.8</v>
      </c>
      <c r="F39" s="45"/>
      <c r="G39" s="45"/>
      <c r="H39" s="45"/>
      <c r="I39" s="45"/>
      <c r="J39" s="45"/>
      <c r="K39" s="45"/>
      <c r="L39" s="46"/>
      <c r="P39" s="3" t="s">
        <v>83</v>
      </c>
      <c r="Q39" s="181">
        <f>_xlfn.STDEV.P(Q34:Q37)</f>
        <v>15.105876340020794</v>
      </c>
      <c r="R39" s="181">
        <f t="shared" ref="R39:U39" si="15">_xlfn.STDEV.P(R34:R37)</f>
        <v>11.992184955211457</v>
      </c>
      <c r="S39" s="181">
        <f t="shared" si="15"/>
        <v>11.366067921669305</v>
      </c>
      <c r="T39" s="181">
        <f t="shared" si="15"/>
        <v>10.280321006661234</v>
      </c>
      <c r="U39" s="181">
        <f t="shared" si="15"/>
        <v>11.054721841819457</v>
      </c>
    </row>
    <row r="40" spans="1:21" x14ac:dyDescent="0.25">
      <c r="A40" s="49" t="s">
        <v>8</v>
      </c>
      <c r="B40" s="47">
        <v>27.36</v>
      </c>
      <c r="C40" s="47">
        <v>539</v>
      </c>
      <c r="D40" s="47">
        <v>548</v>
      </c>
      <c r="E40" s="47">
        <v>510.5</v>
      </c>
      <c r="F40" s="47"/>
      <c r="G40" s="47"/>
      <c r="H40" s="47"/>
      <c r="I40" s="47"/>
      <c r="J40" s="47"/>
      <c r="K40" s="47"/>
      <c r="L40" s="48"/>
    </row>
    <row r="41" spans="1:21" x14ac:dyDescent="0.25">
      <c r="A41" s="44" t="s">
        <v>41</v>
      </c>
      <c r="B41" s="42">
        <v>27.29</v>
      </c>
      <c r="C41" s="42">
        <v>528</v>
      </c>
      <c r="D41" s="42">
        <v>536</v>
      </c>
      <c r="E41" s="42"/>
      <c r="F41" s="42"/>
      <c r="G41" s="42"/>
      <c r="H41" s="42"/>
      <c r="I41" s="42"/>
      <c r="J41" s="42"/>
      <c r="K41" s="42"/>
      <c r="L41" s="43"/>
    </row>
    <row r="42" spans="1:21" x14ac:dyDescent="0.25">
      <c r="A42" s="44" t="s">
        <v>55</v>
      </c>
      <c r="B42" s="42">
        <v>27</v>
      </c>
      <c r="C42" s="42">
        <v>510</v>
      </c>
      <c r="D42" s="42">
        <v>522</v>
      </c>
      <c r="E42" s="42"/>
      <c r="F42" s="42"/>
      <c r="G42" s="42"/>
      <c r="H42" s="42"/>
      <c r="I42" s="42"/>
      <c r="J42" s="42"/>
      <c r="K42" s="42"/>
      <c r="L42" s="43"/>
    </row>
    <row r="43" spans="1:21" ht="15.75" thickBot="1" x14ac:dyDescent="0.3">
      <c r="A43" s="44" t="s">
        <v>33</v>
      </c>
      <c r="B43" s="45">
        <v>26.92</v>
      </c>
      <c r="C43" s="45">
        <v>531</v>
      </c>
      <c r="D43" s="45">
        <v>540</v>
      </c>
      <c r="E43" s="45"/>
      <c r="F43" s="45"/>
      <c r="G43" s="45"/>
      <c r="H43" s="45"/>
      <c r="I43" s="45"/>
      <c r="J43" s="45"/>
      <c r="K43" s="45"/>
      <c r="L43" s="46"/>
    </row>
    <row r="44" spans="1:21" ht="15.75" thickBot="1" x14ac:dyDescent="0.3">
      <c r="A44" s="50" t="s">
        <v>27</v>
      </c>
      <c r="B44" s="59">
        <v>23.55</v>
      </c>
      <c r="C44" s="59">
        <v>512</v>
      </c>
      <c r="D44" s="51">
        <v>525</v>
      </c>
      <c r="E44" s="51">
        <v>487.7</v>
      </c>
      <c r="F44" s="51">
        <v>468.2</v>
      </c>
      <c r="G44" s="51"/>
      <c r="H44" s="51"/>
      <c r="I44" s="51"/>
      <c r="J44" s="51"/>
      <c r="K44" s="51"/>
      <c r="L44" s="52"/>
    </row>
    <row r="45" spans="1:21" ht="15.75" thickBot="1" x14ac:dyDescent="0.3">
      <c r="A45" s="53" t="s">
        <v>22</v>
      </c>
      <c r="B45" s="60">
        <v>23.75</v>
      </c>
      <c r="C45" s="60">
        <v>506</v>
      </c>
      <c r="D45" s="54">
        <v>5514</v>
      </c>
      <c r="E45" s="54">
        <v>469.6</v>
      </c>
      <c r="F45" s="54">
        <v>447.7</v>
      </c>
      <c r="G45" s="54"/>
      <c r="H45" s="54"/>
      <c r="I45" s="54"/>
      <c r="J45" s="54"/>
      <c r="K45" s="54"/>
      <c r="L45" s="55"/>
    </row>
    <row r="46" spans="1:21" x14ac:dyDescent="0.25">
      <c r="A46" s="53" t="s">
        <v>15</v>
      </c>
      <c r="B46" s="61">
        <v>21.94</v>
      </c>
      <c r="C46" s="61">
        <v>506</v>
      </c>
      <c r="D46" s="54">
        <v>528</v>
      </c>
      <c r="E46" s="54">
        <v>487</v>
      </c>
      <c r="F46" s="54">
        <v>465.7</v>
      </c>
      <c r="G46" s="54"/>
      <c r="H46" s="54"/>
      <c r="I46" s="54"/>
      <c r="J46" s="54"/>
      <c r="K46" s="54"/>
      <c r="L46" s="55"/>
    </row>
    <row r="47" spans="1:21" ht="15.75" thickBot="1" x14ac:dyDescent="0.3">
      <c r="A47" s="50" t="s">
        <v>42</v>
      </c>
      <c r="B47" s="59">
        <v>22.57</v>
      </c>
      <c r="C47" s="59">
        <v>540</v>
      </c>
      <c r="D47" s="56">
        <v>552</v>
      </c>
      <c r="E47" s="56">
        <v>513.9</v>
      </c>
      <c r="F47" s="56">
        <v>491.5</v>
      </c>
      <c r="G47" s="56"/>
      <c r="H47" s="56"/>
      <c r="I47" s="56"/>
      <c r="J47" s="56"/>
      <c r="K47" s="56"/>
      <c r="L47" s="57"/>
    </row>
    <row r="48" spans="1:21" ht="15.75" thickBot="1" x14ac:dyDescent="0.3">
      <c r="A48" s="53" t="s">
        <v>28</v>
      </c>
      <c r="B48" s="59">
        <v>23.79</v>
      </c>
      <c r="C48" s="59">
        <v>507</v>
      </c>
      <c r="D48" s="51">
        <v>547</v>
      </c>
      <c r="E48" s="51">
        <v>509.5</v>
      </c>
      <c r="F48" s="51"/>
      <c r="G48" s="51"/>
      <c r="H48" s="51"/>
      <c r="I48" s="51"/>
      <c r="J48" s="51"/>
      <c r="K48" s="51"/>
      <c r="L48" s="52"/>
    </row>
    <row r="49" spans="1:12" ht="15.75" thickBot="1" x14ac:dyDescent="0.3">
      <c r="A49" s="58" t="s">
        <v>47</v>
      </c>
      <c r="B49" s="60">
        <v>23.74</v>
      </c>
      <c r="C49" s="60">
        <v>523</v>
      </c>
      <c r="D49" s="54">
        <v>533</v>
      </c>
      <c r="E49" s="54">
        <v>488.1</v>
      </c>
      <c r="F49" s="54"/>
      <c r="G49" s="54"/>
      <c r="H49" s="54"/>
      <c r="I49" s="54"/>
      <c r="J49" s="54"/>
      <c r="K49" s="54"/>
      <c r="L49" s="55"/>
    </row>
    <row r="50" spans="1:12" x14ac:dyDescent="0.25">
      <c r="A50" s="53" t="s">
        <v>13</v>
      </c>
      <c r="B50" s="61">
        <v>23.71</v>
      </c>
      <c r="C50" s="61">
        <v>503</v>
      </c>
      <c r="D50" s="54">
        <v>517</v>
      </c>
      <c r="E50" s="54">
        <v>480.7</v>
      </c>
      <c r="F50" s="54"/>
      <c r="G50" s="54"/>
      <c r="H50" s="54"/>
      <c r="I50" s="54"/>
      <c r="J50" s="54"/>
      <c r="K50" s="54"/>
      <c r="L50" s="55"/>
    </row>
    <row r="51" spans="1:12" ht="15.75" thickBot="1" x14ac:dyDescent="0.3">
      <c r="A51" s="53" t="s">
        <v>26</v>
      </c>
      <c r="B51" s="59">
        <v>23.1</v>
      </c>
      <c r="C51" s="59">
        <v>500</v>
      </c>
      <c r="D51" s="56">
        <v>512</v>
      </c>
      <c r="E51" s="56"/>
      <c r="F51" s="56"/>
      <c r="G51" s="56"/>
      <c r="H51" s="56"/>
      <c r="I51" s="56"/>
      <c r="J51" s="56"/>
      <c r="K51" s="56"/>
      <c r="L51" s="57"/>
    </row>
    <row r="52" spans="1:12" ht="15.75" thickBot="1" x14ac:dyDescent="0.3">
      <c r="A52" s="50" t="s">
        <v>11</v>
      </c>
      <c r="B52" s="59">
        <v>23.86</v>
      </c>
      <c r="C52" s="59">
        <v>521</v>
      </c>
      <c r="D52" s="51">
        <v>531</v>
      </c>
      <c r="E52" s="51"/>
      <c r="F52" s="51"/>
      <c r="G52" s="51"/>
      <c r="H52" s="51"/>
      <c r="I52" s="51"/>
      <c r="J52" s="51"/>
      <c r="K52" s="51"/>
      <c r="L52" s="52"/>
    </row>
    <row r="53" spans="1:12" ht="15.75" thickBot="1" x14ac:dyDescent="0.3">
      <c r="A53" s="50" t="s">
        <v>58</v>
      </c>
      <c r="B53" s="60">
        <v>24</v>
      </c>
      <c r="C53" s="60">
        <v>528</v>
      </c>
      <c r="D53" s="54">
        <v>531</v>
      </c>
      <c r="E53" s="54"/>
      <c r="F53" s="54"/>
      <c r="G53" s="54"/>
      <c r="H53" s="54"/>
      <c r="I53" s="54"/>
      <c r="J53" s="54"/>
      <c r="K53" s="54"/>
      <c r="L53" s="55"/>
    </row>
    <row r="54" spans="1:12" x14ac:dyDescent="0.25">
      <c r="A54" s="4" t="s">
        <v>44</v>
      </c>
      <c r="B54" s="4"/>
      <c r="C54" s="4">
        <v>525</v>
      </c>
      <c r="D54" s="4">
        <v>405</v>
      </c>
      <c r="E54" s="89">
        <v>291.7</v>
      </c>
      <c r="F54" s="88">
        <v>233.9</v>
      </c>
      <c r="G54" s="4"/>
      <c r="H54" s="4"/>
      <c r="I54" s="4"/>
      <c r="J54" s="4"/>
      <c r="K54" s="4"/>
      <c r="L54" s="4"/>
    </row>
    <row r="55" spans="1:12" x14ac:dyDescent="0.25">
      <c r="A55" s="6" t="s">
        <v>34</v>
      </c>
      <c r="B55" s="6"/>
      <c r="C55" s="6">
        <v>513</v>
      </c>
      <c r="D55" s="6">
        <v>408</v>
      </c>
      <c r="E55" s="90">
        <v>292.2</v>
      </c>
      <c r="F55" s="6">
        <v>236.6</v>
      </c>
      <c r="G55" s="6"/>
      <c r="H55" s="6"/>
      <c r="I55" s="6"/>
      <c r="J55" s="6"/>
      <c r="K55" s="6"/>
      <c r="L55" s="6"/>
    </row>
    <row r="56" spans="1:12" ht="15.75" thickBot="1" x14ac:dyDescent="0.3">
      <c r="A56" s="3" t="s">
        <v>21</v>
      </c>
      <c r="B56" s="3"/>
      <c r="C56" s="3">
        <v>513</v>
      </c>
      <c r="D56" s="3">
        <v>423</v>
      </c>
      <c r="E56" s="90">
        <v>309</v>
      </c>
      <c r="F56" s="3">
        <v>252.4</v>
      </c>
      <c r="G56" s="3"/>
      <c r="H56" s="3"/>
      <c r="I56" s="3"/>
      <c r="J56" s="3"/>
      <c r="K56" s="3"/>
      <c r="L56" s="3"/>
    </row>
    <row r="57" spans="1:12" x14ac:dyDescent="0.25">
      <c r="A57" s="4" t="s">
        <v>23</v>
      </c>
      <c r="B57" s="4"/>
      <c r="C57" s="4">
        <v>550</v>
      </c>
      <c r="D57" s="4">
        <v>433</v>
      </c>
      <c r="E57" s="89">
        <v>315.10000000000002</v>
      </c>
      <c r="F57" s="4">
        <v>260.60000000000002</v>
      </c>
      <c r="G57" s="4"/>
      <c r="H57" s="4"/>
      <c r="I57" s="4"/>
      <c r="J57" s="4"/>
      <c r="K57" s="4"/>
      <c r="L57" s="4"/>
    </row>
    <row r="58" spans="1:12" ht="15.75" thickBot="1" x14ac:dyDescent="0.3">
      <c r="A58" s="6" t="s">
        <v>16</v>
      </c>
      <c r="B58" s="6"/>
      <c r="C58" s="6">
        <v>513</v>
      </c>
      <c r="D58" s="6">
        <v>424</v>
      </c>
      <c r="E58" s="90">
        <v>304.3</v>
      </c>
      <c r="F58" s="6"/>
      <c r="G58" s="6"/>
      <c r="H58" s="6"/>
      <c r="I58" s="6"/>
      <c r="J58" s="6"/>
      <c r="K58" s="6"/>
      <c r="L58" s="6"/>
    </row>
    <row r="59" spans="1:12" ht="15.75" thickBot="1" x14ac:dyDescent="0.3">
      <c r="A59" s="4" t="s">
        <v>17</v>
      </c>
      <c r="B59" s="4"/>
      <c r="C59" s="4">
        <v>549</v>
      </c>
      <c r="D59" s="4">
        <v>455</v>
      </c>
      <c r="E59" s="90">
        <v>334</v>
      </c>
      <c r="F59" s="4"/>
      <c r="G59" s="4"/>
      <c r="H59" s="4"/>
      <c r="I59" s="4"/>
      <c r="J59" s="4"/>
      <c r="K59" s="4"/>
      <c r="L59" s="4"/>
    </row>
    <row r="60" spans="1:12" x14ac:dyDescent="0.25">
      <c r="A60" s="6" t="s">
        <v>53</v>
      </c>
      <c r="B60" s="6"/>
      <c r="C60" s="6">
        <v>531</v>
      </c>
      <c r="D60" s="6">
        <v>425</v>
      </c>
      <c r="E60" s="89">
        <v>310.8</v>
      </c>
      <c r="F60" s="6"/>
      <c r="G60" s="6"/>
      <c r="H60" s="6"/>
      <c r="I60" s="6"/>
      <c r="J60" s="6"/>
      <c r="K60" s="6"/>
      <c r="L60" s="6"/>
    </row>
    <row r="61" spans="1:12" ht="15.75" thickBot="1" x14ac:dyDescent="0.3">
      <c r="A61" s="6" t="s">
        <v>49</v>
      </c>
      <c r="B61" s="6"/>
      <c r="C61" s="6">
        <v>509</v>
      </c>
      <c r="D61" s="6">
        <v>415</v>
      </c>
      <c r="E61" s="91"/>
      <c r="F61" s="6"/>
      <c r="G61" s="6"/>
      <c r="H61" s="6"/>
      <c r="I61" s="6"/>
      <c r="J61" s="6"/>
      <c r="K61" s="6"/>
      <c r="L61" s="6"/>
    </row>
    <row r="62" spans="1:12" ht="15.75" thickBot="1" x14ac:dyDescent="0.3">
      <c r="A62" s="4" t="s">
        <v>30</v>
      </c>
      <c r="B62" s="4"/>
      <c r="C62" s="4">
        <v>501</v>
      </c>
      <c r="D62" s="4">
        <v>374</v>
      </c>
      <c r="E62" s="88"/>
      <c r="F62" s="4"/>
      <c r="G62" s="4"/>
      <c r="H62" s="4"/>
      <c r="I62" s="4"/>
      <c r="J62" s="4"/>
      <c r="K62" s="4"/>
      <c r="L62" s="4"/>
    </row>
    <row r="63" spans="1:12" x14ac:dyDescent="0.25">
      <c r="A63" s="4" t="s">
        <v>54</v>
      </c>
      <c r="B63" s="4"/>
      <c r="C63" s="4">
        <v>518</v>
      </c>
      <c r="D63" s="4">
        <v>396</v>
      </c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7"/>
    </row>
    <row r="65" spans="2:2" x14ac:dyDescent="0.25">
      <c r="B65" t="s">
        <v>90</v>
      </c>
    </row>
  </sheetData>
  <mergeCells count="1">
    <mergeCell ref="B1:L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4"/>
  <sheetViews>
    <sheetView topLeftCell="M1" zoomScale="67" workbookViewId="0">
      <selection activeCell="S9" sqref="S9"/>
    </sheetView>
  </sheetViews>
  <sheetFormatPr baseColWidth="10" defaultColWidth="11.42578125" defaultRowHeight="15" x14ac:dyDescent="0.25"/>
  <cols>
    <col min="15" max="15" width="20.140625" bestFit="1" customWidth="1"/>
    <col min="19" max="20" width="14.5703125" bestFit="1" customWidth="1"/>
  </cols>
  <sheetData>
    <row r="1" spans="1:20" x14ac:dyDescent="0.25">
      <c r="A1" s="11"/>
      <c r="B1" s="67" t="s">
        <v>68</v>
      </c>
      <c r="C1" s="67"/>
      <c r="D1" s="68" t="s">
        <v>91</v>
      </c>
      <c r="E1" s="67"/>
      <c r="F1" s="67"/>
      <c r="G1" s="67"/>
      <c r="H1" s="67"/>
      <c r="I1" s="67"/>
      <c r="J1" s="67"/>
      <c r="K1" s="67"/>
      <c r="L1" s="67"/>
    </row>
    <row r="2" spans="1:20" ht="15.75" thickBot="1" x14ac:dyDescent="0.3">
      <c r="A2" s="12"/>
      <c r="B2" s="13"/>
      <c r="C2" s="13"/>
      <c r="D2" s="69" t="s">
        <v>91</v>
      </c>
      <c r="E2" s="13"/>
      <c r="F2" s="13"/>
      <c r="G2" s="13"/>
      <c r="H2" s="13"/>
      <c r="I2" s="13"/>
      <c r="J2" s="13"/>
      <c r="K2" s="13"/>
    </row>
    <row r="3" spans="1:20" ht="15.75" thickBot="1" x14ac:dyDescent="0.3">
      <c r="A3" s="15"/>
      <c r="B3" s="16" t="s">
        <v>75</v>
      </c>
      <c r="C3" s="62">
        <v>44888</v>
      </c>
      <c r="D3" s="70">
        <v>44890</v>
      </c>
      <c r="E3" s="16" t="s">
        <v>78</v>
      </c>
      <c r="F3" s="16" t="s">
        <v>79</v>
      </c>
      <c r="G3" s="16" t="s">
        <v>80</v>
      </c>
      <c r="H3" s="17" t="s">
        <v>92</v>
      </c>
      <c r="I3" s="17" t="s">
        <v>93</v>
      </c>
      <c r="J3" s="17" t="s">
        <v>94</v>
      </c>
      <c r="K3" s="17" t="s">
        <v>95</v>
      </c>
      <c r="L3" s="18" t="s">
        <v>96</v>
      </c>
      <c r="O3" s="188"/>
      <c r="P3" s="189" t="s">
        <v>75</v>
      </c>
      <c r="Q3" s="190">
        <v>44888</v>
      </c>
      <c r="R3" s="191">
        <v>44890</v>
      </c>
      <c r="S3" s="189" t="s">
        <v>78</v>
      </c>
      <c r="T3" s="192" t="s">
        <v>79</v>
      </c>
    </row>
    <row r="4" spans="1:20" x14ac:dyDescent="0.25">
      <c r="A4" s="1" t="s">
        <v>0</v>
      </c>
      <c r="B4" s="19">
        <v>1</v>
      </c>
      <c r="C4" s="19">
        <v>1</v>
      </c>
      <c r="D4" s="71">
        <v>1</v>
      </c>
      <c r="E4" s="19">
        <v>3</v>
      </c>
      <c r="F4" s="19">
        <v>4</v>
      </c>
      <c r="G4" s="19"/>
      <c r="H4" s="19"/>
      <c r="I4" s="19"/>
      <c r="J4" s="19"/>
      <c r="K4" s="19"/>
      <c r="L4" s="20"/>
      <c r="O4" s="1" t="s">
        <v>0</v>
      </c>
      <c r="P4" s="19">
        <v>1</v>
      </c>
      <c r="Q4" s="19">
        <v>1</v>
      </c>
      <c r="R4" s="72">
        <v>1</v>
      </c>
      <c r="S4" s="19">
        <v>3</v>
      </c>
      <c r="T4" s="20">
        <v>4</v>
      </c>
    </row>
    <row r="5" spans="1:20" x14ac:dyDescent="0.25">
      <c r="A5" s="2" t="s">
        <v>10</v>
      </c>
      <c r="B5" s="21">
        <v>1</v>
      </c>
      <c r="C5" s="21">
        <v>1</v>
      </c>
      <c r="D5" s="71">
        <v>1</v>
      </c>
      <c r="E5" s="21">
        <v>5</v>
      </c>
      <c r="F5" s="21">
        <v>6</v>
      </c>
      <c r="G5" s="21"/>
      <c r="H5" s="21"/>
      <c r="I5" s="21"/>
      <c r="J5" s="21"/>
      <c r="K5" s="21"/>
      <c r="L5" s="22"/>
      <c r="O5" s="2" t="s">
        <v>10</v>
      </c>
      <c r="P5" s="21">
        <v>1</v>
      </c>
      <c r="Q5" s="21">
        <v>1</v>
      </c>
      <c r="R5" s="187">
        <v>1</v>
      </c>
      <c r="S5" s="21">
        <v>5</v>
      </c>
      <c r="T5" s="22">
        <v>6</v>
      </c>
    </row>
    <row r="6" spans="1:20" ht="15.75" thickBot="1" x14ac:dyDescent="0.3">
      <c r="A6" s="5" t="s">
        <v>5</v>
      </c>
      <c r="B6" s="21">
        <v>1</v>
      </c>
      <c r="C6" s="21">
        <v>1</v>
      </c>
      <c r="D6" s="71">
        <v>1</v>
      </c>
      <c r="E6" s="21">
        <v>7</v>
      </c>
      <c r="F6" s="21">
        <v>8</v>
      </c>
      <c r="G6" s="21"/>
      <c r="H6" s="21"/>
      <c r="I6" s="21"/>
      <c r="J6" s="21"/>
      <c r="K6" s="21"/>
      <c r="L6" s="22"/>
      <c r="O6" s="2" t="s">
        <v>5</v>
      </c>
      <c r="P6" s="21">
        <v>1</v>
      </c>
      <c r="Q6" s="21">
        <v>1</v>
      </c>
      <c r="R6" s="187">
        <v>1</v>
      </c>
      <c r="S6" s="21">
        <v>7</v>
      </c>
      <c r="T6" s="22">
        <v>8</v>
      </c>
    </row>
    <row r="7" spans="1:20" ht="15.75" thickBot="1" x14ac:dyDescent="0.3">
      <c r="A7" s="5" t="s">
        <v>56</v>
      </c>
      <c r="B7" s="19">
        <v>1</v>
      </c>
      <c r="C7" s="19">
        <v>1</v>
      </c>
      <c r="D7" s="72">
        <v>1</v>
      </c>
      <c r="E7" s="19">
        <v>4</v>
      </c>
      <c r="F7" s="19">
        <v>6</v>
      </c>
      <c r="G7" s="19"/>
      <c r="H7" s="19"/>
      <c r="I7" s="19"/>
      <c r="J7" s="19"/>
      <c r="K7" s="19"/>
      <c r="L7" s="20"/>
      <c r="O7" s="193" t="s">
        <v>56</v>
      </c>
      <c r="P7" s="194">
        <v>1</v>
      </c>
      <c r="Q7" s="194">
        <v>1</v>
      </c>
      <c r="R7" s="195">
        <v>1</v>
      </c>
      <c r="S7" s="194">
        <v>4</v>
      </c>
      <c r="T7" s="196">
        <v>6</v>
      </c>
    </row>
    <row r="8" spans="1:20" ht="15.75" thickBot="1" x14ac:dyDescent="0.3">
      <c r="A8" s="5" t="s">
        <v>29</v>
      </c>
      <c r="B8" s="21"/>
      <c r="C8" s="21">
        <v>1</v>
      </c>
      <c r="D8" s="71">
        <v>1</v>
      </c>
      <c r="E8" s="21">
        <v>7</v>
      </c>
      <c r="F8" s="21"/>
      <c r="G8" s="21"/>
      <c r="H8" s="21"/>
      <c r="I8" s="21"/>
      <c r="J8" s="21"/>
      <c r="K8" s="21"/>
      <c r="L8" s="22"/>
      <c r="O8" s="1" t="s">
        <v>97</v>
      </c>
      <c r="P8" s="96">
        <v>1</v>
      </c>
      <c r="Q8" s="96">
        <v>1</v>
      </c>
      <c r="R8" s="96">
        <v>1</v>
      </c>
      <c r="S8" s="96">
        <f>(S4+S5+S6+S7)/4</f>
        <v>4.75</v>
      </c>
      <c r="T8" s="96">
        <f>(T4+T5+T6+T7)/4</f>
        <v>6</v>
      </c>
    </row>
    <row r="9" spans="1:20" ht="15.75" thickBot="1" x14ac:dyDescent="0.3">
      <c r="A9" s="5" t="s">
        <v>24</v>
      </c>
      <c r="B9" s="21"/>
      <c r="C9" s="21">
        <v>1</v>
      </c>
      <c r="D9" s="71">
        <v>1</v>
      </c>
      <c r="E9" s="21">
        <v>7</v>
      </c>
      <c r="F9" s="21"/>
      <c r="G9" s="21"/>
      <c r="H9" s="21"/>
      <c r="I9" s="21"/>
      <c r="J9" s="21"/>
      <c r="K9" s="21"/>
      <c r="L9" s="22"/>
      <c r="O9" s="193" t="s">
        <v>83</v>
      </c>
      <c r="P9" s="95">
        <f>_xlfn.STDEV.P(P4:P7)</f>
        <v>0</v>
      </c>
      <c r="Q9" s="95">
        <f t="shared" ref="Q9:T9" si="0">_xlfn.STDEV.P(Q4:Q7)</f>
        <v>0</v>
      </c>
      <c r="R9" s="95">
        <f t="shared" si="0"/>
        <v>0</v>
      </c>
      <c r="S9" s="198">
        <f t="shared" si="0"/>
        <v>1.479019945774904</v>
      </c>
      <c r="T9" s="198">
        <f t="shared" si="0"/>
        <v>1.4142135623730951</v>
      </c>
    </row>
    <row r="10" spans="1:20" ht="15.75" thickBot="1" x14ac:dyDescent="0.3">
      <c r="A10" s="5" t="s">
        <v>9</v>
      </c>
      <c r="B10" s="19"/>
      <c r="C10" s="19">
        <v>1</v>
      </c>
      <c r="D10" s="72">
        <v>1</v>
      </c>
      <c r="E10" s="19">
        <v>8</v>
      </c>
      <c r="F10" s="19"/>
      <c r="G10" s="19"/>
      <c r="H10" s="19"/>
      <c r="I10" s="19"/>
      <c r="J10" s="19"/>
      <c r="K10" s="19"/>
      <c r="L10" s="20"/>
      <c r="O10" s="23" t="s">
        <v>45</v>
      </c>
      <c r="P10" s="30">
        <v>1</v>
      </c>
      <c r="Q10" s="30">
        <v>1</v>
      </c>
      <c r="R10" s="200">
        <v>1</v>
      </c>
      <c r="S10" s="30">
        <v>5</v>
      </c>
      <c r="T10" s="31">
        <v>7</v>
      </c>
    </row>
    <row r="11" spans="1:20" ht="15.75" thickBot="1" x14ac:dyDescent="0.3">
      <c r="A11" s="5" t="s">
        <v>14</v>
      </c>
      <c r="B11" s="21"/>
      <c r="C11" s="21">
        <v>1</v>
      </c>
      <c r="D11" s="71">
        <v>1</v>
      </c>
      <c r="E11" s="21"/>
      <c r="F11" s="21"/>
      <c r="G11" s="21"/>
      <c r="H11" s="21"/>
      <c r="I11" s="21"/>
      <c r="J11" s="21"/>
      <c r="K11" s="21"/>
      <c r="L11" s="22"/>
      <c r="O11" s="26" t="s">
        <v>40</v>
      </c>
      <c r="P11" s="24">
        <v>1</v>
      </c>
      <c r="Q11" s="24">
        <v>1</v>
      </c>
      <c r="R11" s="199">
        <v>1</v>
      </c>
      <c r="S11" s="24">
        <v>4</v>
      </c>
      <c r="T11" s="25">
        <v>5</v>
      </c>
    </row>
    <row r="12" spans="1:20" ht="15.75" thickBot="1" x14ac:dyDescent="0.3">
      <c r="A12" s="5" t="s">
        <v>31</v>
      </c>
      <c r="B12" s="21"/>
      <c r="C12" s="21">
        <v>1</v>
      </c>
      <c r="D12" s="71">
        <v>1</v>
      </c>
      <c r="E12" s="21"/>
      <c r="F12" s="21"/>
      <c r="G12" s="21"/>
      <c r="H12" s="21"/>
      <c r="I12" s="21"/>
      <c r="J12" s="21"/>
      <c r="K12" s="21"/>
      <c r="L12" s="22"/>
      <c r="O12" s="26" t="s">
        <v>35</v>
      </c>
      <c r="P12" s="24">
        <v>1</v>
      </c>
      <c r="Q12" s="24">
        <v>1</v>
      </c>
      <c r="R12" s="199">
        <v>1</v>
      </c>
      <c r="S12" s="24">
        <v>4</v>
      </c>
      <c r="T12" s="25">
        <v>5</v>
      </c>
    </row>
    <row r="13" spans="1:20" ht="15.75" thickBot="1" x14ac:dyDescent="0.3">
      <c r="A13" s="5" t="s">
        <v>25</v>
      </c>
      <c r="B13" s="21"/>
      <c r="C13" s="21">
        <v>1</v>
      </c>
      <c r="D13" s="71">
        <v>1</v>
      </c>
      <c r="E13" s="21"/>
      <c r="F13" s="21"/>
      <c r="G13" s="21"/>
      <c r="H13" s="21"/>
      <c r="I13" s="21"/>
      <c r="J13" s="21"/>
      <c r="K13" s="21"/>
      <c r="L13" s="22"/>
      <c r="O13" s="26" t="s">
        <v>12</v>
      </c>
      <c r="P13" s="24">
        <v>1</v>
      </c>
      <c r="Q13" s="24">
        <v>1</v>
      </c>
      <c r="R13" s="199">
        <v>1</v>
      </c>
      <c r="S13" s="24">
        <v>8</v>
      </c>
      <c r="T13" s="25">
        <v>9</v>
      </c>
    </row>
    <row r="14" spans="1:20" x14ac:dyDescent="0.25">
      <c r="A14" s="23" t="s">
        <v>45</v>
      </c>
      <c r="B14" s="24">
        <v>1</v>
      </c>
      <c r="C14" s="24">
        <v>1</v>
      </c>
      <c r="D14" s="73">
        <v>1</v>
      </c>
      <c r="E14" s="24">
        <v>5</v>
      </c>
      <c r="F14" s="24">
        <v>7</v>
      </c>
      <c r="G14" s="24"/>
      <c r="H14" s="24"/>
      <c r="I14" s="24"/>
      <c r="J14" s="24"/>
      <c r="K14" s="24"/>
      <c r="L14" s="25"/>
      <c r="O14" s="26" t="s">
        <v>97</v>
      </c>
      <c r="P14" s="94">
        <f>(P10+P11+P12+P13)/4</f>
        <v>1</v>
      </c>
      <c r="Q14" s="94">
        <f t="shared" ref="Q14:T14" si="1">(Q10+Q11+Q12+Q13)/4</f>
        <v>1</v>
      </c>
      <c r="R14" s="94">
        <f t="shared" si="1"/>
        <v>1</v>
      </c>
      <c r="S14" s="94">
        <f t="shared" si="1"/>
        <v>5.25</v>
      </c>
      <c r="T14" s="97">
        <f t="shared" si="1"/>
        <v>6.5</v>
      </c>
    </row>
    <row r="15" spans="1:20" ht="15.75" thickBot="1" x14ac:dyDescent="0.3">
      <c r="A15" s="26" t="s">
        <v>40</v>
      </c>
      <c r="B15" s="27">
        <v>1</v>
      </c>
      <c r="C15" s="27">
        <v>1</v>
      </c>
      <c r="D15" s="74">
        <v>1</v>
      </c>
      <c r="E15" s="27">
        <v>4</v>
      </c>
      <c r="F15" s="27">
        <v>5</v>
      </c>
      <c r="G15" s="27"/>
      <c r="H15" s="27"/>
      <c r="I15" s="27"/>
      <c r="J15" s="27"/>
      <c r="K15" s="27"/>
      <c r="L15" s="28"/>
      <c r="O15" s="133" t="s">
        <v>83</v>
      </c>
      <c r="P15" s="95">
        <f>_xlfn.STDEV.P(P10:P13)</f>
        <v>0</v>
      </c>
      <c r="Q15" s="95">
        <f t="shared" ref="Q15:T15" si="2">_xlfn.STDEV.P(Q10:Q13)</f>
        <v>0</v>
      </c>
      <c r="R15" s="95">
        <f t="shared" si="2"/>
        <v>0</v>
      </c>
      <c r="S15" s="198">
        <f t="shared" si="2"/>
        <v>1.6393596310755001</v>
      </c>
      <c r="T15" s="201">
        <f t="shared" si="2"/>
        <v>1.6583123951776999</v>
      </c>
    </row>
    <row r="16" spans="1:20" ht="15.75" thickBot="1" x14ac:dyDescent="0.3">
      <c r="A16" s="29" t="s">
        <v>35</v>
      </c>
      <c r="B16" s="30">
        <v>1</v>
      </c>
      <c r="C16" s="30">
        <v>1</v>
      </c>
      <c r="D16" s="73">
        <v>1</v>
      </c>
      <c r="E16" s="30">
        <v>4</v>
      </c>
      <c r="F16" s="30">
        <v>5</v>
      </c>
      <c r="G16" s="30"/>
      <c r="H16" s="30"/>
      <c r="I16" s="30"/>
      <c r="J16" s="30"/>
      <c r="K16" s="30"/>
      <c r="L16" s="31"/>
      <c r="O16" s="32" t="s">
        <v>38</v>
      </c>
      <c r="P16" s="33">
        <v>1</v>
      </c>
      <c r="Q16" s="33">
        <v>1</v>
      </c>
      <c r="R16" s="85">
        <v>1</v>
      </c>
      <c r="S16" s="33">
        <v>3</v>
      </c>
      <c r="T16" s="34">
        <v>4</v>
      </c>
    </row>
    <row r="17" spans="1:20" x14ac:dyDescent="0.25">
      <c r="A17" s="23" t="s">
        <v>12</v>
      </c>
      <c r="B17" s="24">
        <v>1</v>
      </c>
      <c r="C17" s="24">
        <v>1</v>
      </c>
      <c r="D17" s="73">
        <v>1</v>
      </c>
      <c r="E17" s="24">
        <v>8</v>
      </c>
      <c r="F17" s="24">
        <v>9</v>
      </c>
      <c r="G17" s="24"/>
      <c r="H17" s="24"/>
      <c r="I17" s="24"/>
      <c r="J17" s="24"/>
      <c r="K17" s="24"/>
      <c r="L17" s="25"/>
      <c r="O17" s="35" t="s">
        <v>48</v>
      </c>
      <c r="P17" s="36">
        <v>1</v>
      </c>
      <c r="Q17" s="36">
        <v>1</v>
      </c>
      <c r="R17" s="202">
        <v>2</v>
      </c>
      <c r="S17" s="36">
        <v>3</v>
      </c>
      <c r="T17" s="37">
        <v>4</v>
      </c>
    </row>
    <row r="18" spans="1:20" ht="15.75" thickBot="1" x14ac:dyDescent="0.3">
      <c r="A18" s="26" t="s">
        <v>19</v>
      </c>
      <c r="B18" s="24"/>
      <c r="C18" s="24">
        <v>1</v>
      </c>
      <c r="D18" s="73">
        <v>1</v>
      </c>
      <c r="E18" s="24">
        <v>1</v>
      </c>
      <c r="F18" s="24"/>
      <c r="G18" s="24"/>
      <c r="H18" s="24"/>
      <c r="I18" s="24"/>
      <c r="J18" s="24"/>
      <c r="K18" s="24"/>
      <c r="L18" s="25"/>
      <c r="O18" s="35" t="s">
        <v>20</v>
      </c>
      <c r="P18" s="36">
        <v>1</v>
      </c>
      <c r="Q18" s="36">
        <v>1</v>
      </c>
      <c r="R18" s="202">
        <v>2</v>
      </c>
      <c r="S18" s="36">
        <v>3</v>
      </c>
      <c r="T18" s="37">
        <v>5</v>
      </c>
    </row>
    <row r="19" spans="1:20" ht="15.75" thickBot="1" x14ac:dyDescent="0.3">
      <c r="A19" s="23" t="s">
        <v>43</v>
      </c>
      <c r="B19" s="27"/>
      <c r="C19" s="27">
        <v>1</v>
      </c>
      <c r="D19" s="74">
        <v>1</v>
      </c>
      <c r="E19" s="27">
        <v>5</v>
      </c>
      <c r="F19" s="27"/>
      <c r="G19" s="27"/>
      <c r="H19" s="27"/>
      <c r="I19" s="27"/>
      <c r="J19" s="27"/>
      <c r="K19" s="27"/>
      <c r="L19" s="28"/>
      <c r="O19" s="35" t="s">
        <v>46</v>
      </c>
      <c r="P19" s="36">
        <v>1</v>
      </c>
      <c r="Q19" s="36">
        <v>1</v>
      </c>
      <c r="R19" s="202">
        <v>1</v>
      </c>
      <c r="S19" s="36">
        <v>3</v>
      </c>
      <c r="T19" s="37">
        <v>5</v>
      </c>
    </row>
    <row r="20" spans="1:20" x14ac:dyDescent="0.25">
      <c r="A20" s="26" t="s">
        <v>18</v>
      </c>
      <c r="B20" s="30"/>
      <c r="C20" s="30">
        <v>1</v>
      </c>
      <c r="D20" s="73">
        <v>1</v>
      </c>
      <c r="E20" s="30">
        <v>9</v>
      </c>
      <c r="F20" s="30"/>
      <c r="G20" s="30"/>
      <c r="H20" s="30"/>
      <c r="I20" s="30"/>
      <c r="J20" s="30"/>
      <c r="K20" s="30"/>
      <c r="L20" s="31"/>
      <c r="O20" s="35" t="s">
        <v>97</v>
      </c>
      <c r="P20" s="36">
        <f>(P16+P17+P18+P19)/4</f>
        <v>1</v>
      </c>
      <c r="Q20" s="36">
        <f t="shared" ref="Q20:T20" si="3">(Q16+Q17+Q18+Q19)/4</f>
        <v>1</v>
      </c>
      <c r="R20" s="36">
        <f t="shared" si="3"/>
        <v>1.5</v>
      </c>
      <c r="S20" s="36">
        <f t="shared" si="3"/>
        <v>3</v>
      </c>
      <c r="T20" s="37">
        <f t="shared" si="3"/>
        <v>4.5</v>
      </c>
    </row>
    <row r="21" spans="1:20" ht="15.75" thickBot="1" x14ac:dyDescent="0.3">
      <c r="A21" s="26" t="s">
        <v>4</v>
      </c>
      <c r="B21" s="24"/>
      <c r="C21" s="24">
        <v>1</v>
      </c>
      <c r="D21" s="73">
        <v>1</v>
      </c>
      <c r="E21" s="24"/>
      <c r="F21" s="24"/>
      <c r="G21" s="24"/>
      <c r="H21" s="24"/>
      <c r="I21" s="24"/>
      <c r="J21" s="24"/>
      <c r="K21" s="24"/>
      <c r="L21" s="25"/>
      <c r="O21" s="137" t="s">
        <v>83</v>
      </c>
      <c r="P21" s="95">
        <f>_xlfn.STDEV.P(P16:P19)</f>
        <v>0</v>
      </c>
      <c r="Q21" s="95">
        <f t="shared" ref="Q21:T21" si="4">_xlfn.STDEV.P(Q16:Q19)</f>
        <v>0</v>
      </c>
      <c r="R21" s="95">
        <f t="shared" si="4"/>
        <v>0.5</v>
      </c>
      <c r="S21" s="95">
        <f t="shared" si="4"/>
        <v>0</v>
      </c>
      <c r="T21" s="203">
        <f t="shared" si="4"/>
        <v>0.5</v>
      </c>
    </row>
    <row r="22" spans="1:20" ht="15.75" thickBot="1" x14ac:dyDescent="0.3">
      <c r="A22" s="29" t="s">
        <v>2</v>
      </c>
      <c r="B22" s="24"/>
      <c r="C22" s="24">
        <v>1</v>
      </c>
      <c r="D22" s="73">
        <v>1</v>
      </c>
      <c r="E22" s="24"/>
      <c r="F22" s="24"/>
      <c r="G22" s="24"/>
      <c r="H22" s="24"/>
      <c r="I22" s="24"/>
      <c r="J22" s="24"/>
      <c r="K22" s="24"/>
      <c r="L22" s="25"/>
      <c r="O22" s="49" t="s">
        <v>1</v>
      </c>
      <c r="P22" s="47">
        <v>1</v>
      </c>
      <c r="Q22" s="47">
        <v>1</v>
      </c>
      <c r="R22" s="205">
        <v>1</v>
      </c>
      <c r="S22" s="47">
        <v>5</v>
      </c>
      <c r="T22" s="48">
        <v>7</v>
      </c>
    </row>
    <row r="23" spans="1:20" ht="15.75" thickBot="1" x14ac:dyDescent="0.3">
      <c r="A23" s="29" t="s">
        <v>37</v>
      </c>
      <c r="B23" s="27"/>
      <c r="C23" s="27">
        <v>1</v>
      </c>
      <c r="D23" s="74">
        <v>1</v>
      </c>
      <c r="E23" s="27"/>
      <c r="F23" s="27"/>
      <c r="G23" s="27"/>
      <c r="H23" s="27"/>
      <c r="I23" s="27"/>
      <c r="J23" s="27"/>
      <c r="K23" s="27"/>
      <c r="L23" s="28"/>
      <c r="O23" s="44" t="s">
        <v>6</v>
      </c>
      <c r="P23" s="42">
        <v>1</v>
      </c>
      <c r="Q23" s="42">
        <v>1</v>
      </c>
      <c r="R23" s="204">
        <v>2</v>
      </c>
      <c r="S23" s="42">
        <v>2</v>
      </c>
      <c r="T23" s="43">
        <v>4</v>
      </c>
    </row>
    <row r="24" spans="1:20" x14ac:dyDescent="0.25">
      <c r="A24" s="32" t="s">
        <v>38</v>
      </c>
      <c r="B24" s="33">
        <v>1</v>
      </c>
      <c r="C24" s="33">
        <v>1</v>
      </c>
      <c r="D24" s="75">
        <v>1</v>
      </c>
      <c r="E24" s="33">
        <v>3</v>
      </c>
      <c r="F24" s="33">
        <v>4</v>
      </c>
      <c r="G24" s="33"/>
      <c r="H24" s="33"/>
      <c r="I24" s="33"/>
      <c r="J24" s="33"/>
      <c r="K24" s="33"/>
      <c r="L24" s="34"/>
      <c r="O24" s="44" t="s">
        <v>57</v>
      </c>
      <c r="P24" s="42">
        <v>1</v>
      </c>
      <c r="Q24" s="42">
        <v>1</v>
      </c>
      <c r="R24" s="204">
        <v>1</v>
      </c>
      <c r="S24" s="42">
        <v>5</v>
      </c>
      <c r="T24" s="43">
        <v>7</v>
      </c>
    </row>
    <row r="25" spans="1:20" x14ac:dyDescent="0.25">
      <c r="A25" s="35" t="s">
        <v>48</v>
      </c>
      <c r="B25" s="36">
        <v>1</v>
      </c>
      <c r="C25" s="36">
        <v>1</v>
      </c>
      <c r="D25" s="75">
        <v>2</v>
      </c>
      <c r="E25" s="36">
        <v>3</v>
      </c>
      <c r="F25" s="36">
        <v>4</v>
      </c>
      <c r="G25" s="36"/>
      <c r="H25" s="36"/>
      <c r="I25" s="36"/>
      <c r="J25" s="36"/>
      <c r="K25" s="36"/>
      <c r="L25" s="37"/>
      <c r="O25" s="44" t="s">
        <v>51</v>
      </c>
      <c r="P25" s="42">
        <v>1</v>
      </c>
      <c r="Q25" s="42">
        <v>1</v>
      </c>
      <c r="R25" s="204">
        <v>1</v>
      </c>
      <c r="S25" s="42">
        <v>2</v>
      </c>
      <c r="T25" s="43">
        <v>4</v>
      </c>
    </row>
    <row r="26" spans="1:20" ht="15.75" thickBot="1" x14ac:dyDescent="0.3">
      <c r="A26" s="38" t="s">
        <v>20</v>
      </c>
      <c r="B26" s="36">
        <v>1</v>
      </c>
      <c r="C26" s="36">
        <v>1</v>
      </c>
      <c r="D26" s="75">
        <v>2</v>
      </c>
      <c r="E26" s="36">
        <v>3</v>
      </c>
      <c r="F26" s="36">
        <v>5</v>
      </c>
      <c r="G26" s="36"/>
      <c r="H26" s="36"/>
      <c r="I26" s="36"/>
      <c r="J26" s="36"/>
      <c r="K26" s="36"/>
      <c r="L26" s="37"/>
      <c r="O26" s="44" t="s">
        <v>97</v>
      </c>
      <c r="P26" s="94">
        <f>(P22+P23+P24+P25)/4</f>
        <v>1</v>
      </c>
      <c r="Q26" s="94">
        <f t="shared" ref="Q26:T26" si="5">(Q22+Q23+Q24+Q25)/4</f>
        <v>1</v>
      </c>
      <c r="R26" s="94">
        <f t="shared" si="5"/>
        <v>1.25</v>
      </c>
      <c r="S26" s="94">
        <f t="shared" si="5"/>
        <v>3.5</v>
      </c>
      <c r="T26" s="97">
        <f t="shared" si="5"/>
        <v>5.5</v>
      </c>
    </row>
    <row r="27" spans="1:20" ht="15.75" thickBot="1" x14ac:dyDescent="0.3">
      <c r="A27" s="32" t="s">
        <v>46</v>
      </c>
      <c r="B27" s="39">
        <v>1</v>
      </c>
      <c r="C27" s="39">
        <v>1</v>
      </c>
      <c r="D27" s="76">
        <v>1</v>
      </c>
      <c r="E27" s="39">
        <v>3</v>
      </c>
      <c r="F27" s="39">
        <v>5</v>
      </c>
      <c r="G27" s="39"/>
      <c r="H27" s="39"/>
      <c r="I27" s="39"/>
      <c r="J27" s="39"/>
      <c r="K27" s="39"/>
      <c r="L27" s="40"/>
      <c r="O27" s="148" t="s">
        <v>83</v>
      </c>
      <c r="P27" s="95">
        <f>_xlfn.STDEV.P(P22:P25)</f>
        <v>0</v>
      </c>
      <c r="Q27" s="95">
        <f t="shared" ref="Q27:T27" si="6">_xlfn.STDEV.P(Q22:Q25)</f>
        <v>0</v>
      </c>
      <c r="R27" s="198">
        <f t="shared" si="6"/>
        <v>0.4330127018922193</v>
      </c>
      <c r="S27" s="95">
        <f t="shared" si="6"/>
        <v>1.5</v>
      </c>
      <c r="T27" s="203">
        <f t="shared" si="6"/>
        <v>1.5</v>
      </c>
    </row>
    <row r="28" spans="1:20" ht="15.75" thickBot="1" x14ac:dyDescent="0.3">
      <c r="A28" s="35" t="s">
        <v>59</v>
      </c>
      <c r="B28" s="33"/>
      <c r="C28" s="33">
        <v>1</v>
      </c>
      <c r="D28" s="75">
        <v>2</v>
      </c>
      <c r="E28" s="33">
        <v>3</v>
      </c>
      <c r="F28" s="33"/>
      <c r="G28" s="33"/>
      <c r="H28" s="33"/>
      <c r="I28" s="33"/>
      <c r="J28" s="33"/>
      <c r="K28" s="33"/>
      <c r="L28" s="34"/>
      <c r="O28" s="58" t="s">
        <v>27</v>
      </c>
      <c r="P28" s="51">
        <v>1</v>
      </c>
      <c r="Q28" s="51">
        <v>1</v>
      </c>
      <c r="R28" s="206">
        <v>1</v>
      </c>
      <c r="S28" s="51">
        <v>2</v>
      </c>
      <c r="T28" s="52">
        <v>3</v>
      </c>
    </row>
    <row r="29" spans="1:20" x14ac:dyDescent="0.25">
      <c r="A29" s="32" t="s">
        <v>7</v>
      </c>
      <c r="B29" s="36"/>
      <c r="C29" s="36">
        <v>1</v>
      </c>
      <c r="D29" s="75">
        <v>1</v>
      </c>
      <c r="E29" s="36">
        <v>4</v>
      </c>
      <c r="F29" s="36"/>
      <c r="G29" s="36"/>
      <c r="H29" s="36"/>
      <c r="I29" s="36"/>
      <c r="J29" s="36"/>
      <c r="K29" s="36"/>
      <c r="L29" s="37"/>
      <c r="O29" s="53" t="s">
        <v>22</v>
      </c>
      <c r="P29" s="54">
        <v>1</v>
      </c>
      <c r="Q29" s="54">
        <v>1</v>
      </c>
      <c r="R29" s="87">
        <v>1</v>
      </c>
      <c r="S29" s="54">
        <v>4</v>
      </c>
      <c r="T29" s="55">
        <v>7</v>
      </c>
    </row>
    <row r="30" spans="1:20" x14ac:dyDescent="0.25">
      <c r="A30" s="35" t="s">
        <v>39</v>
      </c>
      <c r="B30" s="36"/>
      <c r="C30" s="36">
        <v>1</v>
      </c>
      <c r="D30" s="75">
        <v>1</v>
      </c>
      <c r="E30" s="36">
        <v>5</v>
      </c>
      <c r="F30" s="36"/>
      <c r="G30" s="36"/>
      <c r="H30" s="36"/>
      <c r="I30" s="36"/>
      <c r="J30" s="36"/>
      <c r="K30" s="36"/>
      <c r="L30" s="37"/>
      <c r="O30" s="53" t="s">
        <v>15</v>
      </c>
      <c r="P30" s="54">
        <v>1</v>
      </c>
      <c r="Q30" s="54">
        <v>1</v>
      </c>
      <c r="R30" s="87">
        <v>1</v>
      </c>
      <c r="S30" s="54">
        <v>3</v>
      </c>
      <c r="T30" s="55">
        <v>5</v>
      </c>
    </row>
    <row r="31" spans="1:20" ht="15.75" thickBot="1" x14ac:dyDescent="0.3">
      <c r="A31" s="35" t="s">
        <v>3</v>
      </c>
      <c r="B31" s="39"/>
      <c r="C31" s="39">
        <v>1</v>
      </c>
      <c r="D31" s="76">
        <v>2</v>
      </c>
      <c r="E31" s="39"/>
      <c r="F31" s="39"/>
      <c r="G31" s="39"/>
      <c r="H31" s="39"/>
      <c r="I31" s="39"/>
      <c r="J31" s="39"/>
      <c r="K31" s="39"/>
      <c r="L31" s="40"/>
      <c r="O31" s="53" t="s">
        <v>42</v>
      </c>
      <c r="P31" s="54">
        <v>1</v>
      </c>
      <c r="Q31" s="54">
        <v>1</v>
      </c>
      <c r="R31" s="87">
        <v>1</v>
      </c>
      <c r="S31" s="54">
        <v>2</v>
      </c>
      <c r="T31" s="55">
        <v>4</v>
      </c>
    </row>
    <row r="32" spans="1:20" ht="15.75" thickBot="1" x14ac:dyDescent="0.3">
      <c r="A32" s="38" t="s">
        <v>50</v>
      </c>
      <c r="B32" s="33"/>
      <c r="C32" s="33">
        <v>1</v>
      </c>
      <c r="D32" s="75">
        <v>2</v>
      </c>
      <c r="E32" s="33"/>
      <c r="F32" s="33"/>
      <c r="G32" s="33"/>
      <c r="H32" s="33"/>
      <c r="I32" s="33"/>
      <c r="J32" s="33"/>
      <c r="K32" s="33"/>
      <c r="L32" s="34"/>
      <c r="O32" s="53" t="s">
        <v>97</v>
      </c>
      <c r="P32" s="94">
        <f>(P28+P29+P30+P31)/4</f>
        <v>1</v>
      </c>
      <c r="Q32" s="94">
        <f t="shared" ref="Q32:T32" si="7">(Q28+Q29+Q30+Q31)/4</f>
        <v>1</v>
      </c>
      <c r="R32" s="94">
        <f t="shared" si="7"/>
        <v>1</v>
      </c>
      <c r="S32" s="94">
        <f t="shared" si="7"/>
        <v>2.75</v>
      </c>
      <c r="T32" s="97">
        <f t="shared" si="7"/>
        <v>4.75</v>
      </c>
    </row>
    <row r="33" spans="1:20" ht="15.75" thickBot="1" x14ac:dyDescent="0.3">
      <c r="A33" s="38" t="s">
        <v>32</v>
      </c>
      <c r="B33" s="36"/>
      <c r="C33" s="36">
        <v>1</v>
      </c>
      <c r="D33" s="75">
        <v>2</v>
      </c>
      <c r="E33" s="36"/>
      <c r="F33" s="36"/>
      <c r="G33" s="36"/>
      <c r="H33" s="36"/>
      <c r="I33" s="36"/>
      <c r="J33" s="36"/>
      <c r="K33" s="36"/>
      <c r="L33" s="37"/>
      <c r="O33" s="163" t="s">
        <v>83</v>
      </c>
      <c r="P33" s="95">
        <f>_xlfn.STDEV.P(P28:P31)</f>
        <v>0</v>
      </c>
      <c r="Q33" s="95">
        <f t="shared" ref="Q33:T33" si="8">_xlfn.STDEV.P(Q28:Q31)</f>
        <v>0</v>
      </c>
      <c r="R33" s="95">
        <f t="shared" si="8"/>
        <v>0</v>
      </c>
      <c r="S33" s="198">
        <f t="shared" si="8"/>
        <v>0.82915619758884995</v>
      </c>
      <c r="T33" s="201">
        <f t="shared" si="8"/>
        <v>1.479019945774904</v>
      </c>
    </row>
    <row r="34" spans="1:20" ht="15.75" thickBot="1" x14ac:dyDescent="0.3">
      <c r="A34" s="41" t="s">
        <v>1</v>
      </c>
      <c r="B34" s="42">
        <v>1</v>
      </c>
      <c r="C34" s="42">
        <v>1</v>
      </c>
      <c r="D34" s="77">
        <v>1</v>
      </c>
      <c r="E34" s="42">
        <v>5</v>
      </c>
      <c r="F34" s="42">
        <v>7</v>
      </c>
      <c r="G34" s="42"/>
      <c r="H34" s="42"/>
      <c r="I34" s="42"/>
      <c r="J34" s="42"/>
      <c r="K34" s="42"/>
      <c r="L34" s="43"/>
      <c r="O34" s="4" t="s">
        <v>44</v>
      </c>
      <c r="P34" s="170">
        <v>1</v>
      </c>
      <c r="Q34" s="170">
        <v>2</v>
      </c>
      <c r="R34" s="208">
        <v>4</v>
      </c>
      <c r="S34" s="170">
        <v>8</v>
      </c>
      <c r="T34" s="209">
        <v>9</v>
      </c>
    </row>
    <row r="35" spans="1:20" ht="15.75" thickBot="1" x14ac:dyDescent="0.3">
      <c r="A35" s="44" t="s">
        <v>6</v>
      </c>
      <c r="B35" s="45">
        <v>1</v>
      </c>
      <c r="C35" s="45">
        <v>1</v>
      </c>
      <c r="D35" s="78">
        <v>2</v>
      </c>
      <c r="E35" s="45">
        <v>2</v>
      </c>
      <c r="F35" s="45">
        <v>4</v>
      </c>
      <c r="G35" s="45"/>
      <c r="H35" s="45"/>
      <c r="I35" s="45"/>
      <c r="J35" s="45"/>
      <c r="K35" s="45"/>
      <c r="L35" s="46"/>
      <c r="O35" s="6" t="s">
        <v>34</v>
      </c>
      <c r="P35" s="169">
        <v>1</v>
      </c>
      <c r="Q35" s="169">
        <v>2</v>
      </c>
      <c r="R35" s="207">
        <v>4</v>
      </c>
      <c r="S35" s="169">
        <v>9</v>
      </c>
      <c r="T35" s="171">
        <v>9</v>
      </c>
    </row>
    <row r="36" spans="1:20" x14ac:dyDescent="0.25">
      <c r="A36" s="44" t="s">
        <v>57</v>
      </c>
      <c r="B36" s="47">
        <v>1</v>
      </c>
      <c r="C36" s="47">
        <v>1</v>
      </c>
      <c r="D36" s="77">
        <v>1</v>
      </c>
      <c r="E36" s="47">
        <v>5</v>
      </c>
      <c r="F36" s="47">
        <v>7</v>
      </c>
      <c r="G36" s="47"/>
      <c r="H36" s="47"/>
      <c r="I36" s="47"/>
      <c r="J36" s="47"/>
      <c r="K36" s="47"/>
      <c r="L36" s="48"/>
      <c r="O36" s="6" t="s">
        <v>21</v>
      </c>
      <c r="P36" s="169">
        <v>1</v>
      </c>
      <c r="Q36" s="169">
        <v>2</v>
      </c>
      <c r="R36" s="207">
        <v>3</v>
      </c>
      <c r="S36" s="169">
        <v>8</v>
      </c>
      <c r="T36" s="171">
        <v>9</v>
      </c>
    </row>
    <row r="37" spans="1:20" ht="15.75" thickBot="1" x14ac:dyDescent="0.3">
      <c r="A37" s="41" t="s">
        <v>51</v>
      </c>
      <c r="B37" s="42">
        <v>1</v>
      </c>
      <c r="C37" s="42">
        <v>1</v>
      </c>
      <c r="D37" s="77">
        <v>1</v>
      </c>
      <c r="E37" s="42">
        <v>2</v>
      </c>
      <c r="F37" s="42">
        <v>4</v>
      </c>
      <c r="G37" s="42"/>
      <c r="H37" s="42"/>
      <c r="I37" s="42"/>
      <c r="J37" s="42"/>
      <c r="K37" s="42"/>
      <c r="L37" s="43"/>
      <c r="O37" s="6" t="s">
        <v>23</v>
      </c>
      <c r="P37" s="169">
        <v>1</v>
      </c>
      <c r="Q37" s="169">
        <v>2</v>
      </c>
      <c r="R37" s="207">
        <v>4</v>
      </c>
      <c r="S37" s="169">
        <v>9</v>
      </c>
      <c r="T37" s="171">
        <v>9</v>
      </c>
    </row>
    <row r="38" spans="1:20" x14ac:dyDescent="0.25">
      <c r="A38" s="49" t="s">
        <v>52</v>
      </c>
      <c r="B38" s="42"/>
      <c r="C38" s="42">
        <v>1</v>
      </c>
      <c r="D38" s="77">
        <v>3</v>
      </c>
      <c r="E38" s="42">
        <v>4</v>
      </c>
      <c r="F38" s="42"/>
      <c r="G38" s="42"/>
      <c r="H38" s="42"/>
      <c r="I38" s="42"/>
      <c r="J38" s="42"/>
      <c r="K38" s="42"/>
      <c r="L38" s="43"/>
      <c r="O38" s="6" t="s">
        <v>97</v>
      </c>
      <c r="P38" s="94">
        <f>(P34+P35+P36+P37)/4</f>
        <v>1</v>
      </c>
      <c r="Q38" s="94">
        <f t="shared" ref="Q38:T38" si="9">(Q34+Q35+Q36+Q37)/4</f>
        <v>2</v>
      </c>
      <c r="R38" s="94">
        <f t="shared" si="9"/>
        <v>3.75</v>
      </c>
      <c r="S38" s="94">
        <f t="shared" si="9"/>
        <v>8.5</v>
      </c>
      <c r="T38" s="97">
        <f t="shared" si="9"/>
        <v>9</v>
      </c>
    </row>
    <row r="39" spans="1:20" ht="15.75" thickBot="1" x14ac:dyDescent="0.3">
      <c r="A39" s="44" t="s">
        <v>36</v>
      </c>
      <c r="B39" s="45"/>
      <c r="C39" s="45">
        <v>1</v>
      </c>
      <c r="D39" s="78">
        <v>1</v>
      </c>
      <c r="E39" s="45">
        <v>2</v>
      </c>
      <c r="F39" s="45"/>
      <c r="G39" s="45"/>
      <c r="H39" s="45"/>
      <c r="I39" s="45"/>
      <c r="J39" s="45"/>
      <c r="K39" s="45"/>
      <c r="L39" s="46"/>
      <c r="O39" s="3" t="s">
        <v>83</v>
      </c>
      <c r="P39" s="98">
        <f>_xlfn.STDEV.P(P34:P37)</f>
        <v>0</v>
      </c>
      <c r="Q39" s="98">
        <f t="shared" ref="Q39:T39" si="10">_xlfn.STDEV.P(Q34:Q37)</f>
        <v>0</v>
      </c>
      <c r="R39" s="197">
        <f t="shared" si="10"/>
        <v>0.4330127018922193</v>
      </c>
      <c r="S39" s="98">
        <f t="shared" si="10"/>
        <v>0.5</v>
      </c>
      <c r="T39" s="99">
        <f t="shared" si="10"/>
        <v>0</v>
      </c>
    </row>
    <row r="40" spans="1:20" x14ac:dyDescent="0.25">
      <c r="A40" s="49" t="s">
        <v>8</v>
      </c>
      <c r="B40" s="47"/>
      <c r="C40" s="47">
        <v>1</v>
      </c>
      <c r="D40" s="77">
        <v>2</v>
      </c>
      <c r="E40" s="47">
        <v>2</v>
      </c>
      <c r="F40" s="47"/>
      <c r="G40" s="47"/>
      <c r="H40" s="47"/>
      <c r="I40" s="47"/>
      <c r="J40" s="47"/>
      <c r="K40" s="47"/>
      <c r="L40" s="48"/>
    </row>
    <row r="41" spans="1:20" x14ac:dyDescent="0.25">
      <c r="A41" s="44" t="s">
        <v>41</v>
      </c>
      <c r="B41" s="42"/>
      <c r="C41" s="42">
        <v>1</v>
      </c>
      <c r="D41" s="77">
        <v>1</v>
      </c>
      <c r="E41" s="42"/>
      <c r="F41" s="42"/>
      <c r="G41" s="42"/>
      <c r="H41" s="42"/>
      <c r="I41" s="42"/>
      <c r="J41" s="42"/>
      <c r="K41" s="42"/>
      <c r="L41" s="43"/>
    </row>
    <row r="42" spans="1:20" x14ac:dyDescent="0.25">
      <c r="A42" s="44" t="s">
        <v>55</v>
      </c>
      <c r="B42" s="42"/>
      <c r="C42" s="42">
        <v>1</v>
      </c>
      <c r="D42" s="77">
        <v>3</v>
      </c>
      <c r="E42" s="42"/>
      <c r="F42" s="42"/>
      <c r="G42" s="42"/>
      <c r="H42" s="42"/>
      <c r="I42" s="42"/>
      <c r="J42" s="42"/>
      <c r="K42" s="42"/>
      <c r="L42" s="43"/>
    </row>
    <row r="43" spans="1:20" x14ac:dyDescent="0.25">
      <c r="A43" s="44" t="s">
        <v>33</v>
      </c>
      <c r="B43" s="45"/>
      <c r="C43" s="45">
        <v>1</v>
      </c>
      <c r="D43" s="78">
        <v>2</v>
      </c>
      <c r="E43" s="45"/>
      <c r="F43" s="45"/>
      <c r="G43" s="45"/>
      <c r="H43" s="45"/>
      <c r="I43" s="45"/>
      <c r="J43" s="45"/>
      <c r="K43" s="45"/>
      <c r="L43" s="46"/>
    </row>
    <row r="44" spans="1:20" x14ac:dyDescent="0.25">
      <c r="A44" s="50" t="s">
        <v>27</v>
      </c>
      <c r="B44" s="51">
        <v>1</v>
      </c>
      <c r="C44" s="51">
        <v>1</v>
      </c>
      <c r="D44" s="79">
        <v>1</v>
      </c>
      <c r="E44" s="51">
        <v>2</v>
      </c>
      <c r="F44" s="51">
        <v>3</v>
      </c>
      <c r="G44" s="51"/>
      <c r="H44" s="51"/>
      <c r="I44" s="51"/>
      <c r="J44" s="51"/>
      <c r="K44" s="51"/>
      <c r="L44" s="52"/>
    </row>
    <row r="45" spans="1:20" x14ac:dyDescent="0.25">
      <c r="A45" s="53" t="s">
        <v>22</v>
      </c>
      <c r="B45" s="54">
        <v>1</v>
      </c>
      <c r="C45" s="54">
        <v>1</v>
      </c>
      <c r="D45" s="79">
        <v>1</v>
      </c>
      <c r="E45" s="54">
        <v>4</v>
      </c>
      <c r="F45" s="54">
        <v>7</v>
      </c>
      <c r="G45" s="54"/>
      <c r="H45" s="54"/>
      <c r="I45" s="54"/>
      <c r="J45" s="54"/>
      <c r="K45" s="54"/>
      <c r="L45" s="55"/>
    </row>
    <row r="46" spans="1:20" x14ac:dyDescent="0.25">
      <c r="A46" s="53" t="s">
        <v>15</v>
      </c>
      <c r="B46" s="54">
        <v>1</v>
      </c>
      <c r="C46" s="54">
        <v>1</v>
      </c>
      <c r="D46" s="79">
        <v>1</v>
      </c>
      <c r="E46" s="54">
        <v>3</v>
      </c>
      <c r="F46" s="54">
        <v>5</v>
      </c>
      <c r="G46" s="54"/>
      <c r="H46" s="54"/>
      <c r="I46" s="54"/>
      <c r="J46" s="54"/>
      <c r="K46" s="54"/>
      <c r="L46" s="55"/>
    </row>
    <row r="47" spans="1:20" x14ac:dyDescent="0.25">
      <c r="A47" s="50" t="s">
        <v>42</v>
      </c>
      <c r="B47" s="56">
        <v>1</v>
      </c>
      <c r="C47" s="56">
        <v>1</v>
      </c>
      <c r="D47" s="80">
        <v>1</v>
      </c>
      <c r="E47" s="56">
        <v>2</v>
      </c>
      <c r="F47" s="56">
        <v>4</v>
      </c>
      <c r="G47" s="56"/>
      <c r="H47" s="56"/>
      <c r="I47" s="56"/>
      <c r="J47" s="56"/>
      <c r="K47" s="56"/>
      <c r="L47" s="57"/>
    </row>
    <row r="48" spans="1:20" x14ac:dyDescent="0.25">
      <c r="A48" s="53" t="s">
        <v>28</v>
      </c>
      <c r="B48" s="51"/>
      <c r="C48" s="51">
        <v>1</v>
      </c>
      <c r="D48" s="79">
        <v>1</v>
      </c>
      <c r="E48" s="51">
        <v>2</v>
      </c>
      <c r="F48" s="51"/>
      <c r="G48" s="51"/>
      <c r="H48" s="51"/>
      <c r="I48" s="51"/>
      <c r="J48" s="51"/>
      <c r="K48" s="51"/>
      <c r="L48" s="52"/>
    </row>
    <row r="49" spans="1:12" x14ac:dyDescent="0.25">
      <c r="A49" s="58" t="s">
        <v>47</v>
      </c>
      <c r="B49" s="54"/>
      <c r="C49" s="54">
        <v>1</v>
      </c>
      <c r="D49" s="79">
        <v>1</v>
      </c>
      <c r="E49" s="54">
        <v>3</v>
      </c>
      <c r="F49" s="54"/>
      <c r="G49" s="54"/>
      <c r="H49" s="54"/>
      <c r="I49" s="54"/>
      <c r="J49" s="54"/>
      <c r="K49" s="54"/>
      <c r="L49" s="55"/>
    </row>
    <row r="50" spans="1:12" x14ac:dyDescent="0.25">
      <c r="A50" s="53" t="s">
        <v>13</v>
      </c>
      <c r="B50" s="54"/>
      <c r="C50" s="54">
        <v>1</v>
      </c>
      <c r="D50" s="79">
        <v>1</v>
      </c>
      <c r="E50" s="54">
        <v>3</v>
      </c>
      <c r="F50" s="54"/>
      <c r="G50" s="54"/>
      <c r="H50" s="54"/>
      <c r="I50" s="54"/>
      <c r="J50" s="54"/>
      <c r="K50" s="54"/>
      <c r="L50" s="55"/>
    </row>
    <row r="51" spans="1:12" x14ac:dyDescent="0.25">
      <c r="A51" s="53" t="s">
        <v>26</v>
      </c>
      <c r="B51" s="56"/>
      <c r="C51" s="56">
        <v>1</v>
      </c>
      <c r="D51" s="80">
        <v>1</v>
      </c>
      <c r="E51" s="56"/>
      <c r="F51" s="56"/>
      <c r="G51" s="56"/>
      <c r="H51" s="56"/>
      <c r="I51" s="56"/>
      <c r="J51" s="56"/>
      <c r="K51" s="56"/>
      <c r="L51" s="57"/>
    </row>
    <row r="52" spans="1:12" x14ac:dyDescent="0.25">
      <c r="A52" s="50" t="s">
        <v>11</v>
      </c>
      <c r="B52" s="51"/>
      <c r="C52" s="51">
        <v>1</v>
      </c>
      <c r="D52" s="79">
        <v>1</v>
      </c>
      <c r="E52" s="51"/>
      <c r="F52" s="51"/>
      <c r="G52" s="51"/>
      <c r="H52" s="51"/>
      <c r="I52" s="51"/>
      <c r="J52" s="51"/>
      <c r="K52" s="51"/>
      <c r="L52" s="52"/>
    </row>
    <row r="53" spans="1:12" x14ac:dyDescent="0.25">
      <c r="A53" s="50" t="s">
        <v>58</v>
      </c>
      <c r="B53" s="54"/>
      <c r="C53" s="54">
        <v>1</v>
      </c>
      <c r="D53" s="79">
        <v>1</v>
      </c>
      <c r="E53" s="54"/>
      <c r="F53" s="54"/>
      <c r="G53" s="54"/>
      <c r="H53" s="54"/>
      <c r="I53" s="54"/>
      <c r="J53" s="54"/>
      <c r="K53" s="54"/>
      <c r="L53" s="55"/>
    </row>
    <row r="54" spans="1:12" x14ac:dyDescent="0.25">
      <c r="A54" s="4" t="s">
        <v>44</v>
      </c>
      <c r="B54" s="4">
        <v>1</v>
      </c>
      <c r="C54" s="4">
        <v>2</v>
      </c>
      <c r="D54" s="81">
        <v>4</v>
      </c>
      <c r="E54" s="4">
        <v>8</v>
      </c>
      <c r="F54" s="4">
        <v>9</v>
      </c>
      <c r="G54" s="4"/>
      <c r="H54" s="4"/>
      <c r="I54" s="4"/>
      <c r="J54" s="4"/>
      <c r="K54" s="4"/>
      <c r="L54" s="4"/>
    </row>
    <row r="55" spans="1:12" x14ac:dyDescent="0.25">
      <c r="A55" s="6" t="s">
        <v>34</v>
      </c>
      <c r="B55" s="6">
        <v>1</v>
      </c>
      <c r="C55" s="6">
        <v>2</v>
      </c>
      <c r="D55" s="82">
        <v>4</v>
      </c>
      <c r="E55" s="6">
        <v>9</v>
      </c>
      <c r="F55" s="6">
        <v>9</v>
      </c>
      <c r="G55" s="6"/>
      <c r="H55" s="6"/>
      <c r="I55" s="6"/>
      <c r="J55" s="6"/>
      <c r="K55" s="6"/>
      <c r="L55" s="6"/>
    </row>
    <row r="56" spans="1:12" x14ac:dyDescent="0.25">
      <c r="A56" s="3" t="s">
        <v>21</v>
      </c>
      <c r="B56" s="3">
        <v>1</v>
      </c>
      <c r="C56" s="3">
        <v>2</v>
      </c>
      <c r="D56" s="83">
        <v>3</v>
      </c>
      <c r="E56" s="3">
        <v>8</v>
      </c>
      <c r="F56" s="3">
        <v>9</v>
      </c>
      <c r="G56" s="3"/>
      <c r="H56" s="3"/>
      <c r="I56" s="3"/>
      <c r="J56" s="3"/>
      <c r="K56" s="3"/>
      <c r="L56" s="3"/>
    </row>
    <row r="57" spans="1:12" x14ac:dyDescent="0.25">
      <c r="A57" s="4" t="s">
        <v>23</v>
      </c>
      <c r="B57" s="4">
        <v>1</v>
      </c>
      <c r="C57" s="4">
        <v>2</v>
      </c>
      <c r="D57" s="82">
        <v>4</v>
      </c>
      <c r="E57" s="4">
        <v>9</v>
      </c>
      <c r="F57" s="4">
        <v>9</v>
      </c>
      <c r="G57" s="4"/>
      <c r="H57" s="4"/>
      <c r="I57" s="4"/>
      <c r="J57" s="4"/>
      <c r="K57" s="4"/>
      <c r="L57" s="4"/>
    </row>
    <row r="58" spans="1:12" x14ac:dyDescent="0.25">
      <c r="A58" s="6" t="s">
        <v>16</v>
      </c>
      <c r="B58" s="6"/>
      <c r="C58" s="6">
        <v>2</v>
      </c>
      <c r="D58" s="82">
        <v>4</v>
      </c>
      <c r="E58" s="6">
        <v>8</v>
      </c>
      <c r="F58" s="6"/>
      <c r="G58" s="6"/>
      <c r="H58" s="6"/>
      <c r="I58" s="6"/>
      <c r="J58" s="6"/>
      <c r="K58" s="6"/>
      <c r="L58" s="6"/>
    </row>
    <row r="59" spans="1:12" x14ac:dyDescent="0.25">
      <c r="A59" s="4" t="s">
        <v>17</v>
      </c>
      <c r="B59" s="4"/>
      <c r="C59" s="4">
        <v>2</v>
      </c>
      <c r="D59" s="81">
        <v>4</v>
      </c>
      <c r="E59" s="4">
        <v>8</v>
      </c>
      <c r="F59" s="4"/>
      <c r="G59" s="4"/>
      <c r="H59" s="4"/>
      <c r="I59" s="4"/>
      <c r="J59" s="4"/>
      <c r="K59" s="4"/>
      <c r="L59" s="4"/>
    </row>
    <row r="60" spans="1:12" x14ac:dyDescent="0.25">
      <c r="A60" s="6" t="s">
        <v>53</v>
      </c>
      <c r="B60" s="6"/>
      <c r="C60" s="6">
        <v>2</v>
      </c>
      <c r="D60" s="82">
        <v>3</v>
      </c>
      <c r="E60" s="6">
        <v>8</v>
      </c>
      <c r="F60" s="6"/>
      <c r="G60" s="6"/>
      <c r="H60" s="6"/>
      <c r="I60" s="6"/>
      <c r="J60" s="6"/>
      <c r="K60" s="6"/>
      <c r="L60" s="6"/>
    </row>
    <row r="61" spans="1:12" x14ac:dyDescent="0.25">
      <c r="A61" s="6" t="s">
        <v>49</v>
      </c>
      <c r="B61" s="6"/>
      <c r="C61" s="6">
        <v>2</v>
      </c>
      <c r="D61" s="82">
        <v>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" t="s">
        <v>30</v>
      </c>
      <c r="B62" s="4"/>
      <c r="C62" s="4">
        <v>2</v>
      </c>
      <c r="D62" s="81">
        <v>4</v>
      </c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4" t="s">
        <v>54</v>
      </c>
      <c r="B63" s="4"/>
      <c r="C63" s="4">
        <v>2</v>
      </c>
      <c r="D63" s="81">
        <v>3</v>
      </c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7"/>
      <c r="D64" s="84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7"/>
  <sheetViews>
    <sheetView topLeftCell="L1" zoomScale="95" zoomScaleNormal="130" workbookViewId="0">
      <selection activeCell="AI34" sqref="AI34"/>
    </sheetView>
  </sheetViews>
  <sheetFormatPr baseColWidth="10" defaultColWidth="11.42578125" defaultRowHeight="15" x14ac:dyDescent="0.25"/>
  <cols>
    <col min="6" max="6" width="11.42578125" customWidth="1"/>
    <col min="7" max="7" width="8.85546875" style="211" customWidth="1"/>
    <col min="8" max="8" width="16.42578125" customWidth="1"/>
    <col min="13" max="13" width="13.5703125" bestFit="1" customWidth="1"/>
    <col min="27" max="27" width="11.42578125" customWidth="1"/>
    <col min="28" max="28" width="12.5703125" customWidth="1"/>
  </cols>
  <sheetData>
    <row r="1" spans="1:33" x14ac:dyDescent="0.25">
      <c r="A1" s="11"/>
      <c r="B1" s="67" t="s">
        <v>98</v>
      </c>
      <c r="C1" s="67"/>
      <c r="D1" s="68" t="s">
        <v>91</v>
      </c>
      <c r="E1" s="67"/>
      <c r="F1" s="67"/>
      <c r="G1" s="226"/>
      <c r="H1" s="67"/>
      <c r="I1" s="67"/>
      <c r="J1" s="67"/>
      <c r="K1" s="67"/>
      <c r="L1" s="67"/>
      <c r="M1" s="67"/>
    </row>
    <row r="2" spans="1:33" ht="15.75" thickBot="1" x14ac:dyDescent="0.3">
      <c r="A2" s="12"/>
      <c r="B2" s="13"/>
      <c r="C2" s="13"/>
      <c r="D2" s="69" t="s">
        <v>91</v>
      </c>
      <c r="E2" s="13"/>
      <c r="F2" s="13"/>
      <c r="G2" s="227"/>
    </row>
    <row r="3" spans="1:33" ht="15.75" thickBot="1" x14ac:dyDescent="0.3">
      <c r="A3" s="15"/>
      <c r="B3" s="16" t="s">
        <v>75</v>
      </c>
      <c r="C3" s="16" t="s">
        <v>76</v>
      </c>
      <c r="D3" s="70">
        <v>44890</v>
      </c>
      <c r="E3" s="16" t="s">
        <v>78</v>
      </c>
      <c r="F3" s="16" t="s">
        <v>79</v>
      </c>
      <c r="G3" s="228"/>
      <c r="I3" s="15"/>
      <c r="J3" s="16" t="s">
        <v>75</v>
      </c>
      <c r="K3" s="16" t="s">
        <v>76</v>
      </c>
      <c r="L3" s="16" t="s">
        <v>77</v>
      </c>
      <c r="M3" s="16" t="s">
        <v>78</v>
      </c>
      <c r="N3" s="16" t="s">
        <v>79</v>
      </c>
      <c r="O3" s="94"/>
      <c r="P3" s="230" t="s">
        <v>75</v>
      </c>
      <c r="Q3" s="230" t="s">
        <v>76</v>
      </c>
      <c r="R3" s="230" t="s">
        <v>77</v>
      </c>
      <c r="S3" s="230" t="s">
        <v>78</v>
      </c>
      <c r="T3" s="230" t="s">
        <v>79</v>
      </c>
    </row>
    <row r="4" spans="1:33" x14ac:dyDescent="0.25">
      <c r="A4" s="1" t="s">
        <v>0</v>
      </c>
      <c r="B4" s="19">
        <v>1</v>
      </c>
      <c r="C4" s="19">
        <v>3</v>
      </c>
      <c r="D4" s="71">
        <v>5</v>
      </c>
      <c r="E4" s="19">
        <v>5</v>
      </c>
      <c r="F4" s="19">
        <v>4</v>
      </c>
      <c r="G4" s="229"/>
      <c r="H4" s="225" t="s">
        <v>81</v>
      </c>
      <c r="I4" s="1" t="s">
        <v>0</v>
      </c>
      <c r="J4" s="19">
        <v>1</v>
      </c>
      <c r="K4" s="19">
        <v>3</v>
      </c>
      <c r="L4" s="71">
        <v>5</v>
      </c>
      <c r="M4" s="19">
        <v>5</v>
      </c>
      <c r="N4" s="19">
        <v>4</v>
      </c>
      <c r="O4" s="7" t="s">
        <v>81</v>
      </c>
      <c r="P4" s="94">
        <v>1</v>
      </c>
      <c r="Q4" s="94">
        <v>3</v>
      </c>
      <c r="R4" s="215">
        <v>4.7</v>
      </c>
      <c r="S4" s="215">
        <v>3.8571428571428572</v>
      </c>
      <c r="T4" s="94">
        <v>2.75</v>
      </c>
    </row>
    <row r="5" spans="1:33" x14ac:dyDescent="0.25">
      <c r="A5" s="2" t="s">
        <v>10</v>
      </c>
      <c r="B5" s="21">
        <v>1</v>
      </c>
      <c r="C5" s="21">
        <v>3</v>
      </c>
      <c r="D5" s="71">
        <v>5</v>
      </c>
      <c r="E5" s="21">
        <v>3</v>
      </c>
      <c r="F5" s="21">
        <v>2</v>
      </c>
      <c r="G5" s="229"/>
      <c r="H5" s="225"/>
      <c r="I5" s="2" t="s">
        <v>10</v>
      </c>
      <c r="J5" s="21">
        <v>1</v>
      </c>
      <c r="K5" s="21">
        <v>3</v>
      </c>
      <c r="L5" s="71">
        <v>5</v>
      </c>
      <c r="M5" s="21">
        <v>3</v>
      </c>
      <c r="N5" s="21">
        <v>2</v>
      </c>
      <c r="O5" s="7" t="s">
        <v>109</v>
      </c>
      <c r="P5" s="94">
        <v>1</v>
      </c>
      <c r="Q5" s="94">
        <v>4</v>
      </c>
      <c r="R5" s="94">
        <v>4.9000000000000004</v>
      </c>
      <c r="S5" s="94">
        <v>4.5714285714285712</v>
      </c>
      <c r="T5" s="94">
        <v>4.5</v>
      </c>
    </row>
    <row r="6" spans="1:33" ht="15.75" thickBot="1" x14ac:dyDescent="0.3">
      <c r="A6" s="5" t="s">
        <v>5</v>
      </c>
      <c r="B6" s="21">
        <v>1</v>
      </c>
      <c r="C6" s="21">
        <v>3</v>
      </c>
      <c r="D6" s="71">
        <v>5</v>
      </c>
      <c r="E6" s="21">
        <v>4</v>
      </c>
      <c r="F6" s="21">
        <v>2</v>
      </c>
      <c r="G6" s="229"/>
      <c r="H6" s="225"/>
      <c r="I6" s="5" t="s">
        <v>5</v>
      </c>
      <c r="J6" s="21">
        <v>1</v>
      </c>
      <c r="K6" s="21">
        <v>3</v>
      </c>
      <c r="L6" s="71">
        <v>5</v>
      </c>
      <c r="M6" s="21">
        <v>4</v>
      </c>
      <c r="N6" s="21">
        <v>2</v>
      </c>
      <c r="O6" s="7" t="s">
        <v>85</v>
      </c>
      <c r="P6" s="94">
        <v>1</v>
      </c>
      <c r="Q6" s="94">
        <v>2</v>
      </c>
      <c r="R6" s="94">
        <v>2</v>
      </c>
      <c r="S6" s="94">
        <v>3</v>
      </c>
      <c r="T6" s="94">
        <v>2</v>
      </c>
    </row>
    <row r="7" spans="1:33" ht="15.75" thickBot="1" x14ac:dyDescent="0.3">
      <c r="A7" s="5" t="s">
        <v>56</v>
      </c>
      <c r="B7" s="19">
        <v>1</v>
      </c>
      <c r="C7" s="19">
        <v>3</v>
      </c>
      <c r="D7" s="72">
        <v>4</v>
      </c>
      <c r="E7" s="19">
        <v>2</v>
      </c>
      <c r="F7" s="19">
        <v>3</v>
      </c>
      <c r="G7" s="229"/>
      <c r="H7" s="225"/>
      <c r="I7" s="5" t="s">
        <v>56</v>
      </c>
      <c r="J7" s="19">
        <v>1</v>
      </c>
      <c r="K7" s="19">
        <v>3</v>
      </c>
      <c r="L7" s="72">
        <v>4</v>
      </c>
      <c r="M7" s="19">
        <v>2</v>
      </c>
      <c r="N7" s="19">
        <v>3</v>
      </c>
      <c r="O7" s="7" t="s">
        <v>102</v>
      </c>
      <c r="P7" s="94">
        <v>1</v>
      </c>
      <c r="Q7" s="94">
        <v>6</v>
      </c>
      <c r="R7" s="94">
        <v>6</v>
      </c>
      <c r="S7" s="94">
        <v>5</v>
      </c>
      <c r="T7" s="94">
        <v>2</v>
      </c>
    </row>
    <row r="8" spans="1:33" ht="15.75" thickBot="1" x14ac:dyDescent="0.3">
      <c r="A8" s="5" t="s">
        <v>29</v>
      </c>
      <c r="B8" s="19">
        <v>1</v>
      </c>
      <c r="C8" s="21">
        <v>3</v>
      </c>
      <c r="D8" s="71">
        <v>4</v>
      </c>
      <c r="E8" s="21">
        <v>4</v>
      </c>
      <c r="F8" s="21"/>
      <c r="G8" s="229"/>
      <c r="H8" s="225"/>
      <c r="I8" s="5" t="s">
        <v>29</v>
      </c>
      <c r="J8" s="19">
        <v>1</v>
      </c>
      <c r="K8" s="21">
        <v>3</v>
      </c>
      <c r="L8" s="71">
        <v>4</v>
      </c>
      <c r="M8" s="21">
        <v>4</v>
      </c>
      <c r="N8" s="21"/>
      <c r="O8" s="7" t="s">
        <v>108</v>
      </c>
      <c r="P8" s="94">
        <v>1</v>
      </c>
      <c r="Q8" s="94">
        <v>4</v>
      </c>
      <c r="R8" s="94">
        <v>5</v>
      </c>
      <c r="S8" s="94">
        <v>3</v>
      </c>
      <c r="T8" s="94">
        <v>3</v>
      </c>
    </row>
    <row r="9" spans="1:33" ht="15.75" thickBot="1" x14ac:dyDescent="0.3">
      <c r="A9" s="5" t="s">
        <v>24</v>
      </c>
      <c r="B9" s="19">
        <v>1</v>
      </c>
      <c r="C9" s="21">
        <v>3</v>
      </c>
      <c r="D9" s="71">
        <v>4</v>
      </c>
      <c r="E9" s="21">
        <v>5</v>
      </c>
      <c r="F9" s="21"/>
      <c r="G9" s="229"/>
      <c r="H9" s="225"/>
      <c r="I9" s="5" t="s">
        <v>24</v>
      </c>
      <c r="J9" s="19">
        <v>1</v>
      </c>
      <c r="K9" s="21">
        <v>3</v>
      </c>
      <c r="L9" s="71">
        <v>4</v>
      </c>
      <c r="M9" s="21">
        <v>5</v>
      </c>
      <c r="N9" s="21"/>
    </row>
    <row r="10" spans="1:33" ht="15.75" thickBot="1" x14ac:dyDescent="0.3">
      <c r="A10" s="5" t="s">
        <v>9</v>
      </c>
      <c r="B10" s="19">
        <v>1</v>
      </c>
      <c r="C10" s="19">
        <v>3</v>
      </c>
      <c r="D10" s="72">
        <v>5</v>
      </c>
      <c r="E10" s="19">
        <v>4</v>
      </c>
      <c r="F10" s="19"/>
      <c r="G10" s="229"/>
      <c r="H10" s="225"/>
      <c r="I10" s="5" t="s">
        <v>9</v>
      </c>
      <c r="J10" s="19">
        <v>1</v>
      </c>
      <c r="K10" s="19">
        <v>3</v>
      </c>
      <c r="L10" s="72">
        <v>5</v>
      </c>
      <c r="M10" s="19">
        <v>4</v>
      </c>
      <c r="N10" s="19"/>
      <c r="AB10" s="94"/>
      <c r="AC10" s="230" t="s">
        <v>75</v>
      </c>
      <c r="AD10" s="230" t="s">
        <v>76</v>
      </c>
      <c r="AE10" s="230" t="s">
        <v>77</v>
      </c>
      <c r="AF10" s="230" t="s">
        <v>78</v>
      </c>
      <c r="AG10" s="230" t="s">
        <v>79</v>
      </c>
    </row>
    <row r="11" spans="1:33" ht="15.75" thickBot="1" x14ac:dyDescent="0.3">
      <c r="A11" s="5" t="s">
        <v>14</v>
      </c>
      <c r="B11" s="21">
        <v>1</v>
      </c>
      <c r="C11" s="21">
        <v>3</v>
      </c>
      <c r="D11" s="71">
        <v>5</v>
      </c>
      <c r="E11" s="21"/>
      <c r="F11" s="21"/>
      <c r="G11" s="229"/>
      <c r="H11" s="225"/>
      <c r="I11" s="5" t="s">
        <v>14</v>
      </c>
      <c r="J11" s="21">
        <v>1</v>
      </c>
      <c r="K11" s="21">
        <v>3</v>
      </c>
      <c r="L11" s="71">
        <v>5</v>
      </c>
      <c r="M11" s="21"/>
      <c r="N11" s="21"/>
      <c r="AB11" s="7" t="s">
        <v>81</v>
      </c>
      <c r="AC11" s="94">
        <v>0</v>
      </c>
      <c r="AD11" s="94">
        <v>8</v>
      </c>
      <c r="AE11" s="94">
        <v>7</v>
      </c>
      <c r="AF11" s="94">
        <v>6</v>
      </c>
      <c r="AG11" s="94">
        <v>6</v>
      </c>
    </row>
    <row r="12" spans="1:33" ht="15.75" thickBot="1" x14ac:dyDescent="0.3">
      <c r="A12" s="5" t="s">
        <v>31</v>
      </c>
      <c r="B12" s="21">
        <v>1</v>
      </c>
      <c r="C12" s="21">
        <v>3</v>
      </c>
      <c r="D12" s="71">
        <v>5</v>
      </c>
      <c r="E12" s="21"/>
      <c r="F12" s="21"/>
      <c r="G12" s="229"/>
      <c r="H12" s="225"/>
      <c r="I12" s="5" t="s">
        <v>31</v>
      </c>
      <c r="J12" s="21">
        <v>1</v>
      </c>
      <c r="K12" s="21">
        <v>3</v>
      </c>
      <c r="L12" s="71">
        <v>5</v>
      </c>
      <c r="M12" s="21"/>
      <c r="N12" s="21"/>
      <c r="AB12" s="7" t="s">
        <v>109</v>
      </c>
      <c r="AC12" s="94">
        <v>0</v>
      </c>
      <c r="AD12" s="94">
        <v>10</v>
      </c>
      <c r="AE12" s="94">
        <v>11</v>
      </c>
      <c r="AF12" s="94">
        <v>11</v>
      </c>
      <c r="AG12" s="94">
        <v>8</v>
      </c>
    </row>
    <row r="13" spans="1:33" ht="15.75" thickBot="1" x14ac:dyDescent="0.3">
      <c r="A13" s="5" t="s">
        <v>25</v>
      </c>
      <c r="B13" s="19">
        <v>1</v>
      </c>
      <c r="C13" s="21">
        <v>3</v>
      </c>
      <c r="D13" s="71">
        <v>5</v>
      </c>
      <c r="E13" s="21"/>
      <c r="F13" s="21"/>
      <c r="G13" s="229"/>
      <c r="H13" s="225"/>
      <c r="I13" s="5" t="s">
        <v>25</v>
      </c>
      <c r="J13" s="19">
        <v>1</v>
      </c>
      <c r="K13" s="21">
        <v>3</v>
      </c>
      <c r="L13" s="71">
        <v>5</v>
      </c>
      <c r="M13" s="21"/>
      <c r="N13" s="21"/>
      <c r="AB13" s="7" t="s">
        <v>85</v>
      </c>
      <c r="AC13" s="94">
        <v>0</v>
      </c>
      <c r="AD13" s="94">
        <v>5</v>
      </c>
      <c r="AE13" s="94">
        <v>6</v>
      </c>
      <c r="AF13" s="94">
        <v>6</v>
      </c>
      <c r="AG13" s="94">
        <v>2</v>
      </c>
    </row>
    <row r="14" spans="1:33" x14ac:dyDescent="0.25">
      <c r="A14" s="23" t="s">
        <v>45</v>
      </c>
      <c r="B14" s="24">
        <v>1</v>
      </c>
      <c r="C14" s="24">
        <v>4</v>
      </c>
      <c r="D14" s="73">
        <v>4</v>
      </c>
      <c r="E14" s="24">
        <v>4</v>
      </c>
      <c r="F14" s="24">
        <v>4</v>
      </c>
      <c r="G14" s="229"/>
      <c r="H14" s="225"/>
      <c r="I14" s="224" t="s">
        <v>99</v>
      </c>
      <c r="J14">
        <f>AVERAGE(J4:J13)</f>
        <v>1</v>
      </c>
      <c r="K14">
        <f>AVERAGE(K4:K13)</f>
        <v>3</v>
      </c>
      <c r="L14" s="210">
        <f>AVERAGE(L4:L13)</f>
        <v>4.7</v>
      </c>
      <c r="M14" s="210">
        <f>AVERAGE(M4:M10)</f>
        <v>3.8571428571428572</v>
      </c>
      <c r="N14">
        <f>AVERAGE(N4:N7)</f>
        <v>2.75</v>
      </c>
      <c r="AB14" s="7" t="s">
        <v>102</v>
      </c>
      <c r="AC14" s="94">
        <v>0</v>
      </c>
      <c r="AD14" s="94">
        <v>20</v>
      </c>
      <c r="AE14" s="94">
        <v>22</v>
      </c>
      <c r="AF14" s="94">
        <v>15</v>
      </c>
      <c r="AG14" s="94">
        <v>9</v>
      </c>
    </row>
    <row r="15" spans="1:33" ht="15.75" thickBot="1" x14ac:dyDescent="0.3">
      <c r="A15" s="26" t="s">
        <v>40</v>
      </c>
      <c r="B15" s="27">
        <v>1</v>
      </c>
      <c r="C15" s="27">
        <v>4</v>
      </c>
      <c r="D15" s="74">
        <v>5</v>
      </c>
      <c r="E15" s="27">
        <v>4</v>
      </c>
      <c r="F15" s="27">
        <v>5</v>
      </c>
      <c r="G15" s="229"/>
      <c r="H15" s="225"/>
      <c r="I15" s="224" t="s">
        <v>100</v>
      </c>
      <c r="J15">
        <f>STDEV(J4:J13)</f>
        <v>0</v>
      </c>
      <c r="K15">
        <f>_xlfn.STDEV.P(K4:K13)</f>
        <v>0</v>
      </c>
      <c r="L15" s="210">
        <f>_xlfn.STDEV.P(L4:L13)</f>
        <v>0.45825756949558405</v>
      </c>
      <c r="M15" s="210">
        <f>_xlfn.STDEV.P(M4:M10)</f>
        <v>0.98974331861078702</v>
      </c>
      <c r="N15" s="210">
        <f>_xlfn.STDEV.P(N4:N7)</f>
        <v>0.82915619758884995</v>
      </c>
      <c r="AB15" s="7" t="s">
        <v>108</v>
      </c>
      <c r="AC15" s="94">
        <v>0</v>
      </c>
      <c r="AD15" s="94">
        <v>13</v>
      </c>
      <c r="AE15" s="94">
        <v>14</v>
      </c>
      <c r="AF15" s="94">
        <v>7</v>
      </c>
      <c r="AG15" s="94">
        <v>4</v>
      </c>
    </row>
    <row r="16" spans="1:33" ht="15.75" thickBot="1" x14ac:dyDescent="0.3">
      <c r="A16" s="29" t="s">
        <v>35</v>
      </c>
      <c r="B16" s="30">
        <v>1</v>
      </c>
      <c r="C16" s="30">
        <v>4</v>
      </c>
      <c r="D16" s="73">
        <v>5</v>
      </c>
      <c r="E16" s="30">
        <v>4</v>
      </c>
      <c r="F16" s="30">
        <v>4</v>
      </c>
      <c r="G16" s="229"/>
      <c r="H16" s="225"/>
    </row>
    <row r="17" spans="1:17" x14ac:dyDescent="0.25">
      <c r="A17" s="23" t="s">
        <v>12</v>
      </c>
      <c r="B17" s="24">
        <v>1</v>
      </c>
      <c r="C17" s="24">
        <v>4</v>
      </c>
      <c r="D17" s="73">
        <v>5</v>
      </c>
      <c r="E17" s="24">
        <v>6</v>
      </c>
      <c r="F17" s="24">
        <v>5</v>
      </c>
      <c r="G17" s="229"/>
      <c r="H17" s="225" t="s">
        <v>84</v>
      </c>
      <c r="I17" s="23" t="s">
        <v>45</v>
      </c>
      <c r="J17" s="24">
        <v>1</v>
      </c>
      <c r="K17" s="24">
        <v>4</v>
      </c>
      <c r="L17" s="73">
        <v>4</v>
      </c>
      <c r="M17" s="24">
        <v>4</v>
      </c>
      <c r="N17" s="24">
        <v>4</v>
      </c>
    </row>
    <row r="18" spans="1:17" ht="15.75" thickBot="1" x14ac:dyDescent="0.3">
      <c r="A18" s="26" t="s">
        <v>19</v>
      </c>
      <c r="B18" s="24">
        <v>1</v>
      </c>
      <c r="C18" s="24">
        <v>4</v>
      </c>
      <c r="D18" s="73">
        <v>5</v>
      </c>
      <c r="E18" s="24">
        <v>4</v>
      </c>
      <c r="F18" s="24"/>
      <c r="G18" s="229"/>
      <c r="H18" s="225"/>
      <c r="I18" s="26" t="s">
        <v>40</v>
      </c>
      <c r="J18" s="27">
        <v>1</v>
      </c>
      <c r="K18" s="27">
        <v>4</v>
      </c>
      <c r="L18" s="74">
        <v>5</v>
      </c>
      <c r="M18" s="27">
        <v>4</v>
      </c>
      <c r="N18" s="27">
        <v>5</v>
      </c>
    </row>
    <row r="19" spans="1:17" ht="15.75" thickBot="1" x14ac:dyDescent="0.3">
      <c r="A19" s="23" t="s">
        <v>43</v>
      </c>
      <c r="B19" s="24">
        <v>1</v>
      </c>
      <c r="C19" s="27">
        <v>4</v>
      </c>
      <c r="D19" s="74">
        <v>5</v>
      </c>
      <c r="E19" s="27">
        <v>4</v>
      </c>
      <c r="F19" s="27"/>
      <c r="G19" s="229"/>
      <c r="H19" s="225"/>
      <c r="I19" s="29" t="s">
        <v>35</v>
      </c>
      <c r="J19" s="30">
        <v>1</v>
      </c>
      <c r="K19" s="30">
        <v>4</v>
      </c>
      <c r="L19" s="73">
        <v>5</v>
      </c>
      <c r="M19" s="30">
        <v>4</v>
      </c>
      <c r="N19" s="30">
        <v>4</v>
      </c>
    </row>
    <row r="20" spans="1:17" x14ac:dyDescent="0.25">
      <c r="A20" s="26" t="s">
        <v>18</v>
      </c>
      <c r="B20" s="24">
        <v>1</v>
      </c>
      <c r="C20" s="30">
        <v>4</v>
      </c>
      <c r="D20" s="73">
        <v>5</v>
      </c>
      <c r="E20" s="30">
        <v>6</v>
      </c>
      <c r="F20" s="30"/>
      <c r="G20" s="229"/>
      <c r="H20" s="225"/>
      <c r="I20" s="23" t="s">
        <v>12</v>
      </c>
      <c r="J20" s="24">
        <v>1</v>
      </c>
      <c r="K20" s="24">
        <v>4</v>
      </c>
      <c r="L20" s="73">
        <v>5</v>
      </c>
      <c r="M20" s="24">
        <v>6</v>
      </c>
      <c r="N20" s="24">
        <v>5</v>
      </c>
    </row>
    <row r="21" spans="1:17" ht="15.75" thickBot="1" x14ac:dyDescent="0.3">
      <c r="A21" s="26" t="s">
        <v>4</v>
      </c>
      <c r="B21" s="24">
        <v>1</v>
      </c>
      <c r="C21" s="24">
        <v>4</v>
      </c>
      <c r="D21" s="73">
        <v>5</v>
      </c>
      <c r="E21" s="24"/>
      <c r="F21" s="24"/>
      <c r="G21" s="229"/>
      <c r="H21" s="225"/>
      <c r="I21" s="26" t="s">
        <v>19</v>
      </c>
      <c r="J21" s="24">
        <v>1</v>
      </c>
      <c r="K21" s="24">
        <v>4</v>
      </c>
      <c r="L21" s="73">
        <v>5</v>
      </c>
      <c r="M21" s="24">
        <v>4</v>
      </c>
      <c r="N21" s="24"/>
    </row>
    <row r="22" spans="1:17" ht="15.75" thickBot="1" x14ac:dyDescent="0.3">
      <c r="A22" s="29" t="s">
        <v>2</v>
      </c>
      <c r="B22" s="24">
        <v>1</v>
      </c>
      <c r="C22" s="24">
        <v>4</v>
      </c>
      <c r="D22" s="73">
        <v>5</v>
      </c>
      <c r="E22" s="24"/>
      <c r="F22" s="24"/>
      <c r="G22" s="229"/>
      <c r="H22" s="225"/>
      <c r="I22" s="23" t="s">
        <v>43</v>
      </c>
      <c r="J22" s="24">
        <v>1</v>
      </c>
      <c r="K22" s="27">
        <v>4</v>
      </c>
      <c r="L22" s="74">
        <v>5</v>
      </c>
      <c r="M22" s="27">
        <v>4</v>
      </c>
      <c r="N22" s="27"/>
    </row>
    <row r="23" spans="1:17" ht="15.75" thickBot="1" x14ac:dyDescent="0.3">
      <c r="A23" s="29" t="s">
        <v>37</v>
      </c>
      <c r="B23" s="24">
        <v>1</v>
      </c>
      <c r="C23" s="27">
        <v>4</v>
      </c>
      <c r="D23" s="74">
        <v>5</v>
      </c>
      <c r="E23" s="27"/>
      <c r="F23" s="27"/>
      <c r="G23" s="229"/>
      <c r="H23" s="225"/>
      <c r="I23" s="26" t="s">
        <v>18</v>
      </c>
      <c r="J23" s="24">
        <v>1</v>
      </c>
      <c r="K23" s="30">
        <v>4</v>
      </c>
      <c r="L23" s="73">
        <v>5</v>
      </c>
      <c r="M23" s="30">
        <v>6</v>
      </c>
      <c r="N23" s="30"/>
    </row>
    <row r="24" spans="1:17" ht="15.75" thickBot="1" x14ac:dyDescent="0.3">
      <c r="A24" s="32" t="s">
        <v>38</v>
      </c>
      <c r="B24" s="33">
        <v>1</v>
      </c>
      <c r="C24" s="33">
        <v>2</v>
      </c>
      <c r="D24" s="75">
        <v>2</v>
      </c>
      <c r="E24" s="33">
        <v>3</v>
      </c>
      <c r="F24" s="33">
        <v>2</v>
      </c>
      <c r="G24" s="229"/>
      <c r="H24" s="225"/>
      <c r="I24" s="26" t="s">
        <v>4</v>
      </c>
      <c r="J24" s="24">
        <v>1</v>
      </c>
      <c r="K24" s="24">
        <v>4</v>
      </c>
      <c r="L24" s="73">
        <v>5</v>
      </c>
      <c r="M24" s="24"/>
      <c r="N24" s="24"/>
    </row>
    <row r="25" spans="1:17" ht="15.75" thickBot="1" x14ac:dyDescent="0.3">
      <c r="A25" s="35" t="s">
        <v>48</v>
      </c>
      <c r="B25" s="36">
        <v>1</v>
      </c>
      <c r="C25" s="36">
        <v>2</v>
      </c>
      <c r="D25" s="75">
        <v>2</v>
      </c>
      <c r="E25" s="33">
        <v>3</v>
      </c>
      <c r="F25" s="36">
        <v>2</v>
      </c>
      <c r="G25" s="229"/>
      <c r="H25" s="225"/>
      <c r="I25" s="29" t="s">
        <v>2</v>
      </c>
      <c r="J25" s="24">
        <v>1</v>
      </c>
      <c r="K25" s="24">
        <v>4</v>
      </c>
      <c r="L25" s="73">
        <v>5</v>
      </c>
      <c r="M25" s="24"/>
      <c r="N25" s="24"/>
    </row>
    <row r="26" spans="1:17" ht="15.75" thickBot="1" x14ac:dyDescent="0.3">
      <c r="A26" s="38" t="s">
        <v>20</v>
      </c>
      <c r="B26" s="36">
        <v>1</v>
      </c>
      <c r="C26" s="36">
        <v>2</v>
      </c>
      <c r="D26" s="75">
        <v>2</v>
      </c>
      <c r="E26" s="33">
        <v>3</v>
      </c>
      <c r="F26" s="36">
        <v>2</v>
      </c>
      <c r="G26" s="229"/>
      <c r="H26" s="225"/>
      <c r="I26" s="133" t="s">
        <v>37</v>
      </c>
      <c r="J26" s="212">
        <v>1</v>
      </c>
      <c r="K26" s="212">
        <v>4</v>
      </c>
      <c r="L26" s="213">
        <v>5</v>
      </c>
      <c r="M26" s="212"/>
      <c r="N26" s="212"/>
      <c r="P26" s="7" t="s">
        <v>60</v>
      </c>
      <c r="Q26" s="7" t="s">
        <v>81</v>
      </c>
    </row>
    <row r="27" spans="1:17" ht="15.75" thickBot="1" x14ac:dyDescent="0.3">
      <c r="A27" s="32" t="s">
        <v>46</v>
      </c>
      <c r="B27" s="39">
        <v>1</v>
      </c>
      <c r="C27" s="39">
        <v>2</v>
      </c>
      <c r="D27" s="76">
        <v>2</v>
      </c>
      <c r="E27" s="33">
        <v>3</v>
      </c>
      <c r="F27" s="39">
        <v>2</v>
      </c>
      <c r="G27" s="229"/>
      <c r="H27" s="225"/>
      <c r="I27" s="224" t="s">
        <v>99</v>
      </c>
      <c r="J27" s="214">
        <v>1</v>
      </c>
      <c r="K27" s="214">
        <v>4</v>
      </c>
      <c r="L27" s="215">
        <f>AVERAGE(L17:L26)</f>
        <v>4.9000000000000004</v>
      </c>
      <c r="M27" s="215">
        <f>AVERAGE(M17:M23)</f>
        <v>4.5714285714285712</v>
      </c>
      <c r="N27" s="94">
        <f>AVERAGE(N17:N20)</f>
        <v>4.5</v>
      </c>
      <c r="P27" s="7" t="s">
        <v>61</v>
      </c>
      <c r="Q27" s="7" t="s">
        <v>107</v>
      </c>
    </row>
    <row r="28" spans="1:17" ht="15.75" thickBot="1" x14ac:dyDescent="0.3">
      <c r="A28" s="35" t="s">
        <v>59</v>
      </c>
      <c r="B28" s="39">
        <v>1</v>
      </c>
      <c r="C28" s="33">
        <v>2</v>
      </c>
      <c r="D28" s="75">
        <v>2</v>
      </c>
      <c r="E28" s="33">
        <v>3</v>
      </c>
      <c r="F28" s="33"/>
      <c r="G28" s="229"/>
      <c r="H28" s="225"/>
      <c r="I28" s="224" t="s">
        <v>100</v>
      </c>
      <c r="J28" s="214">
        <v>0</v>
      </c>
      <c r="K28" s="214">
        <v>0</v>
      </c>
      <c r="L28" s="215">
        <f>_xlfn.STDEV.P(L17:L26)</f>
        <v>0.29999999999999993</v>
      </c>
      <c r="M28" s="215">
        <f>_xlfn.STDEV.P(M17:M23)</f>
        <v>0.90350790290525129</v>
      </c>
      <c r="N28" s="215">
        <f>_xlfn.STDEV.P(N17:N20)</f>
        <v>0.5</v>
      </c>
      <c r="P28" s="7" t="s">
        <v>62</v>
      </c>
      <c r="Q28" s="7" t="s">
        <v>85</v>
      </c>
    </row>
    <row r="29" spans="1:17" ht="15.75" thickBot="1" x14ac:dyDescent="0.3">
      <c r="A29" s="32" t="s">
        <v>7</v>
      </c>
      <c r="B29" s="39">
        <v>1</v>
      </c>
      <c r="C29" s="36">
        <v>2</v>
      </c>
      <c r="D29" s="75">
        <v>2</v>
      </c>
      <c r="E29" s="33">
        <v>3</v>
      </c>
      <c r="F29" s="36"/>
      <c r="G29" s="229"/>
      <c r="H29" s="225"/>
      <c r="P29" s="7" t="s">
        <v>63</v>
      </c>
      <c r="Q29" s="7" t="s">
        <v>102</v>
      </c>
    </row>
    <row r="30" spans="1:17" ht="15.75" thickBot="1" x14ac:dyDescent="0.3">
      <c r="A30" s="35" t="s">
        <v>39</v>
      </c>
      <c r="B30" s="39">
        <v>1</v>
      </c>
      <c r="C30" s="36">
        <v>2</v>
      </c>
      <c r="D30" s="75">
        <v>2</v>
      </c>
      <c r="E30" s="33">
        <v>3</v>
      </c>
      <c r="F30" s="36"/>
      <c r="G30" s="229"/>
      <c r="H30" s="225" t="s">
        <v>85</v>
      </c>
      <c r="I30" s="32" t="s">
        <v>38</v>
      </c>
      <c r="J30" s="33">
        <v>1</v>
      </c>
      <c r="K30" s="33">
        <v>2</v>
      </c>
      <c r="L30" s="75">
        <v>2</v>
      </c>
      <c r="M30" s="33">
        <v>3</v>
      </c>
      <c r="N30" s="33">
        <v>2</v>
      </c>
      <c r="P30" s="7" t="s">
        <v>64</v>
      </c>
      <c r="Q30" s="7" t="s">
        <v>108</v>
      </c>
    </row>
    <row r="31" spans="1:17" ht="15.75" thickBot="1" x14ac:dyDescent="0.3">
      <c r="A31" s="35" t="s">
        <v>3</v>
      </c>
      <c r="B31" s="39">
        <v>1</v>
      </c>
      <c r="C31" s="39">
        <v>2</v>
      </c>
      <c r="D31" s="76">
        <v>2</v>
      </c>
      <c r="E31" s="33">
        <v>3</v>
      </c>
      <c r="F31" s="39"/>
      <c r="G31" s="229"/>
      <c r="H31" s="225"/>
      <c r="I31" s="35" t="s">
        <v>48</v>
      </c>
      <c r="J31" s="36">
        <v>1</v>
      </c>
      <c r="K31" s="36">
        <v>2</v>
      </c>
      <c r="L31" s="75">
        <v>2</v>
      </c>
      <c r="M31" s="33">
        <v>3</v>
      </c>
      <c r="N31" s="36">
        <v>2</v>
      </c>
      <c r="P31" s="7" t="s">
        <v>65</v>
      </c>
      <c r="Q31" s="7" t="s">
        <v>103</v>
      </c>
    </row>
    <row r="32" spans="1:17" ht="15.75" thickBot="1" x14ac:dyDescent="0.3">
      <c r="A32" s="38" t="s">
        <v>50</v>
      </c>
      <c r="B32" s="39">
        <v>1</v>
      </c>
      <c r="C32" s="33">
        <v>2</v>
      </c>
      <c r="D32" s="75">
        <v>2</v>
      </c>
      <c r="E32" s="33">
        <v>3</v>
      </c>
      <c r="F32" s="33"/>
      <c r="G32" s="229"/>
      <c r="H32" s="225"/>
      <c r="I32" s="38" t="s">
        <v>20</v>
      </c>
      <c r="J32" s="36">
        <v>1</v>
      </c>
      <c r="K32" s="36">
        <v>2</v>
      </c>
      <c r="L32" s="75">
        <v>2</v>
      </c>
      <c r="M32" s="33">
        <v>3</v>
      </c>
      <c r="N32" s="36">
        <v>2</v>
      </c>
    </row>
    <row r="33" spans="1:14" ht="15.75" thickBot="1" x14ac:dyDescent="0.3">
      <c r="A33" s="38" t="s">
        <v>32</v>
      </c>
      <c r="B33" s="39">
        <v>1</v>
      </c>
      <c r="C33" s="36">
        <v>2</v>
      </c>
      <c r="D33" s="75">
        <v>2</v>
      </c>
      <c r="E33" s="33">
        <v>3</v>
      </c>
      <c r="F33" s="36"/>
      <c r="G33" s="229"/>
      <c r="H33" s="225"/>
      <c r="I33" s="32" t="s">
        <v>46</v>
      </c>
      <c r="J33" s="39">
        <v>1</v>
      </c>
      <c r="K33" s="39">
        <v>2</v>
      </c>
      <c r="L33" s="76">
        <v>2</v>
      </c>
      <c r="M33" s="33">
        <v>3</v>
      </c>
      <c r="N33" s="39">
        <v>2</v>
      </c>
    </row>
    <row r="34" spans="1:14" ht="15.75" thickBot="1" x14ac:dyDescent="0.3">
      <c r="A34" s="41" t="s">
        <v>1</v>
      </c>
      <c r="B34" s="42">
        <v>1</v>
      </c>
      <c r="C34" s="42">
        <v>6</v>
      </c>
      <c r="D34" s="77">
        <v>6</v>
      </c>
      <c r="E34" s="42">
        <v>5</v>
      </c>
      <c r="F34" s="42">
        <v>2</v>
      </c>
      <c r="G34" s="229"/>
      <c r="H34" s="225"/>
      <c r="I34" s="35" t="s">
        <v>59</v>
      </c>
      <c r="J34" s="39">
        <v>1</v>
      </c>
      <c r="K34" s="33">
        <v>2</v>
      </c>
      <c r="L34" s="75">
        <v>2</v>
      </c>
      <c r="M34" s="33">
        <v>3</v>
      </c>
      <c r="N34" s="33"/>
    </row>
    <row r="35" spans="1:14" ht="15.75" thickBot="1" x14ac:dyDescent="0.3">
      <c r="A35" s="44" t="s">
        <v>6</v>
      </c>
      <c r="B35" s="45">
        <v>1</v>
      </c>
      <c r="C35" s="42">
        <v>6</v>
      </c>
      <c r="D35" s="78">
        <v>6</v>
      </c>
      <c r="E35" s="42">
        <v>5</v>
      </c>
      <c r="F35" s="45">
        <v>2</v>
      </c>
      <c r="G35" s="229"/>
      <c r="H35" s="225"/>
      <c r="I35" s="32" t="s">
        <v>7</v>
      </c>
      <c r="J35" s="39">
        <v>1</v>
      </c>
      <c r="K35" s="36">
        <v>2</v>
      </c>
      <c r="L35" s="75">
        <v>2</v>
      </c>
      <c r="M35" s="33">
        <v>3</v>
      </c>
      <c r="N35" s="36"/>
    </row>
    <row r="36" spans="1:14" ht="15.75" thickBot="1" x14ac:dyDescent="0.3">
      <c r="A36" s="44" t="s">
        <v>57</v>
      </c>
      <c r="B36" s="47">
        <v>1</v>
      </c>
      <c r="C36" s="42">
        <v>6</v>
      </c>
      <c r="D36" s="77">
        <v>6</v>
      </c>
      <c r="E36" s="42">
        <v>5</v>
      </c>
      <c r="F36" s="47">
        <v>2</v>
      </c>
      <c r="G36" s="229"/>
      <c r="H36" s="225"/>
      <c r="I36" s="35" t="s">
        <v>39</v>
      </c>
      <c r="J36" s="39">
        <v>1</v>
      </c>
      <c r="K36" s="36">
        <v>2</v>
      </c>
      <c r="L36" s="75">
        <v>2</v>
      </c>
      <c r="M36" s="33">
        <v>3</v>
      </c>
      <c r="N36" s="36"/>
    </row>
    <row r="37" spans="1:14" ht="15.75" thickBot="1" x14ac:dyDescent="0.3">
      <c r="A37" s="41" t="s">
        <v>51</v>
      </c>
      <c r="B37" s="42">
        <v>1</v>
      </c>
      <c r="C37" s="42">
        <v>6</v>
      </c>
      <c r="D37" s="77">
        <v>6</v>
      </c>
      <c r="E37" s="42">
        <v>5</v>
      </c>
      <c r="F37" s="42">
        <v>2</v>
      </c>
      <c r="G37" s="229"/>
      <c r="H37" s="225"/>
      <c r="I37" s="35" t="s">
        <v>3</v>
      </c>
      <c r="J37" s="39">
        <v>1</v>
      </c>
      <c r="K37" s="39">
        <v>2</v>
      </c>
      <c r="L37" s="76">
        <v>2</v>
      </c>
      <c r="M37" s="33">
        <v>3</v>
      </c>
      <c r="N37" s="39"/>
    </row>
    <row r="38" spans="1:14" ht="15.75" thickBot="1" x14ac:dyDescent="0.3">
      <c r="A38" s="49" t="s">
        <v>52</v>
      </c>
      <c r="B38" s="42">
        <v>1</v>
      </c>
      <c r="C38" s="42">
        <v>6</v>
      </c>
      <c r="D38" s="77">
        <v>6</v>
      </c>
      <c r="E38" s="42">
        <v>5</v>
      </c>
      <c r="F38" s="42"/>
      <c r="G38" s="229"/>
      <c r="H38" s="225"/>
      <c r="I38" s="38" t="s">
        <v>50</v>
      </c>
      <c r="J38" s="39">
        <v>1</v>
      </c>
      <c r="K38" s="33">
        <v>2</v>
      </c>
      <c r="L38" s="75">
        <v>2</v>
      </c>
      <c r="M38" s="33">
        <v>3</v>
      </c>
      <c r="N38" s="33"/>
    </row>
    <row r="39" spans="1:14" ht="15.75" thickBot="1" x14ac:dyDescent="0.3">
      <c r="A39" s="44" t="s">
        <v>36</v>
      </c>
      <c r="B39" s="42">
        <v>1</v>
      </c>
      <c r="C39" s="42">
        <v>6</v>
      </c>
      <c r="D39" s="78">
        <v>6</v>
      </c>
      <c r="E39" s="42">
        <v>5</v>
      </c>
      <c r="F39" s="45"/>
      <c r="G39" s="229"/>
      <c r="H39" s="225"/>
      <c r="I39" s="38" t="s">
        <v>32</v>
      </c>
      <c r="J39" s="39">
        <v>1</v>
      </c>
      <c r="K39" s="36">
        <v>2</v>
      </c>
      <c r="L39" s="75">
        <v>2</v>
      </c>
      <c r="M39" s="33">
        <v>3</v>
      </c>
      <c r="N39" s="36"/>
    </row>
    <row r="40" spans="1:14" x14ac:dyDescent="0.25">
      <c r="A40" s="49" t="s">
        <v>8</v>
      </c>
      <c r="B40" s="42">
        <v>1</v>
      </c>
      <c r="C40" s="42">
        <v>6</v>
      </c>
      <c r="D40" s="77">
        <v>6</v>
      </c>
      <c r="E40" s="42">
        <v>5</v>
      </c>
      <c r="F40" s="47"/>
      <c r="G40" s="229"/>
      <c r="H40" s="225"/>
      <c r="I40" s="224" t="s">
        <v>99</v>
      </c>
      <c r="J40" s="216">
        <v>1</v>
      </c>
      <c r="K40" s="216">
        <v>2</v>
      </c>
      <c r="L40" s="217">
        <v>2</v>
      </c>
      <c r="M40" s="216">
        <v>3</v>
      </c>
      <c r="N40" s="218">
        <v>2</v>
      </c>
    </row>
    <row r="41" spans="1:14" x14ac:dyDescent="0.25">
      <c r="A41" s="44" t="s">
        <v>41</v>
      </c>
      <c r="B41" s="42">
        <v>1</v>
      </c>
      <c r="C41" s="42">
        <v>6</v>
      </c>
      <c r="D41" s="77">
        <v>6</v>
      </c>
      <c r="E41" s="42">
        <v>5</v>
      </c>
      <c r="F41" s="42"/>
      <c r="G41" s="229"/>
      <c r="H41" s="225"/>
      <c r="I41" s="224" t="s">
        <v>100</v>
      </c>
      <c r="J41" s="216">
        <v>0</v>
      </c>
      <c r="K41" s="216">
        <v>0</v>
      </c>
      <c r="L41" s="217">
        <v>0</v>
      </c>
      <c r="M41" s="216">
        <v>0</v>
      </c>
      <c r="N41" s="218">
        <v>0</v>
      </c>
    </row>
    <row r="42" spans="1:14" x14ac:dyDescent="0.25">
      <c r="A42" s="44" t="s">
        <v>55</v>
      </c>
      <c r="B42" s="42">
        <v>1</v>
      </c>
      <c r="C42" s="42">
        <v>6</v>
      </c>
      <c r="D42" s="77">
        <v>6</v>
      </c>
      <c r="E42" s="42">
        <v>5</v>
      </c>
      <c r="F42" s="42"/>
      <c r="G42" s="229"/>
      <c r="H42" s="225"/>
    </row>
    <row r="43" spans="1:14" ht="15.75" thickBot="1" x14ac:dyDescent="0.3">
      <c r="A43" s="44" t="s">
        <v>33</v>
      </c>
      <c r="B43" s="42">
        <v>1</v>
      </c>
      <c r="C43" s="42">
        <v>6</v>
      </c>
      <c r="D43" s="78">
        <v>6</v>
      </c>
      <c r="E43" s="42">
        <v>5</v>
      </c>
      <c r="F43" s="45"/>
      <c r="G43" s="229"/>
      <c r="H43" s="225" t="s">
        <v>86</v>
      </c>
      <c r="I43" s="41" t="s">
        <v>1</v>
      </c>
      <c r="J43" s="42">
        <v>1</v>
      </c>
      <c r="K43" s="42">
        <v>6</v>
      </c>
      <c r="L43" s="77">
        <v>6</v>
      </c>
      <c r="M43" s="42">
        <v>5</v>
      </c>
      <c r="N43" s="42">
        <v>2</v>
      </c>
    </row>
    <row r="44" spans="1:14" ht="15.75" thickBot="1" x14ac:dyDescent="0.3">
      <c r="A44" s="50" t="s">
        <v>27</v>
      </c>
      <c r="B44" s="51">
        <v>1</v>
      </c>
      <c r="C44" s="51">
        <v>4</v>
      </c>
      <c r="D44" s="79">
        <v>5</v>
      </c>
      <c r="E44" s="51">
        <v>3</v>
      </c>
      <c r="F44" s="51">
        <v>3</v>
      </c>
      <c r="G44" s="229"/>
      <c r="H44" s="225"/>
      <c r="I44" s="44" t="s">
        <v>6</v>
      </c>
      <c r="J44" s="45">
        <v>1</v>
      </c>
      <c r="K44" s="42">
        <v>6</v>
      </c>
      <c r="L44" s="78">
        <v>6</v>
      </c>
      <c r="M44" s="42">
        <v>5</v>
      </c>
      <c r="N44" s="45">
        <v>2</v>
      </c>
    </row>
    <row r="45" spans="1:14" ht="15.75" thickBot="1" x14ac:dyDescent="0.3">
      <c r="A45" s="53" t="s">
        <v>22</v>
      </c>
      <c r="B45" s="54">
        <v>1</v>
      </c>
      <c r="C45" s="54">
        <v>4</v>
      </c>
      <c r="D45" s="79">
        <v>5</v>
      </c>
      <c r="E45" s="51">
        <v>3</v>
      </c>
      <c r="F45" s="54">
        <v>3</v>
      </c>
      <c r="G45" s="229"/>
      <c r="H45" s="225"/>
      <c r="I45" s="44" t="s">
        <v>57</v>
      </c>
      <c r="J45" s="47">
        <v>1</v>
      </c>
      <c r="K45" s="42">
        <v>6</v>
      </c>
      <c r="L45" s="77">
        <v>6</v>
      </c>
      <c r="M45" s="42">
        <v>5</v>
      </c>
      <c r="N45" s="47">
        <v>2</v>
      </c>
    </row>
    <row r="46" spans="1:14" ht="15.75" thickBot="1" x14ac:dyDescent="0.3">
      <c r="A46" s="53" t="s">
        <v>15</v>
      </c>
      <c r="B46" s="54">
        <v>1</v>
      </c>
      <c r="C46" s="54">
        <v>4</v>
      </c>
      <c r="D46" s="79">
        <v>5</v>
      </c>
      <c r="E46" s="51">
        <v>3</v>
      </c>
      <c r="F46" s="54">
        <v>3</v>
      </c>
      <c r="G46" s="229"/>
      <c r="H46" s="225"/>
      <c r="I46" s="41" t="s">
        <v>51</v>
      </c>
      <c r="J46" s="42">
        <v>1</v>
      </c>
      <c r="K46" s="42">
        <v>6</v>
      </c>
      <c r="L46" s="77">
        <v>6</v>
      </c>
      <c r="M46" s="42">
        <v>5</v>
      </c>
      <c r="N46" s="42">
        <v>2</v>
      </c>
    </row>
    <row r="47" spans="1:14" ht="15.75" thickBot="1" x14ac:dyDescent="0.3">
      <c r="A47" s="50" t="s">
        <v>42</v>
      </c>
      <c r="B47" s="56">
        <v>1</v>
      </c>
      <c r="C47" s="56">
        <v>4</v>
      </c>
      <c r="D47" s="80">
        <v>5</v>
      </c>
      <c r="E47" s="51">
        <v>3</v>
      </c>
      <c r="F47" s="56">
        <v>3</v>
      </c>
      <c r="G47" s="229"/>
      <c r="H47" s="225"/>
      <c r="I47" s="49" t="s">
        <v>52</v>
      </c>
      <c r="J47" s="42">
        <v>1</v>
      </c>
      <c r="K47" s="42">
        <v>6</v>
      </c>
      <c r="L47" s="77">
        <v>6</v>
      </c>
      <c r="M47" s="42">
        <v>5</v>
      </c>
      <c r="N47" s="42"/>
    </row>
    <row r="48" spans="1:14" ht="15.75" thickBot="1" x14ac:dyDescent="0.3">
      <c r="A48" s="53" t="s">
        <v>28</v>
      </c>
      <c r="B48" s="56">
        <v>1</v>
      </c>
      <c r="C48" s="51">
        <v>4</v>
      </c>
      <c r="D48" s="79">
        <v>5</v>
      </c>
      <c r="E48" s="51">
        <v>3</v>
      </c>
      <c r="F48" s="51"/>
      <c r="G48" s="229"/>
      <c r="H48" s="225"/>
      <c r="I48" s="44" t="s">
        <v>36</v>
      </c>
      <c r="J48" s="42">
        <v>1</v>
      </c>
      <c r="K48" s="42">
        <v>6</v>
      </c>
      <c r="L48" s="78">
        <v>6</v>
      </c>
      <c r="M48" s="42">
        <v>5</v>
      </c>
      <c r="N48" s="45"/>
    </row>
    <row r="49" spans="1:14" ht="15.75" thickBot="1" x14ac:dyDescent="0.3">
      <c r="A49" s="58" t="s">
        <v>47</v>
      </c>
      <c r="B49" s="56">
        <v>1</v>
      </c>
      <c r="C49" s="54">
        <v>4</v>
      </c>
      <c r="D49" s="79">
        <v>5</v>
      </c>
      <c r="E49" s="51">
        <v>3</v>
      </c>
      <c r="F49" s="54"/>
      <c r="G49" s="229"/>
      <c r="H49" s="225"/>
      <c r="I49" s="49" t="s">
        <v>8</v>
      </c>
      <c r="J49" s="42">
        <v>1</v>
      </c>
      <c r="K49" s="42">
        <v>6</v>
      </c>
      <c r="L49" s="77">
        <v>6</v>
      </c>
      <c r="M49" s="42">
        <v>5</v>
      </c>
      <c r="N49" s="47"/>
    </row>
    <row r="50" spans="1:14" ht="15.75" thickBot="1" x14ac:dyDescent="0.3">
      <c r="A50" s="53" t="s">
        <v>13</v>
      </c>
      <c r="B50" s="56">
        <v>1</v>
      </c>
      <c r="C50" s="54">
        <v>4</v>
      </c>
      <c r="D50" s="79">
        <v>5</v>
      </c>
      <c r="E50" s="51">
        <v>3</v>
      </c>
      <c r="F50" s="54"/>
      <c r="G50" s="229"/>
      <c r="H50" s="225"/>
      <c r="I50" s="44" t="s">
        <v>41</v>
      </c>
      <c r="J50" s="42">
        <v>1</v>
      </c>
      <c r="K50" s="42">
        <v>6</v>
      </c>
      <c r="L50" s="77">
        <v>6</v>
      </c>
      <c r="M50" s="42">
        <v>5</v>
      </c>
      <c r="N50" s="42"/>
    </row>
    <row r="51" spans="1:14" ht="15.75" thickBot="1" x14ac:dyDescent="0.3">
      <c r="A51" s="53" t="s">
        <v>26</v>
      </c>
      <c r="B51" s="56">
        <v>1</v>
      </c>
      <c r="C51" s="56">
        <v>4</v>
      </c>
      <c r="D51" s="80">
        <v>5</v>
      </c>
      <c r="E51" s="51">
        <v>3</v>
      </c>
      <c r="F51" s="56"/>
      <c r="G51" s="229"/>
      <c r="H51" s="225"/>
      <c r="I51" s="44" t="s">
        <v>55</v>
      </c>
      <c r="J51" s="42">
        <v>1</v>
      </c>
      <c r="K51" s="42">
        <v>6</v>
      </c>
      <c r="L51" s="77">
        <v>6</v>
      </c>
      <c r="M51" s="42">
        <v>5</v>
      </c>
      <c r="N51" s="42"/>
    </row>
    <row r="52" spans="1:14" ht="15.75" thickBot="1" x14ac:dyDescent="0.3">
      <c r="A52" s="50" t="s">
        <v>11</v>
      </c>
      <c r="B52" s="56">
        <v>1</v>
      </c>
      <c r="C52" s="51">
        <v>4</v>
      </c>
      <c r="D52" s="79">
        <v>5</v>
      </c>
      <c r="E52" s="51">
        <v>3</v>
      </c>
      <c r="F52" s="51"/>
      <c r="G52" s="229"/>
      <c r="H52" s="225"/>
      <c r="I52" s="44" t="s">
        <v>33</v>
      </c>
      <c r="J52" s="42">
        <v>1</v>
      </c>
      <c r="K52" s="42">
        <v>6</v>
      </c>
      <c r="L52" s="78">
        <v>6</v>
      </c>
      <c r="M52" s="42">
        <v>5</v>
      </c>
      <c r="N52" s="45"/>
    </row>
    <row r="53" spans="1:14" ht="15.75" thickBot="1" x14ac:dyDescent="0.3">
      <c r="A53" s="50" t="s">
        <v>58</v>
      </c>
      <c r="B53" s="56">
        <v>1</v>
      </c>
      <c r="C53" s="54">
        <v>4</v>
      </c>
      <c r="D53" s="79">
        <v>5</v>
      </c>
      <c r="E53" s="51">
        <v>3</v>
      </c>
      <c r="F53" s="54"/>
      <c r="G53" s="229"/>
      <c r="H53" s="225"/>
      <c r="I53" s="224" t="s">
        <v>99</v>
      </c>
      <c r="J53" s="219">
        <v>1</v>
      </c>
      <c r="K53" s="219">
        <v>6</v>
      </c>
      <c r="L53" s="86">
        <v>6</v>
      </c>
      <c r="M53" s="219">
        <v>5</v>
      </c>
      <c r="N53" s="220">
        <v>2</v>
      </c>
    </row>
    <row r="54" spans="1:14" x14ac:dyDescent="0.25">
      <c r="A54" s="4" t="s">
        <v>44</v>
      </c>
      <c r="B54" s="4"/>
      <c r="C54" s="4" t="s">
        <v>101</v>
      </c>
      <c r="D54" s="81" t="s">
        <v>91</v>
      </c>
      <c r="E54" s="4"/>
      <c r="F54" s="4"/>
      <c r="G54" s="229"/>
      <c r="H54" s="225"/>
      <c r="I54" s="224" t="s">
        <v>100</v>
      </c>
      <c r="J54" s="219">
        <v>0</v>
      </c>
      <c r="K54" s="219">
        <v>0</v>
      </c>
      <c r="L54" s="86">
        <v>0</v>
      </c>
      <c r="M54" s="219">
        <v>0</v>
      </c>
      <c r="N54" s="220">
        <v>0</v>
      </c>
    </row>
    <row r="55" spans="1:14" ht="15.75" thickBot="1" x14ac:dyDescent="0.3">
      <c r="A55" s="6" t="s">
        <v>34</v>
      </c>
      <c r="B55" s="6"/>
      <c r="C55" s="6"/>
      <c r="D55" s="82" t="s">
        <v>91</v>
      </c>
      <c r="E55" s="6"/>
      <c r="F55" s="6"/>
      <c r="G55" s="229"/>
      <c r="H55" s="225"/>
    </row>
    <row r="56" spans="1:14" ht="15.75" thickBot="1" x14ac:dyDescent="0.3">
      <c r="A56" s="3" t="s">
        <v>21</v>
      </c>
      <c r="B56" s="3"/>
      <c r="C56" s="3"/>
      <c r="D56" s="83" t="s">
        <v>91</v>
      </c>
      <c r="E56" s="3"/>
      <c r="F56" s="3"/>
      <c r="G56" s="229"/>
      <c r="H56" s="225" t="s">
        <v>88</v>
      </c>
      <c r="I56" s="50" t="s">
        <v>27</v>
      </c>
      <c r="J56" s="51">
        <v>1</v>
      </c>
      <c r="K56" s="51">
        <v>4</v>
      </c>
      <c r="L56" s="79">
        <v>5</v>
      </c>
      <c r="M56" s="51">
        <v>3</v>
      </c>
      <c r="N56" s="51">
        <v>3</v>
      </c>
    </row>
    <row r="57" spans="1:14" ht="15.75" thickBot="1" x14ac:dyDescent="0.3">
      <c r="A57" s="4" t="s">
        <v>23</v>
      </c>
      <c r="B57" s="4"/>
      <c r="C57" s="4"/>
      <c r="D57" s="82" t="s">
        <v>91</v>
      </c>
      <c r="E57" s="4"/>
      <c r="F57" s="4"/>
      <c r="G57" s="229"/>
      <c r="H57" s="225"/>
      <c r="I57" s="53" t="s">
        <v>22</v>
      </c>
      <c r="J57" s="54">
        <v>1</v>
      </c>
      <c r="K57" s="54">
        <v>4</v>
      </c>
      <c r="L57" s="79">
        <v>5</v>
      </c>
      <c r="M57" s="51">
        <v>3</v>
      </c>
      <c r="N57" s="54">
        <v>3</v>
      </c>
    </row>
    <row r="58" spans="1:14" ht="15.75" thickBot="1" x14ac:dyDescent="0.3">
      <c r="A58" s="6" t="s">
        <v>16</v>
      </c>
      <c r="B58" s="6"/>
      <c r="C58" s="6"/>
      <c r="D58" s="82" t="s">
        <v>91</v>
      </c>
      <c r="E58" s="6"/>
      <c r="F58" s="6"/>
      <c r="G58" s="229"/>
      <c r="H58" s="225"/>
      <c r="I58" s="53" t="s">
        <v>15</v>
      </c>
      <c r="J58" s="54">
        <v>1</v>
      </c>
      <c r="K58" s="54">
        <v>4</v>
      </c>
      <c r="L58" s="79">
        <v>5</v>
      </c>
      <c r="M58" s="51">
        <v>3</v>
      </c>
      <c r="N58" s="54">
        <v>3</v>
      </c>
    </row>
    <row r="59" spans="1:14" ht="15.75" thickBot="1" x14ac:dyDescent="0.3">
      <c r="A59" s="4" t="s">
        <v>17</v>
      </c>
      <c r="B59" s="4"/>
      <c r="C59" s="4"/>
      <c r="D59" s="81" t="s">
        <v>91</v>
      </c>
      <c r="E59" s="4"/>
      <c r="F59" s="4"/>
      <c r="G59" s="229"/>
      <c r="H59" s="225"/>
      <c r="I59" s="50" t="s">
        <v>42</v>
      </c>
      <c r="J59" s="56">
        <v>1</v>
      </c>
      <c r="K59" s="56">
        <v>4</v>
      </c>
      <c r="L59" s="80">
        <v>5</v>
      </c>
      <c r="M59" s="51">
        <v>3</v>
      </c>
      <c r="N59" s="56">
        <v>3</v>
      </c>
    </row>
    <row r="60" spans="1:14" ht="15.75" thickBot="1" x14ac:dyDescent="0.3">
      <c r="A60" s="6" t="s">
        <v>53</v>
      </c>
      <c r="B60" s="6"/>
      <c r="C60" s="6"/>
      <c r="D60" s="82" t="s">
        <v>91</v>
      </c>
      <c r="E60" s="6"/>
      <c r="F60" s="6"/>
      <c r="G60" s="229"/>
      <c r="H60" s="225"/>
      <c r="I60" s="53" t="s">
        <v>28</v>
      </c>
      <c r="J60" s="56">
        <v>1</v>
      </c>
      <c r="K60" s="51">
        <v>4</v>
      </c>
      <c r="L60" s="79">
        <v>5</v>
      </c>
      <c r="M60" s="51">
        <v>3</v>
      </c>
      <c r="N60" s="51"/>
    </row>
    <row r="61" spans="1:14" ht="15.75" thickBot="1" x14ac:dyDescent="0.3">
      <c r="A61" s="6" t="s">
        <v>49</v>
      </c>
      <c r="B61" s="6"/>
      <c r="C61" s="6"/>
      <c r="D61" s="82" t="s">
        <v>91</v>
      </c>
      <c r="E61" s="6"/>
      <c r="F61" s="6"/>
      <c r="G61" s="229"/>
      <c r="H61" s="225"/>
      <c r="I61" s="58" t="s">
        <v>47</v>
      </c>
      <c r="J61" s="56">
        <v>1</v>
      </c>
      <c r="K61" s="54">
        <v>4</v>
      </c>
      <c r="L61" s="79">
        <v>5</v>
      </c>
      <c r="M61" s="51">
        <v>3</v>
      </c>
      <c r="N61" s="54"/>
    </row>
    <row r="62" spans="1:14" ht="15.75" thickBot="1" x14ac:dyDescent="0.3">
      <c r="A62" s="4" t="s">
        <v>30</v>
      </c>
      <c r="B62" s="4"/>
      <c r="C62" s="4"/>
      <c r="D62" s="81" t="s">
        <v>91</v>
      </c>
      <c r="E62" s="4"/>
      <c r="F62" s="4"/>
      <c r="G62" s="229"/>
      <c r="H62" s="225"/>
      <c r="I62" s="53" t="s">
        <v>13</v>
      </c>
      <c r="J62" s="56">
        <v>1</v>
      </c>
      <c r="K62" s="54">
        <v>4</v>
      </c>
      <c r="L62" s="79">
        <v>5</v>
      </c>
      <c r="M62" s="51">
        <v>3</v>
      </c>
      <c r="N62" s="54"/>
    </row>
    <row r="63" spans="1:14" ht="15.75" thickBot="1" x14ac:dyDescent="0.3">
      <c r="A63" s="4" t="s">
        <v>54</v>
      </c>
      <c r="B63" s="4"/>
      <c r="C63" s="4"/>
      <c r="D63" s="81" t="s">
        <v>91</v>
      </c>
      <c r="E63" s="4"/>
      <c r="F63" s="4"/>
      <c r="G63" s="229"/>
      <c r="H63" s="225"/>
      <c r="I63" s="53" t="s">
        <v>26</v>
      </c>
      <c r="J63" s="56">
        <v>1</v>
      </c>
      <c r="K63" s="56">
        <v>4</v>
      </c>
      <c r="L63" s="80">
        <v>5</v>
      </c>
      <c r="M63" s="51">
        <v>3</v>
      </c>
      <c r="N63" s="56"/>
    </row>
    <row r="64" spans="1:14" ht="15.75" thickBot="1" x14ac:dyDescent="0.3">
      <c r="A64" s="7"/>
      <c r="D64" s="84"/>
      <c r="H64" s="225"/>
      <c r="I64" s="50" t="s">
        <v>11</v>
      </c>
      <c r="J64" s="56">
        <v>1</v>
      </c>
      <c r="K64" s="51">
        <v>4</v>
      </c>
      <c r="L64" s="79">
        <v>5</v>
      </c>
      <c r="M64" s="51">
        <v>3</v>
      </c>
      <c r="N64" s="51"/>
    </row>
    <row r="65" spans="8:14" ht="15.75" thickBot="1" x14ac:dyDescent="0.3">
      <c r="H65" s="225"/>
      <c r="I65" s="50" t="s">
        <v>58</v>
      </c>
      <c r="J65" s="56">
        <v>1</v>
      </c>
      <c r="K65" s="54">
        <v>4</v>
      </c>
      <c r="L65" s="79">
        <v>5</v>
      </c>
      <c r="M65" s="51">
        <v>3</v>
      </c>
      <c r="N65" s="54"/>
    </row>
    <row r="66" spans="8:14" x14ac:dyDescent="0.25">
      <c r="I66" s="224" t="s">
        <v>99</v>
      </c>
      <c r="J66" s="221">
        <v>1</v>
      </c>
      <c r="K66" s="221">
        <v>4</v>
      </c>
      <c r="L66" s="222">
        <v>5</v>
      </c>
      <c r="M66" s="221">
        <v>3</v>
      </c>
      <c r="N66" s="223">
        <v>3</v>
      </c>
    </row>
    <row r="67" spans="8:14" x14ac:dyDescent="0.25">
      <c r="I67" s="224" t="s">
        <v>100</v>
      </c>
      <c r="J67" s="221">
        <v>0</v>
      </c>
      <c r="K67" s="221">
        <v>0</v>
      </c>
      <c r="L67" s="222">
        <v>0</v>
      </c>
      <c r="M67" s="221">
        <v>0</v>
      </c>
      <c r="N67" s="223">
        <v>0</v>
      </c>
    </row>
  </sheetData>
  <pageMargins left="0.7" right="0.7" top="0.78740157499999996" bottom="0.78740157499999996" header="0.3" footer="0.3"/>
  <ignoredErrors>
    <ignoredError sqref="L14:L1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4"/>
  <sheetViews>
    <sheetView topLeftCell="E1" zoomScale="85" zoomScaleNormal="115" workbookViewId="0">
      <selection activeCell="O9" sqref="O9"/>
    </sheetView>
  </sheetViews>
  <sheetFormatPr baseColWidth="10" defaultColWidth="11.42578125" defaultRowHeight="15" x14ac:dyDescent="0.25"/>
  <cols>
    <col min="7" max="7" width="9.85546875" customWidth="1"/>
    <col min="8" max="9" width="14.42578125" customWidth="1"/>
  </cols>
  <sheetData>
    <row r="1" spans="1:12" x14ac:dyDescent="0.25">
      <c r="A1" s="11"/>
      <c r="B1" s="67" t="s">
        <v>71</v>
      </c>
      <c r="C1" s="67"/>
      <c r="D1" s="68" t="s">
        <v>91</v>
      </c>
      <c r="E1" s="67"/>
      <c r="F1" s="67"/>
      <c r="J1" s="67"/>
      <c r="K1" s="67"/>
    </row>
    <row r="2" spans="1:12" ht="15.75" thickBot="1" x14ac:dyDescent="0.3">
      <c r="A2" s="12"/>
      <c r="B2" s="13"/>
      <c r="C2" s="13"/>
      <c r="D2" s="69" t="s">
        <v>91</v>
      </c>
      <c r="E2" s="13"/>
      <c r="F2" s="13"/>
    </row>
    <row r="3" spans="1:12" ht="15.75" thickBot="1" x14ac:dyDescent="0.3">
      <c r="A3" s="15"/>
      <c r="B3" s="16" t="s">
        <v>75</v>
      </c>
      <c r="C3" s="16" t="s">
        <v>76</v>
      </c>
      <c r="D3" s="70">
        <v>44890</v>
      </c>
      <c r="E3" s="16" t="s">
        <v>78</v>
      </c>
      <c r="F3" s="16" t="s">
        <v>79</v>
      </c>
    </row>
    <row r="4" spans="1:12" ht="15.75" thickBot="1" x14ac:dyDescent="0.3">
      <c r="A4" s="1" t="s">
        <v>0</v>
      </c>
      <c r="B4" s="19"/>
      <c r="C4" s="19"/>
      <c r="D4" s="71" t="s">
        <v>91</v>
      </c>
      <c r="E4" s="19"/>
      <c r="F4" s="19">
        <v>3</v>
      </c>
      <c r="H4" s="94"/>
      <c r="I4" s="230" t="s">
        <v>75</v>
      </c>
      <c r="J4" s="230" t="s">
        <v>77</v>
      </c>
      <c r="K4" s="230" t="s">
        <v>78</v>
      </c>
      <c r="L4" s="230" t="s">
        <v>79</v>
      </c>
    </row>
    <row r="5" spans="1:12" ht="15.75" thickBot="1" x14ac:dyDescent="0.3">
      <c r="A5" s="2" t="s">
        <v>10</v>
      </c>
      <c r="B5" s="21"/>
      <c r="C5" s="21"/>
      <c r="D5" s="71" t="s">
        <v>91</v>
      </c>
      <c r="E5" s="21"/>
      <c r="F5" s="21">
        <v>1.9</v>
      </c>
      <c r="H5" s="231" t="s">
        <v>81</v>
      </c>
      <c r="I5" s="232">
        <v>0.5</v>
      </c>
      <c r="J5" s="232">
        <v>0.5</v>
      </c>
      <c r="K5" s="233">
        <v>1.1666666666666667</v>
      </c>
      <c r="L5" s="234">
        <v>1.75</v>
      </c>
    </row>
    <row r="6" spans="1:12" ht="15.75" thickBot="1" x14ac:dyDescent="0.3">
      <c r="A6" s="5" t="s">
        <v>5</v>
      </c>
      <c r="B6" s="21"/>
      <c r="C6" s="21"/>
      <c r="D6" s="71" t="s">
        <v>91</v>
      </c>
      <c r="E6" s="21"/>
      <c r="F6" s="21">
        <v>1.1000000000000001</v>
      </c>
      <c r="H6" s="231" t="s">
        <v>109</v>
      </c>
      <c r="I6" s="232">
        <v>0.5</v>
      </c>
      <c r="J6" s="235">
        <v>0.56666666666666676</v>
      </c>
      <c r="K6" s="236">
        <v>0.56666666666666676</v>
      </c>
      <c r="L6" s="237">
        <v>1</v>
      </c>
    </row>
    <row r="7" spans="1:12" ht="15.75" thickBot="1" x14ac:dyDescent="0.3">
      <c r="A7" s="5" t="s">
        <v>56</v>
      </c>
      <c r="B7" s="19"/>
      <c r="C7" s="19"/>
      <c r="D7" s="72" t="s">
        <v>91</v>
      </c>
      <c r="E7" s="19"/>
      <c r="F7" s="19">
        <v>1</v>
      </c>
      <c r="H7" t="s">
        <v>85</v>
      </c>
      <c r="I7" s="232">
        <v>0.5</v>
      </c>
      <c r="J7" s="238">
        <v>1.5666666666666664</v>
      </c>
      <c r="K7" s="239">
        <v>5.25</v>
      </c>
      <c r="L7" s="239">
        <v>6.5</v>
      </c>
    </row>
    <row r="8" spans="1:12" ht="15.75" thickBot="1" x14ac:dyDescent="0.3">
      <c r="A8" s="5" t="s">
        <v>29</v>
      </c>
      <c r="B8" s="21"/>
      <c r="C8" s="21"/>
      <c r="D8" s="71" t="s">
        <v>91</v>
      </c>
      <c r="E8" s="21">
        <v>3</v>
      </c>
      <c r="F8" s="21"/>
      <c r="H8" t="s">
        <v>102</v>
      </c>
      <c r="I8" s="232">
        <v>0.5</v>
      </c>
      <c r="J8" s="240">
        <v>1.4666666666666668</v>
      </c>
      <c r="K8" s="241">
        <v>0.6</v>
      </c>
      <c r="L8" s="241">
        <v>1.3499999999999999</v>
      </c>
    </row>
    <row r="9" spans="1:12" ht="15.75" thickBot="1" x14ac:dyDescent="0.3">
      <c r="A9" s="5" t="s">
        <v>24</v>
      </c>
      <c r="B9" s="21"/>
      <c r="C9" s="21"/>
      <c r="D9" s="71" t="s">
        <v>91</v>
      </c>
      <c r="E9" s="21">
        <v>1.5</v>
      </c>
      <c r="F9" s="21"/>
      <c r="H9" t="s">
        <v>170</v>
      </c>
      <c r="I9" s="232">
        <v>0.5</v>
      </c>
      <c r="J9" s="242">
        <v>2</v>
      </c>
      <c r="K9" s="243">
        <v>0.76666666666666661</v>
      </c>
      <c r="L9" s="243">
        <v>0.95</v>
      </c>
    </row>
    <row r="10" spans="1:12" ht="15.75" thickBot="1" x14ac:dyDescent="0.3">
      <c r="A10" s="5" t="s">
        <v>9</v>
      </c>
      <c r="B10" s="19"/>
      <c r="C10" s="19"/>
      <c r="D10" s="72" t="s">
        <v>91</v>
      </c>
      <c r="E10" s="19">
        <v>2</v>
      </c>
      <c r="F10" s="19"/>
      <c r="H10" t="s">
        <v>103</v>
      </c>
      <c r="I10" s="232">
        <v>0.5</v>
      </c>
      <c r="J10" s="244">
        <v>4.333333333333333</v>
      </c>
      <c r="K10" s="245">
        <v>9.3333333333333339</v>
      </c>
      <c r="L10" s="245">
        <v>10</v>
      </c>
    </row>
    <row r="11" spans="1:12" ht="15.75" thickBot="1" x14ac:dyDescent="0.3">
      <c r="A11" s="5" t="s">
        <v>14</v>
      </c>
      <c r="B11" s="21"/>
      <c r="C11" s="21"/>
      <c r="D11" s="71">
        <v>0.5</v>
      </c>
      <c r="E11" s="21"/>
      <c r="F11" s="21"/>
    </row>
    <row r="12" spans="1:12" ht="15.75" thickBot="1" x14ac:dyDescent="0.3">
      <c r="A12" s="5" t="s">
        <v>31</v>
      </c>
      <c r="B12" s="21"/>
      <c r="C12" s="21"/>
      <c r="D12" s="71">
        <v>0.5</v>
      </c>
      <c r="E12" s="21"/>
      <c r="F12" s="21"/>
    </row>
    <row r="13" spans="1:12" ht="15.75" thickBot="1" x14ac:dyDescent="0.3">
      <c r="A13" s="5" t="s">
        <v>25</v>
      </c>
      <c r="B13" s="21"/>
      <c r="C13" s="21"/>
      <c r="D13" s="71">
        <v>0.5</v>
      </c>
      <c r="E13" s="21"/>
      <c r="F13" s="21"/>
    </row>
    <row r="14" spans="1:12" x14ac:dyDescent="0.25">
      <c r="A14" s="23" t="s">
        <v>45</v>
      </c>
      <c r="B14" s="24"/>
      <c r="C14" s="24"/>
      <c r="D14" s="73" t="s">
        <v>91</v>
      </c>
      <c r="E14" s="24"/>
      <c r="F14" s="24">
        <v>0.8</v>
      </c>
    </row>
    <row r="15" spans="1:12" ht="15.75" thickBot="1" x14ac:dyDescent="0.3">
      <c r="A15" s="26" t="s">
        <v>40</v>
      </c>
      <c r="B15" s="27"/>
      <c r="C15" s="27"/>
      <c r="D15" s="74" t="s">
        <v>91</v>
      </c>
      <c r="E15" s="27"/>
      <c r="F15" s="27">
        <v>0.9</v>
      </c>
    </row>
    <row r="16" spans="1:12" ht="15.75" thickBot="1" x14ac:dyDescent="0.3">
      <c r="A16" s="29" t="s">
        <v>35</v>
      </c>
      <c r="B16" s="30"/>
      <c r="C16" s="30"/>
      <c r="D16" s="73" t="s">
        <v>91</v>
      </c>
      <c r="E16" s="64"/>
      <c r="F16" s="30">
        <v>1.6</v>
      </c>
    </row>
    <row r="17" spans="1:6" ht="15.75" thickBot="1" x14ac:dyDescent="0.3">
      <c r="A17" s="23" t="s">
        <v>12</v>
      </c>
      <c r="B17" s="24"/>
      <c r="C17" s="24"/>
      <c r="D17" s="73" t="s">
        <v>91</v>
      </c>
      <c r="E17" s="66"/>
      <c r="F17" s="24">
        <v>0.7</v>
      </c>
    </row>
    <row r="18" spans="1:6" ht="15.75" thickBot="1" x14ac:dyDescent="0.3">
      <c r="A18" s="26" t="s">
        <v>19</v>
      </c>
      <c r="B18" s="24"/>
      <c r="C18" s="24"/>
      <c r="D18" s="73" t="s">
        <v>91</v>
      </c>
      <c r="E18" s="64">
        <v>0.5</v>
      </c>
      <c r="F18" s="24"/>
    </row>
    <row r="19" spans="1:6" ht="15.75" thickBot="1" x14ac:dyDescent="0.3">
      <c r="A19" s="23" t="s">
        <v>43</v>
      </c>
      <c r="B19" s="27"/>
      <c r="C19" s="27"/>
      <c r="D19" s="74" t="s">
        <v>91</v>
      </c>
      <c r="E19" s="65">
        <v>0.4</v>
      </c>
      <c r="F19" s="27"/>
    </row>
    <row r="20" spans="1:6" x14ac:dyDescent="0.25">
      <c r="A20" s="26" t="s">
        <v>18</v>
      </c>
      <c r="B20" s="30"/>
      <c r="C20" s="30"/>
      <c r="D20" s="73" t="s">
        <v>91</v>
      </c>
      <c r="E20" s="65">
        <v>0.8</v>
      </c>
      <c r="F20" s="30"/>
    </row>
    <row r="21" spans="1:6" x14ac:dyDescent="0.25">
      <c r="A21" s="26" t="s">
        <v>4</v>
      </c>
      <c r="B21" s="24"/>
      <c r="C21" s="24"/>
      <c r="D21" s="73">
        <v>0.5</v>
      </c>
      <c r="E21" s="65"/>
      <c r="F21" s="24"/>
    </row>
    <row r="22" spans="1:6" ht="15.75" thickBot="1" x14ac:dyDescent="0.3">
      <c r="A22" s="29" t="s">
        <v>2</v>
      </c>
      <c r="B22" s="24"/>
      <c r="C22" s="24"/>
      <c r="D22" s="73">
        <v>0.8</v>
      </c>
      <c r="E22" s="65"/>
      <c r="F22" s="24"/>
    </row>
    <row r="23" spans="1:6" ht="15.75" thickBot="1" x14ac:dyDescent="0.3">
      <c r="A23" s="29" t="s">
        <v>37</v>
      </c>
      <c r="B23" s="27"/>
      <c r="C23" s="27"/>
      <c r="D23" s="74">
        <v>0.4</v>
      </c>
      <c r="E23" s="66"/>
      <c r="F23" s="27"/>
    </row>
    <row r="24" spans="1:6" x14ac:dyDescent="0.25">
      <c r="A24" s="32" t="s">
        <v>38</v>
      </c>
      <c r="B24" s="33"/>
      <c r="C24" s="33"/>
      <c r="D24" s="75" t="s">
        <v>91</v>
      </c>
      <c r="E24" s="33"/>
      <c r="F24" s="33">
        <v>2.6</v>
      </c>
    </row>
    <row r="25" spans="1:6" x14ac:dyDescent="0.25">
      <c r="A25" s="35" t="s">
        <v>48</v>
      </c>
      <c r="B25" s="36"/>
      <c r="C25" s="36"/>
      <c r="D25" s="75" t="s">
        <v>91</v>
      </c>
      <c r="E25" s="36"/>
      <c r="F25" s="36">
        <v>2.2000000000000002</v>
      </c>
    </row>
    <row r="26" spans="1:6" ht="15.75" thickBot="1" x14ac:dyDescent="0.3">
      <c r="A26" s="38" t="s">
        <v>20</v>
      </c>
      <c r="B26" s="36"/>
      <c r="C26" s="36"/>
      <c r="D26" s="75" t="s">
        <v>91</v>
      </c>
      <c r="E26" s="36"/>
      <c r="F26" s="36">
        <v>4.2</v>
      </c>
    </row>
    <row r="27" spans="1:6" ht="15.75" thickBot="1" x14ac:dyDescent="0.3">
      <c r="A27" s="32" t="s">
        <v>46</v>
      </c>
      <c r="B27" s="39"/>
      <c r="C27" s="39"/>
      <c r="D27" s="76" t="s">
        <v>91</v>
      </c>
      <c r="E27" s="39"/>
      <c r="F27" s="39">
        <v>5.2</v>
      </c>
    </row>
    <row r="28" spans="1:6" ht="15.75" thickBot="1" x14ac:dyDescent="0.3">
      <c r="A28" s="35" t="s">
        <v>59</v>
      </c>
      <c r="B28" s="33"/>
      <c r="C28" s="33"/>
      <c r="D28" s="75" t="s">
        <v>91</v>
      </c>
      <c r="E28" s="33">
        <v>7</v>
      </c>
      <c r="F28" s="33"/>
    </row>
    <row r="29" spans="1:6" x14ac:dyDescent="0.25">
      <c r="A29" s="32" t="s">
        <v>7</v>
      </c>
      <c r="B29" s="36"/>
      <c r="C29" s="36"/>
      <c r="D29" s="75" t="s">
        <v>91</v>
      </c>
      <c r="E29" s="36">
        <v>8</v>
      </c>
      <c r="F29" s="36"/>
    </row>
    <row r="30" spans="1:6" x14ac:dyDescent="0.25">
      <c r="A30" s="35" t="s">
        <v>39</v>
      </c>
      <c r="B30" s="36"/>
      <c r="C30" s="36"/>
      <c r="D30" s="75" t="s">
        <v>91</v>
      </c>
      <c r="E30" s="36">
        <v>7.5</v>
      </c>
      <c r="F30" s="36"/>
    </row>
    <row r="31" spans="1:6" ht="15.75" thickBot="1" x14ac:dyDescent="0.3">
      <c r="A31" s="35" t="s">
        <v>3</v>
      </c>
      <c r="B31" s="39"/>
      <c r="C31" s="39"/>
      <c r="D31" s="76">
        <v>0.8</v>
      </c>
      <c r="E31" s="39"/>
      <c r="F31" s="39"/>
    </row>
    <row r="32" spans="1:6" ht="15.75" thickBot="1" x14ac:dyDescent="0.3">
      <c r="A32" s="38" t="s">
        <v>50</v>
      </c>
      <c r="B32" s="33"/>
      <c r="C32" s="33"/>
      <c r="D32" s="75">
        <v>2.5</v>
      </c>
      <c r="E32" s="33"/>
      <c r="F32" s="33"/>
    </row>
    <row r="33" spans="1:6" ht="15.75" thickBot="1" x14ac:dyDescent="0.3">
      <c r="A33" s="38" t="s">
        <v>32</v>
      </c>
      <c r="B33" s="36"/>
      <c r="C33" s="36"/>
      <c r="D33" s="75">
        <v>1.4</v>
      </c>
      <c r="E33" s="36"/>
      <c r="F33" s="36"/>
    </row>
    <row r="34" spans="1:6" ht="15.75" thickBot="1" x14ac:dyDescent="0.3">
      <c r="A34" s="41" t="s">
        <v>1</v>
      </c>
      <c r="B34" s="42"/>
      <c r="C34" s="42"/>
      <c r="D34" s="77" t="s">
        <v>91</v>
      </c>
      <c r="E34" s="42"/>
      <c r="F34" s="42">
        <v>1.3</v>
      </c>
    </row>
    <row r="35" spans="1:6" ht="15.75" thickBot="1" x14ac:dyDescent="0.3">
      <c r="A35" s="44" t="s">
        <v>6</v>
      </c>
      <c r="B35" s="45"/>
      <c r="C35" s="45"/>
      <c r="D35" s="78" t="s">
        <v>91</v>
      </c>
      <c r="E35" s="45"/>
      <c r="F35" s="45">
        <v>1.2</v>
      </c>
    </row>
    <row r="36" spans="1:6" x14ac:dyDescent="0.25">
      <c r="A36" s="44" t="s">
        <v>57</v>
      </c>
      <c r="B36" s="47"/>
      <c r="C36" s="47"/>
      <c r="D36" s="77" t="s">
        <v>91</v>
      </c>
      <c r="E36" s="47"/>
      <c r="F36" s="47">
        <v>1.6</v>
      </c>
    </row>
    <row r="37" spans="1:6" ht="15.75" thickBot="1" x14ac:dyDescent="0.3">
      <c r="A37" s="41" t="s">
        <v>51</v>
      </c>
      <c r="B37" s="42"/>
      <c r="C37" s="42"/>
      <c r="D37" s="77" t="s">
        <v>91</v>
      </c>
      <c r="E37" s="42"/>
      <c r="F37" s="42">
        <v>1.3</v>
      </c>
    </row>
    <row r="38" spans="1:6" x14ac:dyDescent="0.25">
      <c r="A38" s="49" t="s">
        <v>52</v>
      </c>
      <c r="B38" s="42"/>
      <c r="C38" s="42"/>
      <c r="D38" s="77" t="s">
        <v>91</v>
      </c>
      <c r="E38" s="42">
        <v>0.6</v>
      </c>
      <c r="F38" s="42"/>
    </row>
    <row r="39" spans="1:6" ht="15.75" thickBot="1" x14ac:dyDescent="0.3">
      <c r="A39" s="44" t="s">
        <v>36</v>
      </c>
      <c r="B39" s="45"/>
      <c r="C39" s="45"/>
      <c r="D39" s="78" t="s">
        <v>91</v>
      </c>
      <c r="E39" s="45">
        <v>0.4</v>
      </c>
      <c r="F39" s="45"/>
    </row>
    <row r="40" spans="1:6" x14ac:dyDescent="0.25">
      <c r="A40" s="49" t="s">
        <v>8</v>
      </c>
      <c r="B40" s="47"/>
      <c r="C40" s="47"/>
      <c r="D40" s="77" t="s">
        <v>91</v>
      </c>
      <c r="E40" s="47">
        <v>0.8</v>
      </c>
      <c r="F40" s="47"/>
    </row>
    <row r="41" spans="1:6" x14ac:dyDescent="0.25">
      <c r="A41" s="44" t="s">
        <v>41</v>
      </c>
      <c r="B41" s="42"/>
      <c r="C41" s="42"/>
      <c r="D41" s="77">
        <v>0.8</v>
      </c>
      <c r="E41" s="42"/>
      <c r="F41" s="42"/>
    </row>
    <row r="42" spans="1:6" x14ac:dyDescent="0.25">
      <c r="A42" s="44" t="s">
        <v>55</v>
      </c>
      <c r="B42" s="42"/>
      <c r="C42" s="42"/>
      <c r="D42" s="77">
        <v>2</v>
      </c>
      <c r="E42" s="42"/>
      <c r="F42" s="42"/>
    </row>
    <row r="43" spans="1:6" ht="15.75" thickBot="1" x14ac:dyDescent="0.3">
      <c r="A43" s="44" t="s">
        <v>33</v>
      </c>
      <c r="B43" s="45"/>
      <c r="C43" s="45"/>
      <c r="D43" s="78">
        <v>1.6</v>
      </c>
      <c r="E43" s="45"/>
      <c r="F43" s="45"/>
    </row>
    <row r="44" spans="1:6" ht="15.75" thickBot="1" x14ac:dyDescent="0.3">
      <c r="A44" s="50" t="s">
        <v>27</v>
      </c>
      <c r="B44" s="51"/>
      <c r="C44" s="51"/>
      <c r="D44" s="79" t="s">
        <v>91</v>
      </c>
      <c r="E44" s="51"/>
      <c r="F44" s="51">
        <v>0.8</v>
      </c>
    </row>
    <row r="45" spans="1:6" x14ac:dyDescent="0.25">
      <c r="A45" s="53" t="s">
        <v>22</v>
      </c>
      <c r="B45" s="54"/>
      <c r="C45" s="54"/>
      <c r="D45" s="79" t="s">
        <v>91</v>
      </c>
      <c r="E45" s="54"/>
      <c r="F45" s="54">
        <v>0.7</v>
      </c>
    </row>
    <row r="46" spans="1:6" x14ac:dyDescent="0.25">
      <c r="A46" s="53" t="s">
        <v>15</v>
      </c>
      <c r="B46" s="54"/>
      <c r="C46" s="54"/>
      <c r="D46" s="79" t="s">
        <v>91</v>
      </c>
      <c r="E46" s="54"/>
      <c r="F46" s="54">
        <v>1.1000000000000001</v>
      </c>
    </row>
    <row r="47" spans="1:6" ht="15.75" thickBot="1" x14ac:dyDescent="0.3">
      <c r="A47" s="50" t="s">
        <v>42</v>
      </c>
      <c r="B47" s="56"/>
      <c r="C47" s="56"/>
      <c r="D47" s="80" t="s">
        <v>91</v>
      </c>
      <c r="E47" s="56"/>
      <c r="F47" s="56">
        <v>1.2</v>
      </c>
    </row>
    <row r="48" spans="1:6" ht="15.75" thickBot="1" x14ac:dyDescent="0.3">
      <c r="A48" s="53" t="s">
        <v>28</v>
      </c>
      <c r="B48" s="51"/>
      <c r="C48" s="51"/>
      <c r="D48" s="79" t="s">
        <v>91</v>
      </c>
      <c r="E48" s="51">
        <v>1</v>
      </c>
      <c r="F48" s="51"/>
    </row>
    <row r="49" spans="1:6" x14ac:dyDescent="0.25">
      <c r="A49" s="58" t="s">
        <v>47</v>
      </c>
      <c r="B49" s="54"/>
      <c r="C49" s="54"/>
      <c r="D49" s="79" t="s">
        <v>91</v>
      </c>
      <c r="E49" s="54">
        <v>0.5</v>
      </c>
      <c r="F49" s="54"/>
    </row>
    <row r="50" spans="1:6" x14ac:dyDescent="0.25">
      <c r="A50" s="53" t="s">
        <v>13</v>
      </c>
      <c r="B50" s="54"/>
      <c r="C50" s="54"/>
      <c r="D50" s="79" t="s">
        <v>91</v>
      </c>
      <c r="E50" s="54">
        <v>0.8</v>
      </c>
      <c r="F50" s="54"/>
    </row>
    <row r="51" spans="1:6" ht="15.75" thickBot="1" x14ac:dyDescent="0.3">
      <c r="A51" s="53" t="s">
        <v>26</v>
      </c>
      <c r="B51" s="56"/>
      <c r="C51" s="56"/>
      <c r="D51" s="80">
        <v>2.1</v>
      </c>
      <c r="E51" s="56"/>
      <c r="F51" s="56"/>
    </row>
    <row r="52" spans="1:6" ht="15.75" thickBot="1" x14ac:dyDescent="0.3">
      <c r="A52" s="50" t="s">
        <v>11</v>
      </c>
      <c r="B52" s="51"/>
      <c r="C52" s="51"/>
      <c r="D52" s="79">
        <v>1.3</v>
      </c>
      <c r="E52" s="51"/>
      <c r="F52" s="51"/>
    </row>
    <row r="53" spans="1:6" ht="15.75" thickBot="1" x14ac:dyDescent="0.3">
      <c r="A53" s="50" t="s">
        <v>58</v>
      </c>
      <c r="B53" s="54"/>
      <c r="C53" s="54"/>
      <c r="D53" s="79">
        <v>2.6</v>
      </c>
      <c r="E53" s="54"/>
      <c r="F53" s="54"/>
    </row>
    <row r="54" spans="1:6" ht="15.75" thickBot="1" x14ac:dyDescent="0.3">
      <c r="A54" s="4" t="s">
        <v>44</v>
      </c>
      <c r="B54" s="4"/>
      <c r="C54" s="4"/>
      <c r="D54" s="81" t="s">
        <v>91</v>
      </c>
      <c r="E54" s="4"/>
      <c r="F54" s="4" t="s">
        <v>104</v>
      </c>
    </row>
    <row r="55" spans="1:6" ht="15.75" thickBot="1" x14ac:dyDescent="0.3">
      <c r="A55" s="6" t="s">
        <v>34</v>
      </c>
      <c r="B55" s="6"/>
      <c r="C55" s="6"/>
      <c r="D55" s="82" t="s">
        <v>91</v>
      </c>
      <c r="E55" s="6"/>
      <c r="F55" s="4" t="s">
        <v>104</v>
      </c>
    </row>
    <row r="56" spans="1:6" ht="15.75" thickBot="1" x14ac:dyDescent="0.3">
      <c r="A56" s="3" t="s">
        <v>21</v>
      </c>
      <c r="B56" s="3"/>
      <c r="C56" s="3"/>
      <c r="D56" s="83" t="s">
        <v>91</v>
      </c>
      <c r="E56" s="3"/>
      <c r="F56" s="4" t="s">
        <v>104</v>
      </c>
    </row>
    <row r="57" spans="1:6" x14ac:dyDescent="0.25">
      <c r="A57" s="4" t="s">
        <v>23</v>
      </c>
      <c r="B57" s="4"/>
      <c r="C57" s="4"/>
      <c r="D57" s="82" t="s">
        <v>91</v>
      </c>
      <c r="E57" s="4"/>
      <c r="F57" s="4" t="s">
        <v>104</v>
      </c>
    </row>
    <row r="58" spans="1:6" ht="15.75" thickBot="1" x14ac:dyDescent="0.3">
      <c r="A58" s="6" t="s">
        <v>16</v>
      </c>
      <c r="B58" s="6"/>
      <c r="C58" s="6"/>
      <c r="D58" s="82" t="s">
        <v>91</v>
      </c>
      <c r="E58" s="6">
        <v>10</v>
      </c>
      <c r="F58" s="6"/>
    </row>
    <row r="59" spans="1:6" x14ac:dyDescent="0.25">
      <c r="A59" s="4" t="s">
        <v>17</v>
      </c>
      <c r="B59" s="4"/>
      <c r="C59" s="4"/>
      <c r="D59" s="81" t="s">
        <v>91</v>
      </c>
      <c r="E59" s="4">
        <v>8</v>
      </c>
      <c r="F59" s="4"/>
    </row>
    <row r="60" spans="1:6" x14ac:dyDescent="0.25">
      <c r="A60" s="6" t="s">
        <v>53</v>
      </c>
      <c r="B60" s="6"/>
      <c r="C60" s="6"/>
      <c r="D60" s="82" t="s">
        <v>91</v>
      </c>
      <c r="E60" s="6">
        <v>10</v>
      </c>
      <c r="F60" s="6"/>
    </row>
    <row r="61" spans="1:6" ht="15.75" thickBot="1" x14ac:dyDescent="0.3">
      <c r="A61" s="6" t="s">
        <v>49</v>
      </c>
      <c r="B61" s="6"/>
      <c r="C61" s="6"/>
      <c r="D61" s="82">
        <v>3.5</v>
      </c>
      <c r="E61" s="6"/>
      <c r="F61" s="6"/>
    </row>
    <row r="62" spans="1:6" ht="15.75" thickBot="1" x14ac:dyDescent="0.3">
      <c r="A62" s="4" t="s">
        <v>30</v>
      </c>
      <c r="B62" s="4"/>
      <c r="C62" s="4"/>
      <c r="D62" s="81">
        <v>5</v>
      </c>
      <c r="E62" s="4"/>
      <c r="F62" s="4"/>
    </row>
    <row r="63" spans="1:6" x14ac:dyDescent="0.25">
      <c r="A63" s="4" t="s">
        <v>54</v>
      </c>
      <c r="B63" s="4"/>
      <c r="C63" s="4"/>
      <c r="D63" s="81">
        <v>4.5</v>
      </c>
      <c r="E63" s="4"/>
      <c r="F63" s="4"/>
    </row>
    <row r="64" spans="1:6" x14ac:dyDescent="0.25">
      <c r="A64" s="7"/>
      <c r="D64" s="84"/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zoomScale="55" zoomScaleNormal="55" workbookViewId="0">
      <selection activeCell="R39" sqref="R39"/>
    </sheetView>
  </sheetViews>
  <sheetFormatPr baseColWidth="10" defaultColWidth="11.42578125" defaultRowHeight="15" x14ac:dyDescent="0.25"/>
  <sheetData>
    <row r="1" spans="1:12" x14ac:dyDescent="0.25">
      <c r="A1" s="11"/>
      <c r="B1" s="67" t="s">
        <v>69</v>
      </c>
      <c r="C1" s="67"/>
      <c r="D1" s="68" t="s">
        <v>91</v>
      </c>
      <c r="E1" s="67"/>
      <c r="F1" s="67"/>
      <c r="G1" s="67"/>
      <c r="H1" s="67"/>
      <c r="I1" s="67"/>
      <c r="J1" s="67"/>
      <c r="K1" s="67"/>
      <c r="L1" s="67"/>
    </row>
    <row r="2" spans="1:12" x14ac:dyDescent="0.25">
      <c r="A2" s="12"/>
      <c r="B2" s="13" t="s">
        <v>105</v>
      </c>
      <c r="C2" s="13"/>
      <c r="D2" s="69" t="s">
        <v>91</v>
      </c>
      <c r="E2" s="13"/>
      <c r="F2" s="13"/>
      <c r="G2" s="13"/>
      <c r="H2" s="13"/>
      <c r="I2" s="13"/>
      <c r="J2" s="13"/>
      <c r="K2" s="13"/>
    </row>
    <row r="3" spans="1:12" x14ac:dyDescent="0.25">
      <c r="A3" s="15"/>
      <c r="B3" s="16" t="s">
        <v>75</v>
      </c>
      <c r="C3" s="16" t="s">
        <v>76</v>
      </c>
      <c r="D3" s="70">
        <v>44890</v>
      </c>
      <c r="E3" s="16" t="s">
        <v>78</v>
      </c>
      <c r="F3" s="16" t="s">
        <v>79</v>
      </c>
      <c r="G3" s="16" t="s">
        <v>80</v>
      </c>
      <c r="H3" s="17" t="s">
        <v>92</v>
      </c>
      <c r="I3" s="17" t="s">
        <v>93</v>
      </c>
      <c r="J3" s="17" t="s">
        <v>94</v>
      </c>
      <c r="K3" s="17" t="s">
        <v>95</v>
      </c>
      <c r="L3" s="18" t="s">
        <v>96</v>
      </c>
    </row>
    <row r="4" spans="1:12" x14ac:dyDescent="0.25">
      <c r="A4" s="1" t="s">
        <v>0</v>
      </c>
      <c r="B4" s="19">
        <v>2008</v>
      </c>
      <c r="C4" s="19">
        <v>2003</v>
      </c>
      <c r="D4" s="71">
        <v>2000</v>
      </c>
      <c r="E4" s="19">
        <v>2007</v>
      </c>
      <c r="F4" s="19">
        <v>2007</v>
      </c>
      <c r="G4" s="19"/>
      <c r="H4" s="19"/>
      <c r="I4" s="19"/>
      <c r="J4" s="19"/>
      <c r="K4" s="19"/>
      <c r="L4" s="20"/>
    </row>
    <row r="5" spans="1:12" x14ac:dyDescent="0.25">
      <c r="A5" s="2" t="s">
        <v>10</v>
      </c>
      <c r="B5" s="19">
        <v>2008</v>
      </c>
      <c r="C5" s="21">
        <v>2003</v>
      </c>
      <c r="D5" s="72">
        <v>2000</v>
      </c>
      <c r="E5" s="19">
        <v>2007</v>
      </c>
      <c r="F5" s="19">
        <v>2007</v>
      </c>
      <c r="G5" s="21"/>
      <c r="H5" s="21"/>
      <c r="I5" s="21"/>
      <c r="J5" s="21"/>
      <c r="K5" s="21"/>
      <c r="L5" s="22"/>
    </row>
    <row r="6" spans="1:12" x14ac:dyDescent="0.25">
      <c r="A6" s="5" t="s">
        <v>5</v>
      </c>
      <c r="B6" s="19">
        <v>2008</v>
      </c>
      <c r="C6" s="21">
        <v>2003</v>
      </c>
      <c r="D6" s="72">
        <v>2000</v>
      </c>
      <c r="E6" s="19">
        <v>2007</v>
      </c>
      <c r="F6" s="19">
        <v>2007</v>
      </c>
      <c r="G6" s="21"/>
      <c r="H6" s="21"/>
      <c r="I6" s="21"/>
      <c r="J6" s="21"/>
      <c r="K6" s="21"/>
      <c r="L6" s="22"/>
    </row>
    <row r="7" spans="1:12" x14ac:dyDescent="0.25">
      <c r="A7" s="5" t="s">
        <v>56</v>
      </c>
      <c r="B7" s="19">
        <v>2008</v>
      </c>
      <c r="C7" s="19">
        <v>2003</v>
      </c>
      <c r="D7" s="72">
        <v>2000</v>
      </c>
      <c r="E7" s="19">
        <v>2007</v>
      </c>
      <c r="F7" s="19">
        <v>2007</v>
      </c>
      <c r="G7" s="19"/>
      <c r="H7" s="19"/>
      <c r="I7" s="19"/>
      <c r="J7" s="19"/>
      <c r="K7" s="19"/>
      <c r="L7" s="20"/>
    </row>
    <row r="8" spans="1:12" x14ac:dyDescent="0.25">
      <c r="A8" s="5" t="s">
        <v>29</v>
      </c>
      <c r="B8" s="19">
        <v>2008</v>
      </c>
      <c r="C8" s="21">
        <v>2003</v>
      </c>
      <c r="D8" s="72">
        <v>2000</v>
      </c>
      <c r="E8" s="19">
        <v>2007</v>
      </c>
      <c r="F8" s="19">
        <v>2007</v>
      </c>
      <c r="G8" s="21"/>
      <c r="H8" s="21"/>
      <c r="I8" s="21"/>
      <c r="J8" s="21"/>
      <c r="K8" s="21"/>
      <c r="L8" s="22"/>
    </row>
    <row r="9" spans="1:12" x14ac:dyDescent="0.25">
      <c r="A9" s="5" t="s">
        <v>24</v>
      </c>
      <c r="B9" s="19">
        <v>2008</v>
      </c>
      <c r="C9" s="21">
        <v>2003</v>
      </c>
      <c r="D9" s="72">
        <v>2000</v>
      </c>
      <c r="E9" s="19">
        <v>2007</v>
      </c>
      <c r="F9" s="19">
        <v>2007</v>
      </c>
      <c r="G9" s="21"/>
      <c r="H9" s="21"/>
      <c r="I9" s="21"/>
      <c r="J9" s="21"/>
      <c r="K9" s="21"/>
      <c r="L9" s="22"/>
    </row>
    <row r="10" spans="1:12" x14ac:dyDescent="0.25">
      <c r="A10" s="5" t="s">
        <v>9</v>
      </c>
      <c r="B10" s="19">
        <v>2008</v>
      </c>
      <c r="C10" s="19">
        <v>2003</v>
      </c>
      <c r="D10" s="72">
        <v>2000</v>
      </c>
      <c r="E10" s="19">
        <v>2007</v>
      </c>
      <c r="F10" s="19">
        <v>2007</v>
      </c>
      <c r="G10" s="19"/>
      <c r="H10" s="19"/>
      <c r="I10" s="19"/>
      <c r="J10" s="19"/>
      <c r="K10" s="19"/>
      <c r="L10" s="20"/>
    </row>
    <row r="11" spans="1:12" x14ac:dyDescent="0.25">
      <c r="A11" s="5" t="s">
        <v>14</v>
      </c>
      <c r="B11" s="19">
        <v>2008</v>
      </c>
      <c r="C11" s="21">
        <v>2003</v>
      </c>
      <c r="D11" s="72">
        <v>2000</v>
      </c>
      <c r="E11" s="19">
        <v>2007</v>
      </c>
      <c r="F11" s="19">
        <v>2007</v>
      </c>
      <c r="G11" s="21"/>
      <c r="H11" s="21"/>
      <c r="I11" s="21"/>
      <c r="J11" s="21"/>
      <c r="K11" s="21"/>
      <c r="L11" s="22"/>
    </row>
    <row r="12" spans="1:12" x14ac:dyDescent="0.25">
      <c r="A12" s="5" t="s">
        <v>31</v>
      </c>
      <c r="B12" s="19">
        <v>2008</v>
      </c>
      <c r="C12" s="21">
        <v>2003</v>
      </c>
      <c r="D12" s="72">
        <v>2000</v>
      </c>
      <c r="E12" s="19">
        <v>2007</v>
      </c>
      <c r="F12" s="19">
        <v>2007</v>
      </c>
      <c r="G12" s="21"/>
      <c r="H12" s="21"/>
      <c r="I12" s="21"/>
      <c r="J12" s="21"/>
      <c r="K12" s="21"/>
      <c r="L12" s="22"/>
    </row>
    <row r="13" spans="1:12" x14ac:dyDescent="0.25">
      <c r="A13" s="5" t="s">
        <v>25</v>
      </c>
      <c r="B13" s="19">
        <v>2008</v>
      </c>
      <c r="C13" s="21">
        <v>2003</v>
      </c>
      <c r="D13" s="72">
        <v>2000</v>
      </c>
      <c r="E13" s="19">
        <v>2007</v>
      </c>
      <c r="F13" s="19">
        <v>2007</v>
      </c>
      <c r="G13" s="21"/>
      <c r="H13" s="21"/>
      <c r="I13" s="21"/>
      <c r="J13" s="21"/>
      <c r="K13" s="21"/>
      <c r="L13" s="22"/>
    </row>
    <row r="14" spans="1:12" x14ac:dyDescent="0.25">
      <c r="A14" s="23" t="s">
        <v>45</v>
      </c>
      <c r="B14" s="64">
        <v>2008</v>
      </c>
      <c r="C14" s="24">
        <v>2003</v>
      </c>
      <c r="D14" s="73">
        <v>2000</v>
      </c>
      <c r="E14" s="64">
        <v>2007</v>
      </c>
      <c r="F14" s="64">
        <v>2007</v>
      </c>
      <c r="G14" s="24"/>
      <c r="H14" s="24"/>
      <c r="I14" s="24"/>
      <c r="J14" s="24"/>
      <c r="K14" s="24"/>
      <c r="L14" s="25"/>
    </row>
    <row r="15" spans="1:12" x14ac:dyDescent="0.25">
      <c r="A15" s="26" t="s">
        <v>40</v>
      </c>
      <c r="B15" s="64">
        <v>2008</v>
      </c>
      <c r="C15" s="27">
        <v>2003</v>
      </c>
      <c r="D15" s="74">
        <v>2000</v>
      </c>
      <c r="E15" s="64">
        <v>2007</v>
      </c>
      <c r="F15" s="64">
        <v>2007</v>
      </c>
      <c r="G15" s="27"/>
      <c r="H15" s="27"/>
      <c r="I15" s="27"/>
      <c r="J15" s="27"/>
      <c r="K15" s="27"/>
      <c r="L15" s="28"/>
    </row>
    <row r="16" spans="1:12" x14ac:dyDescent="0.25">
      <c r="A16" s="29" t="s">
        <v>35</v>
      </c>
      <c r="B16" s="64">
        <v>2008</v>
      </c>
      <c r="C16" s="30">
        <v>2003</v>
      </c>
      <c r="D16" s="73">
        <v>2000</v>
      </c>
      <c r="E16" s="64">
        <v>2007</v>
      </c>
      <c r="F16" s="64">
        <v>2007</v>
      </c>
      <c r="G16" s="30"/>
      <c r="H16" s="30"/>
      <c r="I16" s="30"/>
      <c r="J16" s="30"/>
      <c r="K16" s="30"/>
      <c r="L16" s="31"/>
    </row>
    <row r="17" spans="1:12" x14ac:dyDescent="0.25">
      <c r="A17" s="23" t="s">
        <v>12</v>
      </c>
      <c r="B17" s="64">
        <v>2008</v>
      </c>
      <c r="C17" s="24">
        <v>2003</v>
      </c>
      <c r="D17" s="73">
        <v>2000</v>
      </c>
      <c r="E17" s="64">
        <v>2007</v>
      </c>
      <c r="F17" s="64">
        <v>2007</v>
      </c>
      <c r="G17" s="24"/>
      <c r="H17" s="24"/>
      <c r="I17" s="24"/>
      <c r="J17" s="24"/>
      <c r="K17" s="24"/>
      <c r="L17" s="25"/>
    </row>
    <row r="18" spans="1:12" x14ac:dyDescent="0.25">
      <c r="A18" s="26" t="s">
        <v>19</v>
      </c>
      <c r="B18" s="64">
        <v>2008</v>
      </c>
      <c r="C18" s="24">
        <v>2003</v>
      </c>
      <c r="D18" s="73">
        <v>2000</v>
      </c>
      <c r="E18" s="64">
        <v>2007</v>
      </c>
      <c r="F18" s="64">
        <v>2007</v>
      </c>
      <c r="G18" s="24"/>
      <c r="H18" s="24"/>
      <c r="I18" s="24"/>
      <c r="J18" s="24"/>
      <c r="K18" s="24"/>
      <c r="L18" s="25"/>
    </row>
    <row r="19" spans="1:12" x14ac:dyDescent="0.25">
      <c r="A19" s="23" t="s">
        <v>43</v>
      </c>
      <c r="B19" s="64">
        <v>2008</v>
      </c>
      <c r="C19" s="27">
        <v>2003</v>
      </c>
      <c r="D19" s="74">
        <v>2000</v>
      </c>
      <c r="E19" s="64">
        <v>2007</v>
      </c>
      <c r="F19" s="64">
        <v>2007</v>
      </c>
      <c r="G19" s="27"/>
      <c r="H19" s="27"/>
      <c r="I19" s="27"/>
      <c r="J19" s="27"/>
      <c r="K19" s="27"/>
      <c r="L19" s="28"/>
    </row>
    <row r="20" spans="1:12" x14ac:dyDescent="0.25">
      <c r="A20" s="26" t="s">
        <v>18</v>
      </c>
      <c r="B20" s="64">
        <v>2008</v>
      </c>
      <c r="C20" s="30">
        <v>2003</v>
      </c>
      <c r="D20" s="73">
        <v>2000</v>
      </c>
      <c r="E20" s="64">
        <v>2007</v>
      </c>
      <c r="F20" s="64">
        <v>2007</v>
      </c>
      <c r="G20" s="30"/>
      <c r="H20" s="30"/>
      <c r="I20" s="30"/>
      <c r="J20" s="30"/>
      <c r="K20" s="30"/>
      <c r="L20" s="31"/>
    </row>
    <row r="21" spans="1:12" x14ac:dyDescent="0.25">
      <c r="A21" s="26" t="s">
        <v>4</v>
      </c>
      <c r="B21" s="64">
        <v>2008</v>
      </c>
      <c r="C21" s="24">
        <v>2003</v>
      </c>
      <c r="D21" s="73">
        <v>2000</v>
      </c>
      <c r="E21" s="64">
        <v>2007</v>
      </c>
      <c r="F21" s="64">
        <v>2007</v>
      </c>
      <c r="G21" s="24"/>
      <c r="H21" s="24"/>
      <c r="I21" s="24"/>
      <c r="J21" s="24"/>
      <c r="K21" s="24"/>
      <c r="L21" s="25"/>
    </row>
    <row r="22" spans="1:12" x14ac:dyDescent="0.25">
      <c r="A22" s="29" t="s">
        <v>2</v>
      </c>
      <c r="B22" s="64">
        <v>2008</v>
      </c>
      <c r="C22" s="24">
        <v>2003</v>
      </c>
      <c r="D22" s="73">
        <v>2000</v>
      </c>
      <c r="E22" s="64">
        <v>2007</v>
      </c>
      <c r="F22" s="64">
        <v>2007</v>
      </c>
      <c r="G22" s="24"/>
      <c r="H22" s="24"/>
      <c r="I22" s="24"/>
      <c r="J22" s="24"/>
      <c r="K22" s="24"/>
      <c r="L22" s="25"/>
    </row>
    <row r="23" spans="1:12" x14ac:dyDescent="0.25">
      <c r="A23" s="29" t="s">
        <v>37</v>
      </c>
      <c r="B23" s="64">
        <v>2008</v>
      </c>
      <c r="C23" s="27">
        <v>2003</v>
      </c>
      <c r="D23" s="74">
        <v>2000</v>
      </c>
      <c r="E23" s="64">
        <v>2007</v>
      </c>
      <c r="F23" s="64">
        <v>2007</v>
      </c>
      <c r="G23" s="27"/>
      <c r="H23" s="27"/>
      <c r="I23" s="27"/>
      <c r="J23" s="27"/>
      <c r="K23" s="27"/>
      <c r="L23" s="28"/>
    </row>
    <row r="24" spans="1:12" x14ac:dyDescent="0.25">
      <c r="A24" s="32" t="s">
        <v>38</v>
      </c>
      <c r="B24" s="19">
        <v>2008</v>
      </c>
      <c r="C24" s="33">
        <v>2003</v>
      </c>
      <c r="D24" s="33">
        <v>2003</v>
      </c>
      <c r="E24" s="33">
        <v>2000</v>
      </c>
      <c r="F24" s="33">
        <v>1037</v>
      </c>
      <c r="G24" s="33"/>
      <c r="H24" s="33"/>
      <c r="I24" s="33"/>
      <c r="J24" s="33"/>
      <c r="K24" s="33"/>
      <c r="L24" s="34"/>
    </row>
    <row r="25" spans="1:12" x14ac:dyDescent="0.25">
      <c r="A25" s="35" t="s">
        <v>48</v>
      </c>
      <c r="B25" s="19">
        <v>2008</v>
      </c>
      <c r="C25" s="36">
        <v>2003</v>
      </c>
      <c r="D25" s="36">
        <v>2003</v>
      </c>
      <c r="E25" s="33">
        <v>2000</v>
      </c>
      <c r="F25" s="33">
        <v>1037</v>
      </c>
      <c r="G25" s="36"/>
      <c r="H25" s="36"/>
      <c r="I25" s="36"/>
      <c r="J25" s="36"/>
      <c r="K25" s="36"/>
      <c r="L25" s="37"/>
    </row>
    <row r="26" spans="1:12" x14ac:dyDescent="0.25">
      <c r="A26" s="38" t="s">
        <v>20</v>
      </c>
      <c r="B26" s="19">
        <v>2008</v>
      </c>
      <c r="C26" s="36">
        <v>2003</v>
      </c>
      <c r="D26" s="36">
        <v>2003</v>
      </c>
      <c r="E26" s="33">
        <v>2000</v>
      </c>
      <c r="F26" s="33">
        <v>1037</v>
      </c>
      <c r="G26" s="36"/>
      <c r="H26" s="36"/>
      <c r="I26" s="36"/>
      <c r="J26" s="36"/>
      <c r="K26" s="36"/>
      <c r="L26" s="37"/>
    </row>
    <row r="27" spans="1:12" x14ac:dyDescent="0.25">
      <c r="A27" s="32" t="s">
        <v>46</v>
      </c>
      <c r="B27" s="19">
        <v>2008</v>
      </c>
      <c r="C27" s="39">
        <v>2003</v>
      </c>
      <c r="D27" s="39">
        <v>2003</v>
      </c>
      <c r="E27" s="33">
        <v>2000</v>
      </c>
      <c r="F27" s="33">
        <v>1037</v>
      </c>
      <c r="G27" s="39"/>
      <c r="H27" s="39"/>
      <c r="I27" s="39"/>
      <c r="J27" s="39"/>
      <c r="K27" s="39"/>
      <c r="L27" s="40"/>
    </row>
    <row r="28" spans="1:12" x14ac:dyDescent="0.25">
      <c r="A28" s="35" t="s">
        <v>59</v>
      </c>
      <c r="B28" s="19">
        <v>2008</v>
      </c>
      <c r="C28" s="33">
        <v>2003</v>
      </c>
      <c r="D28" s="33">
        <v>2003</v>
      </c>
      <c r="E28" s="33">
        <v>2000</v>
      </c>
      <c r="F28" s="33">
        <v>1037</v>
      </c>
      <c r="G28" s="33"/>
      <c r="H28" s="33"/>
      <c r="I28" s="33"/>
      <c r="J28" s="33"/>
      <c r="K28" s="33"/>
      <c r="L28" s="34"/>
    </row>
    <row r="29" spans="1:12" x14ac:dyDescent="0.25">
      <c r="A29" s="32" t="s">
        <v>7</v>
      </c>
      <c r="B29" s="19">
        <v>2008</v>
      </c>
      <c r="C29" s="36">
        <v>2003</v>
      </c>
      <c r="D29" s="36">
        <v>2003</v>
      </c>
      <c r="E29" s="33">
        <v>2000</v>
      </c>
      <c r="F29" s="33">
        <v>1037</v>
      </c>
      <c r="G29" s="36"/>
      <c r="H29" s="36"/>
      <c r="I29" s="36"/>
      <c r="J29" s="36"/>
      <c r="K29" s="36"/>
      <c r="L29" s="37"/>
    </row>
    <row r="30" spans="1:12" x14ac:dyDescent="0.25">
      <c r="A30" s="35" t="s">
        <v>39</v>
      </c>
      <c r="B30" s="19">
        <v>2008</v>
      </c>
      <c r="C30" s="36">
        <v>2003</v>
      </c>
      <c r="D30" s="36">
        <v>2003</v>
      </c>
      <c r="E30" s="33">
        <v>2000</v>
      </c>
      <c r="F30" s="33">
        <v>1037</v>
      </c>
      <c r="G30" s="36"/>
      <c r="H30" s="36"/>
      <c r="I30" s="36"/>
      <c r="J30" s="36"/>
      <c r="K30" s="36"/>
      <c r="L30" s="37"/>
    </row>
    <row r="31" spans="1:12" x14ac:dyDescent="0.25">
      <c r="A31" s="35" t="s">
        <v>3</v>
      </c>
      <c r="B31" s="19">
        <v>2008</v>
      </c>
      <c r="C31" s="36">
        <v>2003</v>
      </c>
      <c r="D31" s="36">
        <v>2003</v>
      </c>
      <c r="E31" s="33">
        <v>2000</v>
      </c>
      <c r="F31" s="33">
        <v>1037</v>
      </c>
      <c r="G31" s="39"/>
      <c r="H31" s="39"/>
      <c r="I31" s="39"/>
      <c r="J31" s="39"/>
      <c r="K31" s="39"/>
      <c r="L31" s="40"/>
    </row>
    <row r="32" spans="1:12" x14ac:dyDescent="0.25">
      <c r="A32" s="38" t="s">
        <v>50</v>
      </c>
      <c r="B32" s="19">
        <v>2008</v>
      </c>
      <c r="C32" s="36">
        <v>2003</v>
      </c>
      <c r="D32" s="36">
        <v>2003</v>
      </c>
      <c r="E32" s="33">
        <v>2000</v>
      </c>
      <c r="F32" s="33">
        <v>1037</v>
      </c>
      <c r="G32" s="33"/>
      <c r="H32" s="33"/>
      <c r="I32" s="33"/>
      <c r="J32" s="33"/>
      <c r="K32" s="33"/>
      <c r="L32" s="34"/>
    </row>
    <row r="33" spans="1:12" x14ac:dyDescent="0.25">
      <c r="A33" s="38" t="s">
        <v>32</v>
      </c>
      <c r="B33" s="19">
        <v>2008</v>
      </c>
      <c r="C33" s="36">
        <v>2003</v>
      </c>
      <c r="D33" s="36">
        <v>2003</v>
      </c>
      <c r="E33" s="33">
        <v>2000</v>
      </c>
      <c r="F33" s="33">
        <v>1037</v>
      </c>
      <c r="G33" s="36"/>
      <c r="H33" s="36"/>
      <c r="I33" s="36"/>
      <c r="J33" s="36"/>
      <c r="K33" s="36"/>
      <c r="L33" s="37"/>
    </row>
    <row r="34" spans="1:12" x14ac:dyDescent="0.25">
      <c r="A34" s="41" t="s">
        <v>1</v>
      </c>
      <c r="B34" s="19">
        <v>2008</v>
      </c>
      <c r="C34" s="42">
        <v>2003</v>
      </c>
      <c r="D34" s="77">
        <v>2003</v>
      </c>
      <c r="E34" s="42">
        <v>2003</v>
      </c>
      <c r="F34" s="42">
        <v>2000</v>
      </c>
      <c r="G34" s="42"/>
      <c r="H34" s="42"/>
      <c r="I34" s="42"/>
      <c r="J34" s="42"/>
      <c r="K34" s="42"/>
      <c r="L34" s="43"/>
    </row>
    <row r="35" spans="1:12" x14ac:dyDescent="0.25">
      <c r="A35" s="44" t="s">
        <v>6</v>
      </c>
      <c r="B35" s="19">
        <v>2008</v>
      </c>
      <c r="C35" s="42">
        <v>2003</v>
      </c>
      <c r="D35" s="78">
        <v>2003</v>
      </c>
      <c r="E35" s="42">
        <v>2003</v>
      </c>
      <c r="F35" s="42">
        <v>2000</v>
      </c>
      <c r="G35" s="45"/>
      <c r="H35" s="45"/>
      <c r="I35" s="45"/>
      <c r="J35" s="45"/>
      <c r="K35" s="45"/>
      <c r="L35" s="46"/>
    </row>
    <row r="36" spans="1:12" x14ac:dyDescent="0.25">
      <c r="A36" s="44" t="s">
        <v>57</v>
      </c>
      <c r="B36" s="19">
        <v>2008</v>
      </c>
      <c r="C36" s="42">
        <v>2003</v>
      </c>
      <c r="D36" s="77">
        <v>2003</v>
      </c>
      <c r="E36" s="42">
        <v>2003</v>
      </c>
      <c r="F36" s="42">
        <v>2000</v>
      </c>
      <c r="G36" s="47"/>
      <c r="H36" s="47"/>
      <c r="I36" s="47"/>
      <c r="J36" s="47"/>
      <c r="K36" s="47"/>
      <c r="L36" s="48"/>
    </row>
    <row r="37" spans="1:12" x14ac:dyDescent="0.25">
      <c r="A37" s="41" t="s">
        <v>51</v>
      </c>
      <c r="B37" s="19">
        <v>2008</v>
      </c>
      <c r="C37" s="42">
        <v>2003</v>
      </c>
      <c r="D37" s="77">
        <v>2003</v>
      </c>
      <c r="E37" s="42">
        <v>2003</v>
      </c>
      <c r="F37" s="42">
        <v>2000</v>
      </c>
      <c r="G37" s="42"/>
      <c r="H37" s="42"/>
      <c r="I37" s="42"/>
      <c r="J37" s="42"/>
      <c r="K37" s="42"/>
      <c r="L37" s="43"/>
    </row>
    <row r="38" spans="1:12" x14ac:dyDescent="0.25">
      <c r="A38" s="49" t="s">
        <v>52</v>
      </c>
      <c r="B38" s="19">
        <v>2008</v>
      </c>
      <c r="C38" s="42">
        <v>2003</v>
      </c>
      <c r="D38" s="77">
        <v>2003</v>
      </c>
      <c r="E38" s="42">
        <v>2003</v>
      </c>
      <c r="F38" s="42">
        <v>2000</v>
      </c>
      <c r="G38" s="42"/>
      <c r="H38" s="42"/>
      <c r="I38" s="42"/>
      <c r="J38" s="42"/>
      <c r="K38" s="42"/>
      <c r="L38" s="43"/>
    </row>
    <row r="39" spans="1:12" x14ac:dyDescent="0.25">
      <c r="A39" s="44" t="s">
        <v>36</v>
      </c>
      <c r="B39" s="19">
        <v>2008</v>
      </c>
      <c r="C39" s="42">
        <v>2003</v>
      </c>
      <c r="D39" s="78">
        <v>2003</v>
      </c>
      <c r="E39" s="42">
        <v>2003</v>
      </c>
      <c r="F39" s="42">
        <v>2000</v>
      </c>
      <c r="G39" s="45"/>
      <c r="H39" s="45"/>
      <c r="I39" s="45"/>
      <c r="J39" s="45"/>
      <c r="K39" s="45"/>
      <c r="L39" s="46"/>
    </row>
    <row r="40" spans="1:12" x14ac:dyDescent="0.25">
      <c r="A40" s="49" t="s">
        <v>8</v>
      </c>
      <c r="B40" s="19">
        <v>2008</v>
      </c>
      <c r="C40" s="42">
        <v>2003</v>
      </c>
      <c r="D40" s="77">
        <v>2003</v>
      </c>
      <c r="E40" s="42">
        <v>2003</v>
      </c>
      <c r="F40" s="42">
        <v>2000</v>
      </c>
      <c r="G40" s="47"/>
      <c r="H40" s="47"/>
      <c r="I40" s="47"/>
      <c r="J40" s="47"/>
      <c r="K40" s="47"/>
      <c r="L40" s="48"/>
    </row>
    <row r="41" spans="1:12" x14ac:dyDescent="0.25">
      <c r="A41" s="44" t="s">
        <v>41</v>
      </c>
      <c r="B41" s="19">
        <v>2008</v>
      </c>
      <c r="C41" s="42">
        <v>2003</v>
      </c>
      <c r="D41" s="77">
        <v>2003</v>
      </c>
      <c r="E41" s="42">
        <v>2003</v>
      </c>
      <c r="F41" s="42">
        <v>2000</v>
      </c>
      <c r="G41" s="42"/>
      <c r="H41" s="42"/>
      <c r="I41" s="42"/>
      <c r="J41" s="42"/>
      <c r="K41" s="42"/>
      <c r="L41" s="43"/>
    </row>
    <row r="42" spans="1:12" x14ac:dyDescent="0.25">
      <c r="A42" s="44" t="s">
        <v>55</v>
      </c>
      <c r="B42" s="19">
        <v>2008</v>
      </c>
      <c r="C42" s="42">
        <v>2003</v>
      </c>
      <c r="D42" s="77">
        <v>2003</v>
      </c>
      <c r="E42" s="42">
        <v>2003</v>
      </c>
      <c r="F42" s="42">
        <v>2000</v>
      </c>
      <c r="G42" s="42"/>
      <c r="H42" s="42"/>
      <c r="I42" s="42"/>
      <c r="J42" s="42"/>
      <c r="K42" s="42"/>
      <c r="L42" s="43"/>
    </row>
    <row r="43" spans="1:12" x14ac:dyDescent="0.25">
      <c r="A43" s="44" t="s">
        <v>33</v>
      </c>
      <c r="B43" s="19">
        <v>2008</v>
      </c>
      <c r="C43" s="42">
        <v>2003</v>
      </c>
      <c r="D43" s="78">
        <v>2003</v>
      </c>
      <c r="E43" s="42">
        <v>2003</v>
      </c>
      <c r="F43" s="42">
        <v>2000</v>
      </c>
      <c r="G43" s="45"/>
      <c r="H43" s="45"/>
      <c r="I43" s="45"/>
      <c r="J43" s="45"/>
      <c r="K43" s="45"/>
      <c r="L43" s="46"/>
    </row>
    <row r="44" spans="1:12" x14ac:dyDescent="0.25">
      <c r="A44" s="50" t="s">
        <v>27</v>
      </c>
      <c r="B44" s="19">
        <v>2008</v>
      </c>
      <c r="C44" s="51">
        <v>2003</v>
      </c>
      <c r="D44" s="79">
        <v>2003</v>
      </c>
      <c r="E44" s="51">
        <v>2000</v>
      </c>
      <c r="F44" s="51">
        <v>2000</v>
      </c>
      <c r="G44" s="51"/>
      <c r="H44" s="51"/>
      <c r="I44" s="51"/>
      <c r="J44" s="51"/>
      <c r="K44" s="51"/>
      <c r="L44" s="52"/>
    </row>
    <row r="45" spans="1:12" x14ac:dyDescent="0.25">
      <c r="A45" s="53" t="s">
        <v>22</v>
      </c>
      <c r="B45" s="19">
        <v>2008</v>
      </c>
      <c r="C45" s="51">
        <v>2003</v>
      </c>
      <c r="D45" s="79">
        <v>2003</v>
      </c>
      <c r="E45" s="51">
        <v>2000</v>
      </c>
      <c r="F45" s="51">
        <v>2000</v>
      </c>
      <c r="G45" s="54"/>
      <c r="H45" s="54"/>
      <c r="I45" s="54"/>
      <c r="J45" s="54"/>
      <c r="K45" s="54"/>
      <c r="L45" s="55"/>
    </row>
    <row r="46" spans="1:12" x14ac:dyDescent="0.25">
      <c r="A46" s="53" t="s">
        <v>15</v>
      </c>
      <c r="B46" s="19">
        <v>2008</v>
      </c>
      <c r="C46" s="51">
        <v>2003</v>
      </c>
      <c r="D46" s="79">
        <v>2003</v>
      </c>
      <c r="E46" s="51">
        <v>2000</v>
      </c>
      <c r="F46" s="51">
        <v>2000</v>
      </c>
      <c r="G46" s="54"/>
      <c r="H46" s="54"/>
      <c r="I46" s="54"/>
      <c r="J46" s="54"/>
      <c r="K46" s="54"/>
      <c r="L46" s="55"/>
    </row>
    <row r="47" spans="1:12" x14ac:dyDescent="0.25">
      <c r="A47" s="50" t="s">
        <v>42</v>
      </c>
      <c r="B47" s="19">
        <v>2008</v>
      </c>
      <c r="C47" s="51">
        <v>2003</v>
      </c>
      <c r="D47" s="80">
        <v>2003</v>
      </c>
      <c r="E47" s="51">
        <v>2000</v>
      </c>
      <c r="F47" s="51">
        <v>2000</v>
      </c>
      <c r="G47" s="56"/>
      <c r="H47" s="56"/>
      <c r="I47" s="56"/>
      <c r="J47" s="56"/>
      <c r="K47" s="56"/>
      <c r="L47" s="57"/>
    </row>
    <row r="48" spans="1:12" x14ac:dyDescent="0.25">
      <c r="A48" s="53" t="s">
        <v>28</v>
      </c>
      <c r="B48" s="19">
        <v>2008</v>
      </c>
      <c r="C48" s="51">
        <v>2003</v>
      </c>
      <c r="D48" s="79">
        <v>2003</v>
      </c>
      <c r="E48" s="51">
        <v>2000</v>
      </c>
      <c r="F48" s="51">
        <v>2000</v>
      </c>
      <c r="G48" s="51"/>
      <c r="H48" s="51"/>
      <c r="I48" s="51"/>
      <c r="J48" s="51"/>
      <c r="K48" s="51"/>
      <c r="L48" s="52"/>
    </row>
    <row r="49" spans="1:12" x14ac:dyDescent="0.25">
      <c r="A49" s="58" t="s">
        <v>47</v>
      </c>
      <c r="B49" s="19">
        <v>2008</v>
      </c>
      <c r="C49" s="51">
        <v>2003</v>
      </c>
      <c r="D49" s="79">
        <v>2003</v>
      </c>
      <c r="E49" s="51">
        <v>2000</v>
      </c>
      <c r="F49" s="51">
        <v>2000</v>
      </c>
      <c r="G49" s="54"/>
      <c r="H49" s="54"/>
      <c r="I49" s="54"/>
      <c r="J49" s="54"/>
      <c r="K49" s="54"/>
      <c r="L49" s="55"/>
    </row>
    <row r="50" spans="1:12" x14ac:dyDescent="0.25">
      <c r="A50" s="53" t="s">
        <v>13</v>
      </c>
      <c r="B50" s="19">
        <v>2008</v>
      </c>
      <c r="C50" s="51">
        <v>2003</v>
      </c>
      <c r="D50" s="79">
        <v>2003</v>
      </c>
      <c r="E50" s="51">
        <v>2000</v>
      </c>
      <c r="F50" s="51">
        <v>2000</v>
      </c>
      <c r="G50" s="54"/>
      <c r="H50" s="54"/>
      <c r="I50" s="54"/>
      <c r="J50" s="54"/>
      <c r="K50" s="54"/>
      <c r="L50" s="55"/>
    </row>
    <row r="51" spans="1:12" x14ac:dyDescent="0.25">
      <c r="A51" s="53" t="s">
        <v>26</v>
      </c>
      <c r="B51" s="19">
        <v>2008</v>
      </c>
      <c r="C51" s="51">
        <v>2003</v>
      </c>
      <c r="D51" s="80">
        <v>2003</v>
      </c>
      <c r="E51" s="51">
        <v>2000</v>
      </c>
      <c r="F51" s="51">
        <v>2000</v>
      </c>
      <c r="G51" s="56"/>
      <c r="H51" s="56"/>
      <c r="I51" s="56"/>
      <c r="J51" s="56"/>
      <c r="K51" s="56"/>
      <c r="L51" s="57"/>
    </row>
    <row r="52" spans="1:12" x14ac:dyDescent="0.25">
      <c r="A52" s="50" t="s">
        <v>11</v>
      </c>
      <c r="B52" s="19">
        <v>2008</v>
      </c>
      <c r="C52" s="51">
        <v>2003</v>
      </c>
      <c r="D52" s="79">
        <v>2003</v>
      </c>
      <c r="E52" s="51">
        <v>2000</v>
      </c>
      <c r="F52" s="51">
        <v>2000</v>
      </c>
      <c r="G52" s="51"/>
      <c r="H52" s="51"/>
      <c r="I52" s="51"/>
      <c r="J52" s="51"/>
      <c r="K52" s="51"/>
      <c r="L52" s="52"/>
    </row>
    <row r="53" spans="1:12" x14ac:dyDescent="0.25">
      <c r="A53" s="50" t="s">
        <v>58</v>
      </c>
      <c r="B53" s="19">
        <v>2008</v>
      </c>
      <c r="C53" s="51">
        <v>2003</v>
      </c>
      <c r="D53" s="79">
        <v>2003</v>
      </c>
      <c r="E53" s="51">
        <v>2000</v>
      </c>
      <c r="F53" s="51">
        <v>2000</v>
      </c>
      <c r="G53" s="54"/>
      <c r="H53" s="54"/>
      <c r="I53" s="54"/>
      <c r="J53" s="54"/>
      <c r="K53" s="54"/>
      <c r="L53" s="55"/>
    </row>
    <row r="54" spans="1:12" x14ac:dyDescent="0.25">
      <c r="A54" s="4" t="s">
        <v>44</v>
      </c>
      <c r="B54" s="19">
        <v>2008</v>
      </c>
      <c r="C54" s="4">
        <v>2003</v>
      </c>
      <c r="D54" s="81">
        <v>2000</v>
      </c>
      <c r="E54" s="4">
        <v>1037</v>
      </c>
      <c r="F54" s="4">
        <v>1037</v>
      </c>
      <c r="G54" s="4"/>
      <c r="H54" s="4"/>
      <c r="I54" s="4"/>
      <c r="J54" s="4"/>
      <c r="K54" s="4"/>
      <c r="L54" s="4"/>
    </row>
    <row r="55" spans="1:12" x14ac:dyDescent="0.25">
      <c r="A55" s="6" t="s">
        <v>34</v>
      </c>
      <c r="B55" s="19">
        <v>2008</v>
      </c>
      <c r="C55" s="4">
        <v>2003</v>
      </c>
      <c r="D55" s="81">
        <v>2000</v>
      </c>
      <c r="E55" s="4">
        <v>1037</v>
      </c>
      <c r="F55" s="4">
        <v>1037</v>
      </c>
      <c r="G55" s="6"/>
      <c r="H55" s="6"/>
      <c r="I55" s="6"/>
      <c r="J55" s="6"/>
      <c r="K55" s="6"/>
      <c r="L55" s="6"/>
    </row>
    <row r="56" spans="1:12" x14ac:dyDescent="0.25">
      <c r="A56" s="3" t="s">
        <v>21</v>
      </c>
      <c r="B56" s="19">
        <v>2008</v>
      </c>
      <c r="C56" s="4">
        <v>2003</v>
      </c>
      <c r="D56" s="81">
        <v>2000</v>
      </c>
      <c r="E56" s="4">
        <v>1037</v>
      </c>
      <c r="F56" s="4">
        <v>1037</v>
      </c>
      <c r="G56" s="3"/>
      <c r="H56" s="3"/>
      <c r="I56" s="3"/>
      <c r="J56" s="3"/>
      <c r="K56" s="3"/>
      <c r="L56" s="3"/>
    </row>
    <row r="57" spans="1:12" x14ac:dyDescent="0.25">
      <c r="A57" s="4" t="s">
        <v>23</v>
      </c>
      <c r="B57" s="19">
        <v>2008</v>
      </c>
      <c r="C57" s="4">
        <v>2003</v>
      </c>
      <c r="D57" s="81">
        <v>2000</v>
      </c>
      <c r="E57" s="4">
        <v>1037</v>
      </c>
      <c r="F57" s="4">
        <v>1037</v>
      </c>
      <c r="G57" s="4"/>
      <c r="H57" s="4"/>
      <c r="I57" s="4"/>
      <c r="J57" s="4"/>
      <c r="K57" s="4"/>
      <c r="L57" s="4"/>
    </row>
    <row r="58" spans="1:12" x14ac:dyDescent="0.25">
      <c r="A58" s="6" t="s">
        <v>16</v>
      </c>
      <c r="B58" s="19">
        <v>2008</v>
      </c>
      <c r="C58" s="4">
        <v>2003</v>
      </c>
      <c r="D58" s="81">
        <v>2000</v>
      </c>
      <c r="E58" s="4">
        <v>1037</v>
      </c>
      <c r="F58" s="4">
        <v>1037</v>
      </c>
      <c r="G58" s="6"/>
      <c r="H58" s="6"/>
      <c r="I58" s="6"/>
      <c r="J58" s="6"/>
      <c r="K58" s="6"/>
      <c r="L58" s="6"/>
    </row>
    <row r="59" spans="1:12" x14ac:dyDescent="0.25">
      <c r="A59" s="4" t="s">
        <v>17</v>
      </c>
      <c r="B59" s="19">
        <v>2008</v>
      </c>
      <c r="C59" s="4">
        <v>2003</v>
      </c>
      <c r="D59" s="81">
        <v>2000</v>
      </c>
      <c r="E59" s="4">
        <v>1037</v>
      </c>
      <c r="F59" s="4">
        <v>1037</v>
      </c>
      <c r="G59" s="4"/>
      <c r="H59" s="4"/>
      <c r="I59" s="4"/>
      <c r="J59" s="4"/>
      <c r="K59" s="4"/>
      <c r="L59" s="4"/>
    </row>
    <row r="60" spans="1:12" x14ac:dyDescent="0.25">
      <c r="A60" s="6" t="s">
        <v>53</v>
      </c>
      <c r="B60" s="19">
        <v>2008</v>
      </c>
      <c r="C60" s="4">
        <v>2003</v>
      </c>
      <c r="D60" s="81">
        <v>2000</v>
      </c>
      <c r="E60" s="4">
        <v>1037</v>
      </c>
      <c r="F60" s="4">
        <v>1037</v>
      </c>
      <c r="G60" s="6"/>
      <c r="H60" s="6"/>
      <c r="I60" s="6"/>
      <c r="J60" s="6"/>
      <c r="K60" s="6"/>
      <c r="L60" s="6"/>
    </row>
    <row r="61" spans="1:12" x14ac:dyDescent="0.25">
      <c r="A61" s="6" t="s">
        <v>49</v>
      </c>
      <c r="B61" s="19">
        <v>2008</v>
      </c>
      <c r="C61" s="4">
        <v>2003</v>
      </c>
      <c r="D61" s="81">
        <v>2000</v>
      </c>
      <c r="E61" s="4">
        <v>1037</v>
      </c>
      <c r="F61" s="4">
        <v>1037</v>
      </c>
      <c r="G61" s="6"/>
      <c r="H61" s="6"/>
      <c r="I61" s="6"/>
      <c r="J61" s="6"/>
      <c r="K61" s="6"/>
      <c r="L61" s="6"/>
    </row>
    <row r="62" spans="1:12" x14ac:dyDescent="0.25">
      <c r="A62" s="4" t="s">
        <v>30</v>
      </c>
      <c r="B62" s="19">
        <v>2008</v>
      </c>
      <c r="C62" s="4">
        <v>2003</v>
      </c>
      <c r="D62" s="81">
        <v>2000</v>
      </c>
      <c r="E62" s="4">
        <v>1037</v>
      </c>
      <c r="F62" s="4">
        <v>1037</v>
      </c>
      <c r="G62" s="4"/>
      <c r="H62" s="4"/>
      <c r="I62" s="4"/>
      <c r="J62" s="4"/>
      <c r="K62" s="4"/>
      <c r="L62" s="4"/>
    </row>
    <row r="63" spans="1:12" x14ac:dyDescent="0.25">
      <c r="A63" s="4" t="s">
        <v>54</v>
      </c>
      <c r="B63" s="19">
        <v>2008</v>
      </c>
      <c r="C63" s="4">
        <v>2003</v>
      </c>
      <c r="D63" s="81">
        <v>2000</v>
      </c>
      <c r="E63" s="4">
        <v>1037</v>
      </c>
      <c r="F63" s="4">
        <v>1037</v>
      </c>
      <c r="G63" s="4"/>
      <c r="H63" s="4"/>
      <c r="I63" s="4"/>
      <c r="J63" s="4"/>
      <c r="K63" s="4"/>
      <c r="L63" s="4"/>
    </row>
    <row r="64" spans="1:12" x14ac:dyDescent="0.25">
      <c r="A64" s="7"/>
      <c r="D64" s="84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tabSelected="1" zoomScale="104" workbookViewId="0">
      <selection activeCell="I50" sqref="I50"/>
    </sheetView>
  </sheetViews>
  <sheetFormatPr baseColWidth="10" defaultColWidth="11.42578125" defaultRowHeight="15" x14ac:dyDescent="0.25"/>
  <cols>
    <col min="14" max="14" width="16.85546875" style="210" customWidth="1"/>
  </cols>
  <sheetData>
    <row r="1" spans="1:14" x14ac:dyDescent="0.25">
      <c r="A1" s="11"/>
      <c r="B1" s="252" t="s">
        <v>72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spans="1:14" ht="15.75" thickBot="1" x14ac:dyDescent="0.3">
      <c r="A2" s="12"/>
      <c r="B2" s="13" t="s">
        <v>106</v>
      </c>
      <c r="C2" s="13"/>
      <c r="D2" s="13"/>
      <c r="E2" s="13"/>
      <c r="F2" s="13"/>
      <c r="G2" s="13"/>
    </row>
    <row r="3" spans="1:14" ht="15.75" thickBot="1" x14ac:dyDescent="0.3">
      <c r="A3" s="15"/>
      <c r="B3" s="16" t="s">
        <v>75</v>
      </c>
      <c r="C3" s="16" t="s">
        <v>76</v>
      </c>
      <c r="D3" s="16" t="s">
        <v>77</v>
      </c>
      <c r="E3" s="16" t="s">
        <v>78</v>
      </c>
      <c r="F3" s="16" t="s">
        <v>79</v>
      </c>
      <c r="G3" s="16" t="s">
        <v>80</v>
      </c>
      <c r="N3"/>
    </row>
    <row r="4" spans="1:14" x14ac:dyDescent="0.25">
      <c r="A4" s="1" t="s">
        <v>0</v>
      </c>
      <c r="B4" t="s">
        <v>90</v>
      </c>
      <c r="C4" s="19">
        <v>57.2</v>
      </c>
      <c r="D4" s="19"/>
      <c r="E4" s="19"/>
      <c r="F4" s="19">
        <v>158.5</v>
      </c>
      <c r="G4" s="19">
        <v>15.6</v>
      </c>
      <c r="N4"/>
    </row>
    <row r="5" spans="1:14" x14ac:dyDescent="0.25">
      <c r="A5" s="2" t="s">
        <v>10</v>
      </c>
      <c r="B5" s="21"/>
      <c r="C5" s="21"/>
      <c r="D5" s="21"/>
      <c r="E5" s="21"/>
      <c r="F5" s="21">
        <v>110.1</v>
      </c>
      <c r="G5" s="21">
        <v>10.5</v>
      </c>
      <c r="N5"/>
    </row>
    <row r="6" spans="1:14" ht="15.75" thickBot="1" x14ac:dyDescent="0.3">
      <c r="A6" s="5" t="s">
        <v>5</v>
      </c>
      <c r="B6" s="21"/>
      <c r="C6" s="21"/>
      <c r="D6" s="21"/>
      <c r="E6" s="21"/>
      <c r="F6" s="21">
        <v>163.6</v>
      </c>
      <c r="G6" s="21">
        <v>15.6</v>
      </c>
      <c r="N6"/>
    </row>
    <row r="7" spans="1:14" ht="15.75" thickBot="1" x14ac:dyDescent="0.3">
      <c r="A7" s="5" t="s">
        <v>56</v>
      </c>
      <c r="B7" s="19"/>
      <c r="C7" s="19"/>
      <c r="D7" s="19"/>
      <c r="E7" s="19"/>
      <c r="F7" s="19">
        <v>139.4</v>
      </c>
      <c r="G7" s="19">
        <v>12.3</v>
      </c>
      <c r="N7"/>
    </row>
    <row r="8" spans="1:14" ht="15.75" thickBot="1" x14ac:dyDescent="0.3">
      <c r="A8" s="5" t="s">
        <v>29</v>
      </c>
      <c r="B8" s="21"/>
      <c r="C8" s="21"/>
      <c r="D8" s="21"/>
      <c r="E8" s="21"/>
      <c r="F8" s="21"/>
      <c r="G8" s="21"/>
      <c r="N8"/>
    </row>
    <row r="9" spans="1:14" ht="15.75" thickBot="1" x14ac:dyDescent="0.3">
      <c r="A9" s="5" t="s">
        <v>24</v>
      </c>
      <c r="B9" s="21"/>
      <c r="C9" s="21"/>
      <c r="D9" s="21">
        <v>139.9</v>
      </c>
      <c r="E9" s="21">
        <v>13.2</v>
      </c>
      <c r="F9" s="21"/>
      <c r="G9" s="21"/>
      <c r="N9"/>
    </row>
    <row r="10" spans="1:14" ht="15.75" thickBot="1" x14ac:dyDescent="0.3">
      <c r="A10" s="5" t="s">
        <v>9</v>
      </c>
      <c r="B10" s="19"/>
      <c r="C10" s="19"/>
      <c r="D10" s="19">
        <v>139.4</v>
      </c>
      <c r="E10" s="21">
        <v>11.9</v>
      </c>
      <c r="F10" s="19"/>
      <c r="G10" s="19"/>
      <c r="N10"/>
    </row>
    <row r="11" spans="1:14" ht="15.75" thickBot="1" x14ac:dyDescent="0.3">
      <c r="A11" s="5" t="s">
        <v>14</v>
      </c>
      <c r="B11" s="21"/>
      <c r="C11" s="21"/>
      <c r="D11" s="21"/>
      <c r="E11" s="21"/>
      <c r="F11" s="21"/>
      <c r="G11" s="21"/>
      <c r="N11"/>
    </row>
    <row r="12" spans="1:14" ht="15.75" thickBot="1" x14ac:dyDescent="0.3">
      <c r="A12" s="5" t="s">
        <v>31</v>
      </c>
      <c r="B12" s="21"/>
      <c r="C12" s="21"/>
      <c r="D12" s="21"/>
      <c r="E12" s="21"/>
      <c r="F12" s="21"/>
      <c r="G12" s="21"/>
      <c r="N12"/>
    </row>
    <row r="13" spans="1:14" ht="15.75" thickBot="1" x14ac:dyDescent="0.3">
      <c r="A13" s="5" t="s">
        <v>25</v>
      </c>
      <c r="B13" s="21"/>
      <c r="C13" s="21"/>
      <c r="D13" s="21"/>
      <c r="E13" s="21"/>
      <c r="F13" s="21"/>
      <c r="G13" s="21"/>
      <c r="N13"/>
    </row>
    <row r="14" spans="1:14" x14ac:dyDescent="0.25">
      <c r="A14" s="23" t="s">
        <v>45</v>
      </c>
      <c r="B14" s="24"/>
      <c r="C14" s="24"/>
      <c r="D14" s="24"/>
      <c r="E14" s="24"/>
      <c r="F14" s="24">
        <v>120.4</v>
      </c>
      <c r="G14" s="24">
        <v>12.5</v>
      </c>
      <c r="N14"/>
    </row>
    <row r="15" spans="1:14" ht="15.75" thickBot="1" x14ac:dyDescent="0.3">
      <c r="A15" s="26" t="s">
        <v>40</v>
      </c>
      <c r="B15" s="27"/>
      <c r="C15" s="27"/>
      <c r="D15" s="27"/>
      <c r="E15" s="27"/>
      <c r="F15" s="27">
        <v>93.8</v>
      </c>
      <c r="G15" s="27">
        <v>8.5</v>
      </c>
      <c r="N15"/>
    </row>
    <row r="16" spans="1:14" ht="15.75" thickBot="1" x14ac:dyDescent="0.3">
      <c r="A16" s="29" t="s">
        <v>35</v>
      </c>
      <c r="B16" s="30"/>
      <c r="C16" s="30"/>
      <c r="D16" s="30"/>
      <c r="E16" s="30"/>
      <c r="F16" s="30">
        <v>114.9</v>
      </c>
      <c r="G16" s="30">
        <v>9.8000000000000007</v>
      </c>
      <c r="N16"/>
    </row>
    <row r="17" spans="1:14" x14ac:dyDescent="0.25">
      <c r="A17" s="23" t="s">
        <v>12</v>
      </c>
      <c r="B17" s="24"/>
      <c r="C17" s="24"/>
      <c r="D17" s="24"/>
      <c r="E17" s="24"/>
      <c r="F17" s="24">
        <v>144.80000000000001</v>
      </c>
      <c r="G17" s="24">
        <v>10.3</v>
      </c>
      <c r="N17"/>
    </row>
    <row r="18" spans="1:14" ht="15.75" thickBot="1" x14ac:dyDescent="0.3">
      <c r="A18" s="26" t="s">
        <v>19</v>
      </c>
      <c r="B18" s="24"/>
      <c r="C18" s="24"/>
      <c r="D18" s="24"/>
      <c r="E18" s="24"/>
      <c r="F18" s="24"/>
      <c r="G18" s="24"/>
      <c r="N18"/>
    </row>
    <row r="19" spans="1:14" ht="15.75" thickBot="1" x14ac:dyDescent="0.3">
      <c r="A19" s="23" t="s">
        <v>43</v>
      </c>
      <c r="B19" s="27"/>
      <c r="C19" s="27"/>
      <c r="D19" s="27"/>
      <c r="E19" s="27"/>
      <c r="F19" s="27"/>
      <c r="G19" s="27"/>
      <c r="N19"/>
    </row>
    <row r="20" spans="1:14" x14ac:dyDescent="0.25">
      <c r="A20" s="26" t="s">
        <v>18</v>
      </c>
      <c r="B20" s="30"/>
      <c r="C20" s="30"/>
      <c r="D20" s="30"/>
      <c r="E20" s="30"/>
      <c r="F20" s="30"/>
      <c r="G20" s="30"/>
      <c r="N20"/>
    </row>
    <row r="21" spans="1:14" x14ac:dyDescent="0.25">
      <c r="A21" s="26" t="s">
        <v>4</v>
      </c>
      <c r="B21" s="24"/>
      <c r="C21" s="24"/>
      <c r="D21" s="24"/>
      <c r="E21" s="24"/>
      <c r="F21" s="24"/>
      <c r="G21" s="24"/>
      <c r="N21"/>
    </row>
    <row r="22" spans="1:14" ht="15.75" thickBot="1" x14ac:dyDescent="0.3">
      <c r="A22" s="29" t="s">
        <v>2</v>
      </c>
      <c r="B22" s="24"/>
      <c r="C22" s="24"/>
      <c r="D22" s="24"/>
      <c r="E22" s="24"/>
      <c r="F22" s="24"/>
      <c r="G22" s="24"/>
      <c r="N22"/>
    </row>
    <row r="23" spans="1:14" ht="15.75" thickBot="1" x14ac:dyDescent="0.3">
      <c r="A23" s="29" t="s">
        <v>37</v>
      </c>
      <c r="B23" s="27"/>
      <c r="C23" s="27"/>
      <c r="D23" s="27"/>
      <c r="E23" s="27"/>
      <c r="F23" s="27"/>
      <c r="G23" s="27"/>
      <c r="N23"/>
    </row>
    <row r="24" spans="1:14" x14ac:dyDescent="0.25">
      <c r="A24" s="32" t="s">
        <v>38</v>
      </c>
      <c r="B24" s="33"/>
      <c r="C24" s="33"/>
      <c r="D24" s="33"/>
      <c r="E24" s="33"/>
      <c r="F24" s="33">
        <v>74.599999999999994</v>
      </c>
      <c r="G24" s="33">
        <v>8.1999999999999993</v>
      </c>
      <c r="N24"/>
    </row>
    <row r="25" spans="1:14" x14ac:dyDescent="0.25">
      <c r="A25" s="35" t="s">
        <v>48</v>
      </c>
      <c r="B25" s="36"/>
      <c r="C25" s="36"/>
      <c r="D25" s="36"/>
      <c r="E25" s="36"/>
      <c r="F25" s="36">
        <v>117.2</v>
      </c>
      <c r="G25" s="36">
        <v>14.2</v>
      </c>
      <c r="N25"/>
    </row>
    <row r="26" spans="1:14" ht="15.75" thickBot="1" x14ac:dyDescent="0.3">
      <c r="A26" s="38" t="s">
        <v>20</v>
      </c>
      <c r="B26" s="36"/>
      <c r="C26" s="36"/>
      <c r="D26" s="36"/>
      <c r="E26" s="36"/>
      <c r="F26" s="36">
        <v>94.5</v>
      </c>
      <c r="G26" s="36">
        <v>15.3</v>
      </c>
      <c r="N26"/>
    </row>
    <row r="27" spans="1:14" ht="15.75" thickBot="1" x14ac:dyDescent="0.3">
      <c r="A27" s="32" t="s">
        <v>46</v>
      </c>
      <c r="B27" s="39"/>
      <c r="C27" s="39"/>
      <c r="D27" s="39"/>
      <c r="E27" s="39"/>
      <c r="F27" s="39">
        <v>102.9</v>
      </c>
      <c r="G27" s="39">
        <v>13.6</v>
      </c>
      <c r="N27"/>
    </row>
    <row r="28" spans="1:14" ht="15.75" thickBot="1" x14ac:dyDescent="0.3">
      <c r="A28" s="35" t="s">
        <v>59</v>
      </c>
      <c r="B28" s="33"/>
      <c r="C28" s="33"/>
      <c r="D28" s="33">
        <v>105</v>
      </c>
      <c r="E28" s="33">
        <v>13.1</v>
      </c>
      <c r="F28" s="33"/>
      <c r="G28" s="33"/>
      <c r="N28"/>
    </row>
    <row r="29" spans="1:14" x14ac:dyDescent="0.25">
      <c r="A29" s="32" t="s">
        <v>7</v>
      </c>
      <c r="B29" s="36"/>
      <c r="C29" s="36"/>
      <c r="D29" s="36">
        <v>117.6</v>
      </c>
      <c r="E29" s="36">
        <v>14.3</v>
      </c>
      <c r="F29" s="36"/>
      <c r="G29" s="36"/>
      <c r="N29"/>
    </row>
    <row r="30" spans="1:14" x14ac:dyDescent="0.25">
      <c r="A30" s="35" t="s">
        <v>39</v>
      </c>
      <c r="B30" s="36"/>
      <c r="C30" s="36"/>
      <c r="D30" s="36">
        <v>115.9</v>
      </c>
      <c r="E30" s="36">
        <v>16.2</v>
      </c>
      <c r="F30" s="36"/>
      <c r="G30" s="36"/>
      <c r="N30"/>
    </row>
    <row r="31" spans="1:14" ht="15.75" thickBot="1" x14ac:dyDescent="0.3">
      <c r="A31" s="35" t="s">
        <v>3</v>
      </c>
      <c r="B31" s="39"/>
      <c r="C31" s="39"/>
      <c r="D31" s="39"/>
      <c r="E31" s="39"/>
      <c r="F31" s="39"/>
      <c r="G31" s="39"/>
      <c r="N31"/>
    </row>
    <row r="32" spans="1:14" ht="15.75" thickBot="1" x14ac:dyDescent="0.3">
      <c r="A32" s="38" t="s">
        <v>50</v>
      </c>
      <c r="B32" s="33"/>
      <c r="C32" s="33"/>
      <c r="D32" s="33"/>
      <c r="E32" s="33"/>
      <c r="F32" s="33"/>
      <c r="G32" s="33"/>
      <c r="N32"/>
    </row>
    <row r="33" spans="1:14" ht="15.75" thickBot="1" x14ac:dyDescent="0.3">
      <c r="A33" s="38" t="s">
        <v>32</v>
      </c>
      <c r="B33" s="36"/>
      <c r="C33" s="36"/>
      <c r="D33" s="36"/>
      <c r="E33" s="36"/>
      <c r="F33" s="36"/>
      <c r="G33" s="36"/>
      <c r="N33"/>
    </row>
    <row r="34" spans="1:14" ht="15.75" thickBot="1" x14ac:dyDescent="0.3">
      <c r="A34" s="41" t="s">
        <v>1</v>
      </c>
      <c r="B34" s="42"/>
      <c r="C34" s="42"/>
      <c r="D34" s="42"/>
      <c r="E34" s="42"/>
      <c r="F34" s="42">
        <v>96</v>
      </c>
      <c r="G34" s="42">
        <v>11.2</v>
      </c>
      <c r="N34"/>
    </row>
    <row r="35" spans="1:14" ht="15.75" thickBot="1" x14ac:dyDescent="0.3">
      <c r="A35" s="44" t="s">
        <v>6</v>
      </c>
      <c r="B35" s="45"/>
      <c r="C35" s="45"/>
      <c r="D35" s="45"/>
      <c r="E35" s="45"/>
      <c r="F35" s="45">
        <v>79</v>
      </c>
      <c r="G35" s="45">
        <v>8.1</v>
      </c>
      <c r="N35"/>
    </row>
    <row r="36" spans="1:14" x14ac:dyDescent="0.25">
      <c r="A36" s="44" t="s">
        <v>57</v>
      </c>
      <c r="B36" s="47"/>
      <c r="C36" s="47"/>
      <c r="D36" s="47"/>
      <c r="E36" s="47"/>
      <c r="F36" s="47">
        <v>90.9</v>
      </c>
      <c r="G36" s="47">
        <v>8.4</v>
      </c>
      <c r="N36"/>
    </row>
    <row r="37" spans="1:14" ht="15.75" thickBot="1" x14ac:dyDescent="0.3">
      <c r="A37" s="41" t="s">
        <v>51</v>
      </c>
      <c r="B37" s="42"/>
      <c r="C37" s="42"/>
      <c r="D37" s="42"/>
      <c r="E37" s="42"/>
      <c r="F37" s="42">
        <v>109.7</v>
      </c>
      <c r="G37" s="42">
        <v>11</v>
      </c>
      <c r="N37"/>
    </row>
    <row r="38" spans="1:14" x14ac:dyDescent="0.25">
      <c r="A38" s="49" t="s">
        <v>52</v>
      </c>
      <c r="B38" s="42"/>
      <c r="C38" s="42"/>
      <c r="D38" s="42"/>
      <c r="E38" s="42"/>
      <c r="F38" s="42"/>
      <c r="G38" s="42"/>
      <c r="N38"/>
    </row>
    <row r="39" spans="1:14" ht="15.75" thickBot="1" x14ac:dyDescent="0.3">
      <c r="A39" s="44" t="s">
        <v>36</v>
      </c>
      <c r="B39" s="45"/>
      <c r="C39" s="45"/>
      <c r="D39" s="45"/>
      <c r="E39" s="45"/>
      <c r="F39" s="45"/>
      <c r="G39" s="45"/>
      <c r="N39"/>
    </row>
    <row r="40" spans="1:14" x14ac:dyDescent="0.25">
      <c r="A40" s="49" t="s">
        <v>8</v>
      </c>
      <c r="B40" s="47"/>
      <c r="C40" s="47"/>
      <c r="D40" s="47"/>
      <c r="E40" s="47"/>
      <c r="F40" s="47"/>
      <c r="G40" s="47"/>
      <c r="N40"/>
    </row>
    <row r="41" spans="1:14" x14ac:dyDescent="0.25">
      <c r="A41" s="44" t="s">
        <v>41</v>
      </c>
      <c r="B41" s="42"/>
      <c r="C41" s="42"/>
      <c r="D41" s="42"/>
      <c r="E41" s="42"/>
      <c r="F41" s="42"/>
      <c r="G41" s="42"/>
      <c r="N41"/>
    </row>
    <row r="42" spans="1:14" x14ac:dyDescent="0.25">
      <c r="A42" s="44" t="s">
        <v>55</v>
      </c>
      <c r="B42" s="42"/>
      <c r="C42" s="42"/>
      <c r="D42" s="42"/>
      <c r="E42" s="42"/>
      <c r="F42" s="42"/>
      <c r="G42" s="42"/>
      <c r="N42"/>
    </row>
    <row r="43" spans="1:14" ht="15.75" thickBot="1" x14ac:dyDescent="0.3">
      <c r="A43" s="44" t="s">
        <v>33</v>
      </c>
      <c r="B43" s="45"/>
      <c r="C43" s="45"/>
      <c r="D43" s="45"/>
      <c r="E43" s="45"/>
      <c r="F43" s="45"/>
      <c r="G43" s="45"/>
      <c r="N43"/>
    </row>
    <row r="44" spans="1:14" ht="15.75" thickBot="1" x14ac:dyDescent="0.3">
      <c r="A44" s="50" t="s">
        <v>27</v>
      </c>
      <c r="B44" s="51"/>
      <c r="C44" s="51"/>
      <c r="D44" s="51"/>
      <c r="E44" s="51"/>
      <c r="F44" s="51">
        <v>82.2</v>
      </c>
      <c r="G44" s="51">
        <v>8.8000000000000007</v>
      </c>
      <c r="N44"/>
    </row>
    <row r="45" spans="1:14" x14ac:dyDescent="0.25">
      <c r="A45" s="53" t="s">
        <v>22</v>
      </c>
      <c r="B45" s="54"/>
      <c r="C45" s="54"/>
      <c r="D45" s="54"/>
      <c r="E45" s="54"/>
      <c r="F45" s="54">
        <v>78.099999999999994</v>
      </c>
      <c r="G45" s="54">
        <v>7.7</v>
      </c>
      <c r="N45"/>
    </row>
    <row r="46" spans="1:14" x14ac:dyDescent="0.25">
      <c r="A46" s="53" t="s">
        <v>15</v>
      </c>
      <c r="B46" s="54"/>
      <c r="C46" s="54"/>
      <c r="D46" s="54"/>
      <c r="E46" s="54"/>
      <c r="F46" s="54">
        <v>134.30000000000001</v>
      </c>
      <c r="G46" s="54">
        <v>13.7</v>
      </c>
      <c r="N46"/>
    </row>
    <row r="47" spans="1:14" ht="15.75" thickBot="1" x14ac:dyDescent="0.3">
      <c r="A47" s="50" t="s">
        <v>42</v>
      </c>
      <c r="B47" s="56"/>
      <c r="C47" s="56"/>
      <c r="D47" s="56"/>
      <c r="E47" s="56"/>
      <c r="F47" s="56">
        <v>112.5</v>
      </c>
      <c r="G47" s="56">
        <v>12.1</v>
      </c>
      <c r="N47"/>
    </row>
    <row r="48" spans="1:14" ht="15.75" thickBot="1" x14ac:dyDescent="0.3">
      <c r="A48" s="53" t="s">
        <v>28</v>
      </c>
      <c r="B48" s="51"/>
      <c r="C48" s="51"/>
      <c r="D48" s="51">
        <v>125.1</v>
      </c>
      <c r="E48" s="51">
        <v>12.6</v>
      </c>
      <c r="F48" s="51"/>
      <c r="G48" s="51"/>
      <c r="N48"/>
    </row>
    <row r="49" spans="1:14" x14ac:dyDescent="0.25">
      <c r="A49" s="58" t="s">
        <v>47</v>
      </c>
      <c r="B49" s="54"/>
      <c r="C49" s="54"/>
      <c r="D49" s="54">
        <v>117</v>
      </c>
      <c r="E49" s="54">
        <v>10.5</v>
      </c>
      <c r="F49" s="54"/>
      <c r="G49" s="54"/>
      <c r="N49"/>
    </row>
    <row r="50" spans="1:14" x14ac:dyDescent="0.25">
      <c r="A50" s="53" t="s">
        <v>13</v>
      </c>
      <c r="B50" s="54"/>
      <c r="C50" s="54"/>
      <c r="D50" s="54">
        <v>105.8</v>
      </c>
      <c r="E50" s="54">
        <v>12.4</v>
      </c>
      <c r="F50" s="54"/>
      <c r="G50" s="54"/>
      <c r="N50"/>
    </row>
    <row r="51" spans="1:14" ht="15.75" thickBot="1" x14ac:dyDescent="0.3">
      <c r="A51" s="53" t="s">
        <v>26</v>
      </c>
      <c r="B51" s="56"/>
      <c r="C51" s="56"/>
      <c r="D51" s="56"/>
      <c r="E51" s="56"/>
      <c r="F51" s="56"/>
      <c r="G51" s="56"/>
      <c r="N51"/>
    </row>
    <row r="52" spans="1:14" ht="15.75" thickBot="1" x14ac:dyDescent="0.3">
      <c r="A52" s="50" t="s">
        <v>11</v>
      </c>
      <c r="B52" s="51"/>
      <c r="C52" s="51"/>
      <c r="D52" s="51"/>
      <c r="E52" s="51"/>
      <c r="F52" s="51"/>
      <c r="G52" s="51"/>
      <c r="N52"/>
    </row>
    <row r="53" spans="1:14" ht="15.75" thickBot="1" x14ac:dyDescent="0.3">
      <c r="A53" s="50" t="s">
        <v>58</v>
      </c>
      <c r="B53" s="54"/>
      <c r="C53" s="54"/>
      <c r="D53" s="54"/>
      <c r="E53" s="54"/>
      <c r="F53" s="54"/>
      <c r="G53" s="54"/>
      <c r="N53"/>
    </row>
    <row r="54" spans="1:14" x14ac:dyDescent="0.25">
      <c r="A54" s="4" t="s">
        <v>44</v>
      </c>
      <c r="B54" s="4"/>
      <c r="C54" s="4"/>
      <c r="D54" s="4"/>
      <c r="E54" s="4"/>
      <c r="F54" s="4">
        <v>60.9</v>
      </c>
      <c r="G54" s="4">
        <v>10.9</v>
      </c>
      <c r="N54"/>
    </row>
    <row r="55" spans="1:14" x14ac:dyDescent="0.25">
      <c r="A55" s="6" t="s">
        <v>34</v>
      </c>
      <c r="B55" s="6"/>
      <c r="C55" s="6"/>
      <c r="D55" s="6"/>
      <c r="E55" s="6"/>
      <c r="F55" s="6">
        <v>56.2</v>
      </c>
      <c r="G55" s="6">
        <v>10.3</v>
      </c>
      <c r="N55"/>
    </row>
    <row r="56" spans="1:14" ht="15.75" thickBot="1" x14ac:dyDescent="0.3">
      <c r="A56" s="3" t="s">
        <v>21</v>
      </c>
      <c r="B56" s="3"/>
      <c r="C56" s="3"/>
      <c r="D56" s="3"/>
      <c r="E56" s="3"/>
      <c r="F56" s="3">
        <v>64.7</v>
      </c>
      <c r="G56" s="3">
        <v>10.3</v>
      </c>
      <c r="N56"/>
    </row>
    <row r="57" spans="1:14" x14ac:dyDescent="0.25">
      <c r="A57" s="4" t="s">
        <v>23</v>
      </c>
      <c r="B57" s="4"/>
      <c r="C57" s="4"/>
      <c r="D57" s="4"/>
      <c r="E57" s="4"/>
      <c r="F57" s="4">
        <v>89.3</v>
      </c>
      <c r="G57" s="4">
        <v>14.6</v>
      </c>
      <c r="N57"/>
    </row>
    <row r="58" spans="1:14" ht="15.75" thickBot="1" x14ac:dyDescent="0.3">
      <c r="A58" s="6" t="s">
        <v>16</v>
      </c>
      <c r="B58" s="6"/>
      <c r="C58" s="6"/>
      <c r="D58" s="6"/>
      <c r="E58" s="6"/>
      <c r="F58" s="6"/>
      <c r="G58" s="6"/>
      <c r="N58"/>
    </row>
    <row r="59" spans="1:14" x14ac:dyDescent="0.25">
      <c r="A59" s="4" t="s">
        <v>17</v>
      </c>
      <c r="B59" s="4"/>
      <c r="C59" s="4"/>
      <c r="D59" s="4"/>
      <c r="E59" s="4"/>
      <c r="F59" s="4"/>
      <c r="G59" s="4"/>
      <c r="N59"/>
    </row>
    <row r="60" spans="1:14" x14ac:dyDescent="0.25">
      <c r="A60" s="6" t="s">
        <v>53</v>
      </c>
      <c r="B60" s="6"/>
      <c r="C60" s="6"/>
      <c r="D60" s="6"/>
      <c r="E60" s="6"/>
      <c r="F60" s="6"/>
      <c r="G60" s="6"/>
      <c r="N60"/>
    </row>
    <row r="61" spans="1:14" ht="15.75" thickBot="1" x14ac:dyDescent="0.3">
      <c r="A61" s="6" t="s">
        <v>49</v>
      </c>
      <c r="B61" s="6"/>
      <c r="C61" s="6"/>
      <c r="D61" s="6"/>
      <c r="E61" s="6"/>
      <c r="F61" s="6"/>
      <c r="G61" s="6"/>
      <c r="N61"/>
    </row>
    <row r="62" spans="1:14" ht="15.75" thickBot="1" x14ac:dyDescent="0.3">
      <c r="A62" s="4" t="s">
        <v>30</v>
      </c>
      <c r="B62" s="4"/>
      <c r="C62" s="4"/>
      <c r="D62" s="4"/>
      <c r="E62" s="4"/>
      <c r="F62" s="4"/>
      <c r="G62" s="4"/>
      <c r="N62"/>
    </row>
    <row r="63" spans="1:14" x14ac:dyDescent="0.25">
      <c r="A63" s="4" t="s">
        <v>54</v>
      </c>
      <c r="B63" s="4"/>
      <c r="C63" s="4"/>
      <c r="D63" s="4"/>
      <c r="E63" s="4"/>
      <c r="F63" s="4"/>
      <c r="G63" s="4"/>
      <c r="N63"/>
    </row>
    <row r="64" spans="1:14" x14ac:dyDescent="0.25">
      <c r="A64" s="7"/>
      <c r="N64"/>
    </row>
  </sheetData>
  <mergeCells count="1">
    <mergeCell ref="B1:L1"/>
  </mergeCells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5ac009-2780-474d-ae1a-e7de7b40895b">
      <Terms xmlns="http://schemas.microsoft.com/office/infopath/2007/PartnerControls"/>
    </lcf76f155ced4ddcb4097134ff3c332f>
    <TaxCatchAll xmlns="ac371d7e-a586-483f-9eb3-3bd6211dff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EA91B94C1ADE419FBBF6DE17B4D46A" ma:contentTypeVersion="11" ma:contentTypeDescription="Ein neues Dokument erstellen." ma:contentTypeScope="" ma:versionID="3480a1023c95d2f63ce3fc831ea5d522">
  <xsd:schema xmlns:xsd="http://www.w3.org/2001/XMLSchema" xmlns:xs="http://www.w3.org/2001/XMLSchema" xmlns:p="http://schemas.microsoft.com/office/2006/metadata/properties" xmlns:ns2="735ac009-2780-474d-ae1a-e7de7b40895b" xmlns:ns3="ac371d7e-a586-483f-9eb3-3bd6211dff66" targetNamespace="http://schemas.microsoft.com/office/2006/metadata/properties" ma:root="true" ma:fieldsID="e5dc2631b0173c2c8052d68125914cce" ns2:_="" ns3:_="">
    <xsd:import namespace="735ac009-2780-474d-ae1a-e7de7b40895b"/>
    <xsd:import namespace="ac371d7e-a586-483f-9eb3-3bd6211df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ac009-2780-474d-ae1a-e7de7b408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71d7e-a586-483f-9eb3-3bd6211dff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eac75e-e86e-498e-a7ad-e1f285c7ff23}" ma:internalName="TaxCatchAll" ma:showField="CatchAllData" ma:web="ac371d7e-a586-483f-9eb3-3bd6211dff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3BD02-9D73-4CA7-87D4-7178AD42A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B95AA2-4112-46C2-8CA1-DB0944494F6A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ac371d7e-a586-483f-9eb3-3bd6211dff66"/>
    <ds:schemaRef ds:uri="735ac009-2780-474d-ae1a-e7de7b40895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1106161-2485-447D-904B-942F422C9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ac009-2780-474d-ae1a-e7de7b40895b"/>
    <ds:schemaRef ds:uri="ac371d7e-a586-483f-9eb3-3bd6211df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Versuchsanordnung</vt:lpstr>
      <vt:lpstr>Gewichtsverlust</vt:lpstr>
      <vt:lpstr>Mikrobielle Belastung </vt:lpstr>
      <vt:lpstr> Feuchte der Verpackung</vt:lpstr>
      <vt:lpstr>Elastizität</vt:lpstr>
      <vt:lpstr>Farbmessung</vt:lpstr>
      <vt:lpstr>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maxki</dc:creator>
  <cp:keywords/>
  <dc:description/>
  <cp:lastModifiedBy>maxki</cp:lastModifiedBy>
  <cp:revision/>
  <dcterms:created xsi:type="dcterms:W3CDTF">2022-11-20T19:10:24Z</dcterms:created>
  <dcterms:modified xsi:type="dcterms:W3CDTF">2023-01-06T16:55:55Z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0x01010043EA91B94C1ADE419FBBF6DE17B4D46A</vt:lpwstr>
  </property>
  <property fmtid="{D5CDD505-2E9C-101B-9397-08002B2CF9AE}" pid="3" name="MediaServiceImageTags">
    <vt:lpwstr/>
  </property>
</Properties>
</file>