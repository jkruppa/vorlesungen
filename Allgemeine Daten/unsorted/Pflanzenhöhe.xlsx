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Jonas\OneDrive\Hochschule Osnabrück\6.Semester\"/>
    </mc:Choice>
  </mc:AlternateContent>
  <xr:revisionPtr revIDLastSave="0" documentId="13_ncr:1_{E974BA8E-430A-44B0-A68D-64A563742E4B}" xr6:coauthVersionLast="47" xr6:coauthVersionMax="47" xr10:uidLastSave="{00000000-0000-0000-0000-000000000000}"/>
  <bookViews>
    <workbookView xWindow="-120" yWindow="-120" windowWidth="24240" windowHeight="13140" xr2:uid="{1DAAE058-6C0C-436D-8C99-E4AC7B8F1757}"/>
  </bookViews>
  <sheets>
    <sheet name="Infos" sheetId="18" r:id="rId1"/>
    <sheet name="1.DL" sheetId="3" r:id="rId2"/>
    <sheet name="1.DL - Abb" sheetId="5" r:id="rId3"/>
    <sheet name="2.DL" sheetId="4" r:id="rId4"/>
    <sheet name="2.DL - Abb"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5" i="4" l="1"/>
  <c r="F55" i="4" s="1"/>
  <c r="E55" i="4"/>
  <c r="H55" i="4"/>
  <c r="K55" i="4" s="1"/>
  <c r="J55" i="4"/>
  <c r="M55" i="4"/>
  <c r="P55" i="4" s="1"/>
  <c r="O55" i="4"/>
  <c r="H109" i="4" s="1"/>
  <c r="H110" i="4" s="1"/>
  <c r="R55" i="4"/>
  <c r="T55" i="4"/>
  <c r="U55" i="4"/>
  <c r="W55" i="4"/>
  <c r="Y55" i="4"/>
  <c r="AB55" i="4"/>
  <c r="AE55" i="4" s="1"/>
  <c r="AD55" i="4"/>
  <c r="AG55" i="4"/>
  <c r="AJ55" i="4" s="1"/>
  <c r="AI55" i="4"/>
  <c r="T109" i="4" s="1"/>
  <c r="T110" i="4" s="1"/>
  <c r="AL55" i="4"/>
  <c r="AN55" i="4"/>
  <c r="C56" i="4"/>
  <c r="H56" i="4"/>
  <c r="M56" i="4"/>
  <c r="R56" i="4"/>
  <c r="W56" i="4"/>
  <c r="Z55" i="4" s="1"/>
  <c r="AB56" i="4"/>
  <c r="AG56" i="4"/>
  <c r="AL56" i="4"/>
  <c r="AO55" i="4" s="1"/>
  <c r="C57" i="4"/>
  <c r="H57" i="4"/>
  <c r="M57" i="4"/>
  <c r="R57" i="4"/>
  <c r="W57" i="4"/>
  <c r="AB57" i="4"/>
  <c r="AG57" i="4"/>
  <c r="AL57" i="4"/>
  <c r="C58" i="4"/>
  <c r="H58" i="4"/>
  <c r="M58" i="4"/>
  <c r="R58" i="4"/>
  <c r="W58" i="4"/>
  <c r="AB58" i="4"/>
  <c r="AG58" i="4"/>
  <c r="AL58" i="4"/>
  <c r="C59" i="4"/>
  <c r="E59" i="4"/>
  <c r="H59" i="4"/>
  <c r="K59" i="4" s="1"/>
  <c r="J59" i="4"/>
  <c r="M59" i="4"/>
  <c r="P59" i="4" s="1"/>
  <c r="O59" i="4"/>
  <c r="H113" i="4" s="1"/>
  <c r="R59" i="4"/>
  <c r="T59" i="4"/>
  <c r="W59" i="4"/>
  <c r="Y59" i="4"/>
  <c r="AB59" i="4"/>
  <c r="AE59" i="4" s="1"/>
  <c r="AD59" i="4"/>
  <c r="AG59" i="4"/>
  <c r="AJ59" i="4" s="1"/>
  <c r="AI59" i="4"/>
  <c r="T113" i="4" s="1"/>
  <c r="T114" i="4" s="1"/>
  <c r="AL59" i="4"/>
  <c r="AN59" i="4"/>
  <c r="C60" i="4"/>
  <c r="F59" i="4" s="1"/>
  <c r="H60" i="4"/>
  <c r="M60" i="4"/>
  <c r="R60" i="4"/>
  <c r="U59" i="4" s="1"/>
  <c r="W60" i="4"/>
  <c r="Z59" i="4" s="1"/>
  <c r="AB60" i="4"/>
  <c r="AG60" i="4"/>
  <c r="AL60" i="4"/>
  <c r="AO59" i="4" s="1"/>
  <c r="C61" i="4"/>
  <c r="H61" i="4"/>
  <c r="M61" i="4"/>
  <c r="R61" i="4"/>
  <c r="W61" i="4"/>
  <c r="AB61" i="4"/>
  <c r="AG61" i="4"/>
  <c r="AL61" i="4"/>
  <c r="C62" i="4"/>
  <c r="H62" i="4"/>
  <c r="M62" i="4"/>
  <c r="R62" i="4"/>
  <c r="W62" i="4"/>
  <c r="AB62" i="4"/>
  <c r="AG62" i="4"/>
  <c r="AL62" i="4"/>
  <c r="C63" i="4"/>
  <c r="E63" i="4"/>
  <c r="H63" i="4"/>
  <c r="K63" i="4" s="1"/>
  <c r="J63" i="4"/>
  <c r="M63" i="4"/>
  <c r="P63" i="4" s="1"/>
  <c r="O63" i="4"/>
  <c r="H117" i="4" s="1"/>
  <c r="H118" i="4" s="1"/>
  <c r="R63" i="4"/>
  <c r="T63" i="4"/>
  <c r="W63" i="4"/>
  <c r="Y63" i="4"/>
  <c r="AB63" i="4"/>
  <c r="AE63" i="4" s="1"/>
  <c r="AD63" i="4"/>
  <c r="AG63" i="4"/>
  <c r="AJ63" i="4" s="1"/>
  <c r="AI63" i="4"/>
  <c r="T117" i="4" s="1"/>
  <c r="T118" i="4" s="1"/>
  <c r="AL63" i="4"/>
  <c r="AN63" i="4"/>
  <c r="C64" i="4"/>
  <c r="F63" i="4" s="1"/>
  <c r="H64" i="4"/>
  <c r="M64" i="4"/>
  <c r="R64" i="4"/>
  <c r="U63" i="4" s="1"/>
  <c r="W64" i="4"/>
  <c r="Z63" i="4" s="1"/>
  <c r="AB64" i="4"/>
  <c r="AG64" i="4"/>
  <c r="AL64" i="4"/>
  <c r="AO63" i="4" s="1"/>
  <c r="C65" i="4"/>
  <c r="H65" i="4"/>
  <c r="M65" i="4"/>
  <c r="R65" i="4"/>
  <c r="W65" i="4"/>
  <c r="AB65" i="4"/>
  <c r="AG65" i="4"/>
  <c r="AL65" i="4"/>
  <c r="C66" i="4"/>
  <c r="H66" i="4"/>
  <c r="M66" i="4"/>
  <c r="R66" i="4"/>
  <c r="W66" i="4"/>
  <c r="AB66" i="4"/>
  <c r="AG66" i="4"/>
  <c r="AL66" i="4"/>
  <c r="C67" i="4"/>
  <c r="E67" i="4"/>
  <c r="H67" i="4"/>
  <c r="K67" i="4" s="1"/>
  <c r="J67" i="4"/>
  <c r="M67" i="4"/>
  <c r="P67" i="4" s="1"/>
  <c r="O67" i="4"/>
  <c r="K121" i="4" s="1"/>
  <c r="K122" i="4" s="1"/>
  <c r="R67" i="4"/>
  <c r="T67" i="4"/>
  <c r="W67" i="4"/>
  <c r="Y67" i="4"/>
  <c r="AB67" i="4"/>
  <c r="AE67" i="4" s="1"/>
  <c r="AD67" i="4"/>
  <c r="AG67" i="4"/>
  <c r="AJ67" i="4" s="1"/>
  <c r="AI67" i="4"/>
  <c r="W121" i="4" s="1"/>
  <c r="W122" i="4" s="1"/>
  <c r="AL67" i="4"/>
  <c r="AN67" i="4"/>
  <c r="C68" i="4"/>
  <c r="F67" i="4" s="1"/>
  <c r="H68" i="4"/>
  <c r="M68" i="4"/>
  <c r="R68" i="4"/>
  <c r="U67" i="4" s="1"/>
  <c r="W68" i="4"/>
  <c r="Z67" i="4" s="1"/>
  <c r="AB68" i="4"/>
  <c r="AG68" i="4"/>
  <c r="AL68" i="4"/>
  <c r="AO67" i="4" s="1"/>
  <c r="C69" i="4"/>
  <c r="H69" i="4"/>
  <c r="M69" i="4"/>
  <c r="R69" i="4"/>
  <c r="W69" i="4"/>
  <c r="AB69" i="4"/>
  <c r="AG69" i="4"/>
  <c r="AL69" i="4"/>
  <c r="C70" i="4"/>
  <c r="H70" i="4"/>
  <c r="M70" i="4"/>
  <c r="R70" i="4"/>
  <c r="W70" i="4"/>
  <c r="AB70" i="4"/>
  <c r="AG70" i="4"/>
  <c r="AL70" i="4"/>
  <c r="C71" i="4"/>
  <c r="E71" i="4"/>
  <c r="H71" i="4"/>
  <c r="K71" i="4" s="1"/>
  <c r="J71" i="4"/>
  <c r="M71" i="4"/>
  <c r="P71" i="4" s="1"/>
  <c r="O71" i="4"/>
  <c r="H125" i="4" s="1"/>
  <c r="H126" i="4" s="1"/>
  <c r="R71" i="4"/>
  <c r="T71" i="4"/>
  <c r="W71" i="4"/>
  <c r="Y71" i="4"/>
  <c r="AB71" i="4"/>
  <c r="AE71" i="4" s="1"/>
  <c r="AD71" i="4"/>
  <c r="AG71" i="4"/>
  <c r="AJ71" i="4" s="1"/>
  <c r="AI71" i="4"/>
  <c r="T125" i="4" s="1"/>
  <c r="T126" i="4" s="1"/>
  <c r="AL71" i="4"/>
  <c r="AN71" i="4"/>
  <c r="C72" i="4"/>
  <c r="F71" i="4" s="1"/>
  <c r="H72" i="4"/>
  <c r="M72" i="4"/>
  <c r="R72" i="4"/>
  <c r="U71" i="4" s="1"/>
  <c r="W72" i="4"/>
  <c r="Z71" i="4" s="1"/>
  <c r="AB72" i="4"/>
  <c r="AG72" i="4"/>
  <c r="AL72" i="4"/>
  <c r="AO71" i="4" s="1"/>
  <c r="C73" i="4"/>
  <c r="H73" i="4"/>
  <c r="M73" i="4"/>
  <c r="R73" i="4"/>
  <c r="W73" i="4"/>
  <c r="AB73" i="4"/>
  <c r="AG73" i="4"/>
  <c r="AL73" i="4"/>
  <c r="C74" i="4"/>
  <c r="H74" i="4"/>
  <c r="M74" i="4"/>
  <c r="R74" i="4"/>
  <c r="W74" i="4"/>
  <c r="AB74" i="4"/>
  <c r="AG74" i="4"/>
  <c r="AL74" i="4"/>
  <c r="C75" i="4"/>
  <c r="E75" i="4"/>
  <c r="H75" i="4"/>
  <c r="K75" i="4" s="1"/>
  <c r="J75" i="4"/>
  <c r="M75" i="4"/>
  <c r="P75" i="4" s="1"/>
  <c r="O75" i="4"/>
  <c r="H129" i="4" s="1"/>
  <c r="R75" i="4"/>
  <c r="T75" i="4"/>
  <c r="W75" i="4"/>
  <c r="Y75" i="4"/>
  <c r="AB75" i="4"/>
  <c r="AE75" i="4" s="1"/>
  <c r="AD75" i="4"/>
  <c r="AG75" i="4"/>
  <c r="AJ75" i="4" s="1"/>
  <c r="AI75" i="4"/>
  <c r="T129" i="4" s="1"/>
  <c r="T130" i="4" s="1"/>
  <c r="AL75" i="4"/>
  <c r="AN75" i="4"/>
  <c r="C76" i="4"/>
  <c r="F75" i="4" s="1"/>
  <c r="H76" i="4"/>
  <c r="M76" i="4"/>
  <c r="R76" i="4"/>
  <c r="U75" i="4" s="1"/>
  <c r="W76" i="4"/>
  <c r="Z75" i="4" s="1"/>
  <c r="AB76" i="4"/>
  <c r="AG76" i="4"/>
  <c r="AL76" i="4"/>
  <c r="AO75" i="4" s="1"/>
  <c r="C77" i="4"/>
  <c r="H77" i="4"/>
  <c r="M77" i="4"/>
  <c r="R77" i="4"/>
  <c r="W77" i="4"/>
  <c r="AB77" i="4"/>
  <c r="AG77" i="4"/>
  <c r="AL77" i="4"/>
  <c r="C78" i="4"/>
  <c r="H78" i="4"/>
  <c r="M78" i="4"/>
  <c r="R78" i="4"/>
  <c r="W78" i="4"/>
  <c r="AB78" i="4"/>
  <c r="AG78" i="4"/>
  <c r="AL78" i="4"/>
  <c r="C79" i="4"/>
  <c r="E79" i="4"/>
  <c r="H79" i="4"/>
  <c r="K79" i="4" s="1"/>
  <c r="J79" i="4"/>
  <c r="M79" i="4"/>
  <c r="P79" i="4" s="1"/>
  <c r="O79" i="4"/>
  <c r="H133" i="4" s="1"/>
  <c r="H134" i="4" s="1"/>
  <c r="R79" i="4"/>
  <c r="T79" i="4"/>
  <c r="W79" i="4"/>
  <c r="Y79" i="4"/>
  <c r="AB79" i="4"/>
  <c r="AE79" i="4" s="1"/>
  <c r="AD79" i="4"/>
  <c r="AG79" i="4"/>
  <c r="AJ79" i="4" s="1"/>
  <c r="AI79" i="4"/>
  <c r="T133" i="4" s="1"/>
  <c r="T134" i="4" s="1"/>
  <c r="AL79" i="4"/>
  <c r="AN79" i="4"/>
  <c r="C80" i="4"/>
  <c r="F79" i="4" s="1"/>
  <c r="H80" i="4"/>
  <c r="M80" i="4"/>
  <c r="R80" i="4"/>
  <c r="U79" i="4" s="1"/>
  <c r="W80" i="4"/>
  <c r="Z79" i="4" s="1"/>
  <c r="AB80" i="4"/>
  <c r="AG80" i="4"/>
  <c r="AL80" i="4"/>
  <c r="AO79" i="4" s="1"/>
  <c r="C81" i="4"/>
  <c r="H81" i="4"/>
  <c r="M81" i="4"/>
  <c r="R81" i="4"/>
  <c r="W81" i="4"/>
  <c r="AB81" i="4"/>
  <c r="AG81" i="4"/>
  <c r="AL81" i="4"/>
  <c r="C82" i="4"/>
  <c r="H82" i="4"/>
  <c r="M82" i="4"/>
  <c r="R82" i="4"/>
  <c r="W82" i="4"/>
  <c r="AB82" i="4"/>
  <c r="AG82" i="4"/>
  <c r="AL82" i="4"/>
  <c r="C83" i="4"/>
  <c r="E83" i="4"/>
  <c r="H83" i="4"/>
  <c r="K83" i="4" s="1"/>
  <c r="J83" i="4"/>
  <c r="M83" i="4"/>
  <c r="P83" i="4" s="1"/>
  <c r="O83" i="4"/>
  <c r="K137" i="4" s="1"/>
  <c r="K138" i="4" s="1"/>
  <c r="R83" i="4"/>
  <c r="T83" i="4"/>
  <c r="W83" i="4"/>
  <c r="Y83" i="4"/>
  <c r="AB83" i="4"/>
  <c r="AE83" i="4" s="1"/>
  <c r="AD83" i="4"/>
  <c r="AG83" i="4"/>
  <c r="AJ83" i="4" s="1"/>
  <c r="AI83" i="4"/>
  <c r="W137" i="4" s="1"/>
  <c r="W138" i="4" s="1"/>
  <c r="AL83" i="4"/>
  <c r="AN83" i="4"/>
  <c r="C84" i="4"/>
  <c r="F83" i="4" s="1"/>
  <c r="H84" i="4"/>
  <c r="M84" i="4"/>
  <c r="R84" i="4"/>
  <c r="U83" i="4" s="1"/>
  <c r="W84" i="4"/>
  <c r="Z83" i="4" s="1"/>
  <c r="AB84" i="4"/>
  <c r="AG84" i="4"/>
  <c r="AL84" i="4"/>
  <c r="AO83" i="4" s="1"/>
  <c r="C85" i="4"/>
  <c r="H85" i="4"/>
  <c r="M85" i="4"/>
  <c r="R85" i="4"/>
  <c r="W85" i="4"/>
  <c r="AB85" i="4"/>
  <c r="AG85" i="4"/>
  <c r="AL85" i="4"/>
  <c r="C86" i="4"/>
  <c r="H86" i="4"/>
  <c r="M86" i="4"/>
  <c r="R86" i="4"/>
  <c r="W86" i="4"/>
  <c r="AB86" i="4"/>
  <c r="AG86" i="4"/>
  <c r="AL86" i="4"/>
  <c r="C87" i="4"/>
  <c r="E87" i="4"/>
  <c r="H87" i="4"/>
  <c r="K87" i="4" s="1"/>
  <c r="J87" i="4"/>
  <c r="M87" i="4"/>
  <c r="P87" i="4" s="1"/>
  <c r="O87" i="4"/>
  <c r="H141" i="4" s="1"/>
  <c r="H142" i="4" s="1"/>
  <c r="R87" i="4"/>
  <c r="T87" i="4"/>
  <c r="W87" i="4"/>
  <c r="Y87" i="4"/>
  <c r="AB87" i="4"/>
  <c r="AE87" i="4" s="1"/>
  <c r="AD87" i="4"/>
  <c r="AG87" i="4"/>
  <c r="AJ87" i="4" s="1"/>
  <c r="AI87" i="4"/>
  <c r="T141" i="4" s="1"/>
  <c r="T142" i="4" s="1"/>
  <c r="AL87" i="4"/>
  <c r="AN87" i="4"/>
  <c r="C88" i="4"/>
  <c r="F87" i="4" s="1"/>
  <c r="H88" i="4"/>
  <c r="M88" i="4"/>
  <c r="R88" i="4"/>
  <c r="U87" i="4" s="1"/>
  <c r="W88" i="4"/>
  <c r="Z87" i="4" s="1"/>
  <c r="AB88" i="4"/>
  <c r="AG88" i="4"/>
  <c r="AL88" i="4"/>
  <c r="AO87" i="4" s="1"/>
  <c r="C89" i="4"/>
  <c r="H89" i="4"/>
  <c r="M89" i="4"/>
  <c r="R89" i="4"/>
  <c r="W89" i="4"/>
  <c r="AB89" i="4"/>
  <c r="AG89" i="4"/>
  <c r="AL89" i="4"/>
  <c r="C90" i="4"/>
  <c r="H90" i="4"/>
  <c r="M90" i="4"/>
  <c r="R90" i="4"/>
  <c r="W90" i="4"/>
  <c r="AB90" i="4"/>
  <c r="AG90" i="4"/>
  <c r="AL90" i="4"/>
  <c r="C91" i="4"/>
  <c r="E91" i="4"/>
  <c r="H91" i="4"/>
  <c r="K91" i="4" s="1"/>
  <c r="J91" i="4"/>
  <c r="M91" i="4"/>
  <c r="P91" i="4" s="1"/>
  <c r="O91" i="4"/>
  <c r="H145" i="4" s="1"/>
  <c r="R91" i="4"/>
  <c r="T91" i="4"/>
  <c r="W91" i="4"/>
  <c r="Y91" i="4"/>
  <c r="AB91" i="4"/>
  <c r="AE91" i="4" s="1"/>
  <c r="AD91" i="4"/>
  <c r="AG91" i="4"/>
  <c r="AJ91" i="4" s="1"/>
  <c r="AI91" i="4"/>
  <c r="T145" i="4" s="1"/>
  <c r="T146" i="4" s="1"/>
  <c r="AL91" i="4"/>
  <c r="AN91" i="4"/>
  <c r="C92" i="4"/>
  <c r="F91" i="4" s="1"/>
  <c r="H92" i="4"/>
  <c r="M92" i="4"/>
  <c r="R92" i="4"/>
  <c r="U91" i="4" s="1"/>
  <c r="W92" i="4"/>
  <c r="Z91" i="4" s="1"/>
  <c r="AB92" i="4"/>
  <c r="AG92" i="4"/>
  <c r="AL92" i="4"/>
  <c r="AO91" i="4" s="1"/>
  <c r="C93" i="4"/>
  <c r="H93" i="4"/>
  <c r="M93" i="4"/>
  <c r="R93" i="4"/>
  <c r="W93" i="4"/>
  <c r="AB93" i="4"/>
  <c r="AG93" i="4"/>
  <c r="AL93" i="4"/>
  <c r="C94" i="4"/>
  <c r="H94" i="4"/>
  <c r="M94" i="4"/>
  <c r="R94" i="4"/>
  <c r="W94" i="4"/>
  <c r="AB94" i="4"/>
  <c r="AG94" i="4"/>
  <c r="AL94" i="4"/>
  <c r="C95" i="4"/>
  <c r="E95" i="4"/>
  <c r="H95" i="4"/>
  <c r="K95" i="4" s="1"/>
  <c r="J95" i="4"/>
  <c r="M95" i="4"/>
  <c r="P95" i="4" s="1"/>
  <c r="O95" i="4"/>
  <c r="H149" i="4" s="1"/>
  <c r="H150" i="4" s="1"/>
  <c r="R95" i="4"/>
  <c r="T95" i="4"/>
  <c r="W95" i="4"/>
  <c r="Y95" i="4"/>
  <c r="AB95" i="4"/>
  <c r="AE95" i="4" s="1"/>
  <c r="AD95" i="4"/>
  <c r="AG95" i="4"/>
  <c r="AJ95" i="4" s="1"/>
  <c r="AI95" i="4"/>
  <c r="T149" i="4" s="1"/>
  <c r="T150" i="4" s="1"/>
  <c r="AL95" i="4"/>
  <c r="AN95" i="4"/>
  <c r="C96" i="4"/>
  <c r="F95" i="4" s="1"/>
  <c r="H96" i="4"/>
  <c r="M96" i="4"/>
  <c r="R96" i="4"/>
  <c r="U95" i="4" s="1"/>
  <c r="W96" i="4"/>
  <c r="Z95" i="4" s="1"/>
  <c r="AB96" i="4"/>
  <c r="AG96" i="4"/>
  <c r="AL96" i="4"/>
  <c r="AO95" i="4" s="1"/>
  <c r="C97" i="4"/>
  <c r="H97" i="4"/>
  <c r="M97" i="4"/>
  <c r="R97" i="4"/>
  <c r="W97" i="4"/>
  <c r="AB97" i="4"/>
  <c r="AG97" i="4"/>
  <c r="AL97" i="4"/>
  <c r="C98" i="4"/>
  <c r="H98" i="4"/>
  <c r="M98" i="4"/>
  <c r="R98" i="4"/>
  <c r="W98" i="4"/>
  <c r="AB98" i="4"/>
  <c r="AG98" i="4"/>
  <c r="AL98" i="4"/>
  <c r="C99" i="4"/>
  <c r="E99" i="4"/>
  <c r="H99" i="4"/>
  <c r="K99" i="4" s="1"/>
  <c r="J99" i="4"/>
  <c r="M99" i="4"/>
  <c r="P99" i="4" s="1"/>
  <c r="O99" i="4"/>
  <c r="K153" i="4" s="1"/>
  <c r="K154" i="4" s="1"/>
  <c r="R99" i="4"/>
  <c r="T99" i="4"/>
  <c r="W99" i="4"/>
  <c r="Y99" i="4"/>
  <c r="AB99" i="4"/>
  <c r="AE99" i="4" s="1"/>
  <c r="AD99" i="4"/>
  <c r="AG99" i="4"/>
  <c r="AJ99" i="4" s="1"/>
  <c r="AI99" i="4"/>
  <c r="W153" i="4" s="1"/>
  <c r="W154" i="4" s="1"/>
  <c r="AL99" i="4"/>
  <c r="AN99" i="4"/>
  <c r="C100" i="4"/>
  <c r="F99" i="4" s="1"/>
  <c r="H100" i="4"/>
  <c r="M100" i="4"/>
  <c r="R100" i="4"/>
  <c r="U99" i="4" s="1"/>
  <c r="W100" i="4"/>
  <c r="Z99" i="4" s="1"/>
  <c r="AB100" i="4"/>
  <c r="AG100" i="4"/>
  <c r="AL100" i="4"/>
  <c r="AO99" i="4" s="1"/>
  <c r="C101" i="4"/>
  <c r="H101" i="4"/>
  <c r="M101" i="4"/>
  <c r="R101" i="4"/>
  <c r="W101" i="4"/>
  <c r="AB101" i="4"/>
  <c r="AG101" i="4"/>
  <c r="AL101" i="4"/>
  <c r="C102" i="4"/>
  <c r="H102" i="4"/>
  <c r="M102" i="4"/>
  <c r="R102" i="4"/>
  <c r="W102" i="4"/>
  <c r="AB102" i="4"/>
  <c r="AG102" i="4"/>
  <c r="AL102" i="4"/>
  <c r="B109" i="4"/>
  <c r="E109" i="4"/>
  <c r="AC109" i="4" s="1"/>
  <c r="AC110" i="4" s="1"/>
  <c r="K109" i="4"/>
  <c r="K110" i="4" s="1"/>
  <c r="N109" i="4"/>
  <c r="Q109" i="4"/>
  <c r="W109" i="4"/>
  <c r="W110" i="4" s="1"/>
  <c r="AE109" i="4"/>
  <c r="B110" i="4"/>
  <c r="E110" i="4"/>
  <c r="N110" i="4"/>
  <c r="Q110" i="4"/>
  <c r="B113" i="4"/>
  <c r="B114" i="4" s="1"/>
  <c r="E113" i="4"/>
  <c r="N113" i="4"/>
  <c r="N114" i="4" s="1"/>
  <c r="Q113" i="4"/>
  <c r="AE113" i="4"/>
  <c r="E114" i="4"/>
  <c r="Q114" i="4"/>
  <c r="B117" i="4"/>
  <c r="E117" i="4"/>
  <c r="E118" i="4" s="1"/>
  <c r="N117" i="4"/>
  <c r="Q117" i="4"/>
  <c r="Q118" i="4" s="1"/>
  <c r="AE117" i="4"/>
  <c r="B118" i="4"/>
  <c r="N118" i="4"/>
  <c r="B121" i="4"/>
  <c r="E121" i="4"/>
  <c r="H121" i="4"/>
  <c r="AC121" i="4" s="1"/>
  <c r="AC122" i="4" s="1"/>
  <c r="N121" i="4"/>
  <c r="Q121" i="4"/>
  <c r="T121" i="4"/>
  <c r="T122" i="4" s="1"/>
  <c r="AE121" i="4"/>
  <c r="B122" i="4"/>
  <c r="E122" i="4"/>
  <c r="N122" i="4"/>
  <c r="Q122" i="4"/>
  <c r="B125" i="4"/>
  <c r="E125" i="4"/>
  <c r="AC125" i="4" s="1"/>
  <c r="AC126" i="4" s="1"/>
  <c r="K125" i="4"/>
  <c r="K126" i="4" s="1"/>
  <c r="N125" i="4"/>
  <c r="Q125" i="4"/>
  <c r="W125" i="4"/>
  <c r="W126" i="4" s="1"/>
  <c r="AE125" i="4"/>
  <c r="B126" i="4"/>
  <c r="E126" i="4"/>
  <c r="N126" i="4"/>
  <c r="Q126" i="4"/>
  <c r="B129" i="4"/>
  <c r="B130" i="4" s="1"/>
  <c r="E129" i="4"/>
  <c r="E130" i="4" s="1"/>
  <c r="N129" i="4"/>
  <c r="N130" i="4" s="1"/>
  <c r="Q129" i="4"/>
  <c r="Q130" i="4" s="1"/>
  <c r="AE129" i="4"/>
  <c r="B133" i="4"/>
  <c r="E133" i="4"/>
  <c r="E134" i="4" s="1"/>
  <c r="N133" i="4"/>
  <c r="Q133" i="4"/>
  <c r="Q134" i="4" s="1"/>
  <c r="AE133" i="4"/>
  <c r="B134" i="4"/>
  <c r="N134" i="4"/>
  <c r="B137" i="4"/>
  <c r="E137" i="4"/>
  <c r="H137" i="4"/>
  <c r="AC137" i="4" s="1"/>
  <c r="AC138" i="4" s="1"/>
  <c r="N137" i="4"/>
  <c r="Q137" i="4"/>
  <c r="T137" i="4"/>
  <c r="T138" i="4" s="1"/>
  <c r="AE137" i="4"/>
  <c r="B138" i="4"/>
  <c r="E138" i="4"/>
  <c r="N138" i="4"/>
  <c r="Q138" i="4"/>
  <c r="B141" i="4"/>
  <c r="E141" i="4"/>
  <c r="AC141" i="4" s="1"/>
  <c r="AC142" i="4" s="1"/>
  <c r="K141" i="4"/>
  <c r="K142" i="4" s="1"/>
  <c r="N141" i="4"/>
  <c r="Q141" i="4"/>
  <c r="W141" i="4"/>
  <c r="W142" i="4" s="1"/>
  <c r="AE141" i="4"/>
  <c r="B142" i="4"/>
  <c r="E142" i="4"/>
  <c r="N142" i="4"/>
  <c r="Q142" i="4"/>
  <c r="B145" i="4"/>
  <c r="B146" i="4" s="1"/>
  <c r="E145" i="4"/>
  <c r="E146" i="4" s="1"/>
  <c r="N145" i="4"/>
  <c r="N146" i="4" s="1"/>
  <c r="Q145" i="4"/>
  <c r="Q146" i="4" s="1"/>
  <c r="AE145" i="4"/>
  <c r="B149" i="4"/>
  <c r="E149" i="4"/>
  <c r="E150" i="4" s="1"/>
  <c r="N149" i="4"/>
  <c r="Q149" i="4"/>
  <c r="Q150" i="4" s="1"/>
  <c r="AE149" i="4"/>
  <c r="B150" i="4"/>
  <c r="N150" i="4"/>
  <c r="B153" i="4"/>
  <c r="E153" i="4"/>
  <c r="H153" i="4"/>
  <c r="AC153" i="4" s="1"/>
  <c r="AC154" i="4" s="1"/>
  <c r="N153" i="4"/>
  <c r="Q153" i="4"/>
  <c r="T153" i="4"/>
  <c r="T154" i="4" s="1"/>
  <c r="AE153" i="4"/>
  <c r="B154" i="4"/>
  <c r="E154" i="4"/>
  <c r="N154" i="4"/>
  <c r="Q154" i="4"/>
  <c r="C55" i="3"/>
  <c r="F55" i="3" s="1"/>
  <c r="E55" i="3"/>
  <c r="H55" i="3"/>
  <c r="J55" i="3"/>
  <c r="E108" i="3" s="1"/>
  <c r="E109" i="3" s="1"/>
  <c r="M55" i="3"/>
  <c r="O55" i="3"/>
  <c r="P55" i="3"/>
  <c r="R55" i="3"/>
  <c r="U55" i="3" s="1"/>
  <c r="T55" i="3"/>
  <c r="W55" i="3"/>
  <c r="Z55" i="3" s="1"/>
  <c r="Y55" i="3"/>
  <c r="AB55" i="3"/>
  <c r="AD55" i="3"/>
  <c r="Q108" i="3" s="1"/>
  <c r="Q109" i="3" s="1"/>
  <c r="AG55" i="3"/>
  <c r="AI55" i="3"/>
  <c r="AJ55" i="3"/>
  <c r="AL55" i="3"/>
  <c r="AO55" i="3" s="1"/>
  <c r="AN55" i="3"/>
  <c r="AQ55" i="3"/>
  <c r="AT55" i="3" s="1"/>
  <c r="AS55" i="3"/>
  <c r="C56" i="3"/>
  <c r="H56" i="3"/>
  <c r="K55" i="3" s="1"/>
  <c r="M56" i="3"/>
  <c r="R56" i="3"/>
  <c r="W56" i="3"/>
  <c r="AB56" i="3"/>
  <c r="AE55" i="3" s="1"/>
  <c r="AG56" i="3"/>
  <c r="AL56" i="3"/>
  <c r="AQ56" i="3"/>
  <c r="C57" i="3"/>
  <c r="H57" i="3"/>
  <c r="M57" i="3"/>
  <c r="R57" i="3"/>
  <c r="W57" i="3"/>
  <c r="AB57" i="3"/>
  <c r="AG57" i="3"/>
  <c r="AL57" i="3"/>
  <c r="AQ57" i="3"/>
  <c r="C58" i="3"/>
  <c r="H58" i="3"/>
  <c r="M58" i="3"/>
  <c r="R58" i="3"/>
  <c r="W58" i="3"/>
  <c r="AB58" i="3"/>
  <c r="AG58" i="3"/>
  <c r="AL58" i="3"/>
  <c r="AQ58" i="3"/>
  <c r="C59" i="3"/>
  <c r="E59" i="3"/>
  <c r="F59" i="3"/>
  <c r="H59" i="3"/>
  <c r="K59" i="3" s="1"/>
  <c r="J59" i="3"/>
  <c r="M59" i="3"/>
  <c r="P59" i="3" s="1"/>
  <c r="O59" i="3"/>
  <c r="R59" i="3"/>
  <c r="T59" i="3"/>
  <c r="N112" i="3" s="1"/>
  <c r="N113" i="3" s="1"/>
  <c r="W59" i="3"/>
  <c r="Y59" i="3"/>
  <c r="Z59" i="3"/>
  <c r="AB59" i="3"/>
  <c r="AE59" i="3" s="1"/>
  <c r="AD59" i="3"/>
  <c r="AG59" i="3"/>
  <c r="AJ59" i="3" s="1"/>
  <c r="AI59" i="3"/>
  <c r="AL59" i="3"/>
  <c r="AN59" i="3"/>
  <c r="Z112" i="3" s="1"/>
  <c r="Z113" i="3" s="1"/>
  <c r="AQ59" i="3"/>
  <c r="AS59" i="3"/>
  <c r="AT59" i="3"/>
  <c r="C60" i="3"/>
  <c r="H60" i="3"/>
  <c r="M60" i="3"/>
  <c r="R60" i="3"/>
  <c r="U59" i="3" s="1"/>
  <c r="W60" i="3"/>
  <c r="AB60" i="3"/>
  <c r="AG60" i="3"/>
  <c r="AL60" i="3"/>
  <c r="AO59" i="3" s="1"/>
  <c r="AQ60" i="3"/>
  <c r="C61" i="3"/>
  <c r="H61" i="3"/>
  <c r="M61" i="3"/>
  <c r="R61" i="3"/>
  <c r="W61" i="3"/>
  <c r="AB61" i="3"/>
  <c r="AG61" i="3"/>
  <c r="AL61" i="3"/>
  <c r="AQ61" i="3"/>
  <c r="C62" i="3"/>
  <c r="H62" i="3"/>
  <c r="M62" i="3"/>
  <c r="R62" i="3"/>
  <c r="W62" i="3"/>
  <c r="AB62" i="3"/>
  <c r="AG62" i="3"/>
  <c r="AL62" i="3"/>
  <c r="AQ62" i="3"/>
  <c r="C63" i="3"/>
  <c r="F63" i="3" s="1"/>
  <c r="E63" i="3"/>
  <c r="H63" i="3"/>
  <c r="J63" i="3"/>
  <c r="E116" i="3" s="1"/>
  <c r="E117" i="3" s="1"/>
  <c r="M63" i="3"/>
  <c r="O63" i="3"/>
  <c r="P63" i="3"/>
  <c r="R63" i="3"/>
  <c r="U63" i="3" s="1"/>
  <c r="T63" i="3"/>
  <c r="W63" i="3"/>
  <c r="Z63" i="3" s="1"/>
  <c r="Y63" i="3"/>
  <c r="AB63" i="3"/>
  <c r="AD63" i="3"/>
  <c r="Q116" i="3" s="1"/>
  <c r="Q117" i="3" s="1"/>
  <c r="AG63" i="3"/>
  <c r="AI63" i="3"/>
  <c r="AJ63" i="3"/>
  <c r="AL63" i="3"/>
  <c r="AO63" i="3" s="1"/>
  <c r="AN63" i="3"/>
  <c r="AQ63" i="3"/>
  <c r="AT63" i="3" s="1"/>
  <c r="AS63" i="3"/>
  <c r="C64" i="3"/>
  <c r="H64" i="3"/>
  <c r="K63" i="3" s="1"/>
  <c r="M64" i="3"/>
  <c r="R64" i="3"/>
  <c r="W64" i="3"/>
  <c r="AB64" i="3"/>
  <c r="AE63" i="3" s="1"/>
  <c r="AG64" i="3"/>
  <c r="AL64" i="3"/>
  <c r="AQ64" i="3"/>
  <c r="C65" i="3"/>
  <c r="H65" i="3"/>
  <c r="M65" i="3"/>
  <c r="R65" i="3"/>
  <c r="W65" i="3"/>
  <c r="AB65" i="3"/>
  <c r="AG65" i="3"/>
  <c r="AL65" i="3"/>
  <c r="AQ65" i="3"/>
  <c r="C66" i="3"/>
  <c r="H66" i="3"/>
  <c r="M66" i="3"/>
  <c r="R66" i="3"/>
  <c r="W66" i="3"/>
  <c r="AB66" i="3"/>
  <c r="AG66" i="3"/>
  <c r="AL66" i="3"/>
  <c r="AQ66" i="3"/>
  <c r="C67" i="3"/>
  <c r="E67" i="3"/>
  <c r="F67" i="3"/>
  <c r="H67" i="3"/>
  <c r="K67" i="3" s="1"/>
  <c r="J67" i="3"/>
  <c r="M67" i="3"/>
  <c r="P67" i="3" s="1"/>
  <c r="O67" i="3"/>
  <c r="R67" i="3"/>
  <c r="T67" i="3"/>
  <c r="K120" i="3" s="1"/>
  <c r="W67" i="3"/>
  <c r="Y67" i="3"/>
  <c r="Z67" i="3"/>
  <c r="AB67" i="3"/>
  <c r="AE67" i="3" s="1"/>
  <c r="AD67" i="3"/>
  <c r="AG67" i="3"/>
  <c r="AJ67" i="3" s="1"/>
  <c r="AI67" i="3"/>
  <c r="AL67" i="3"/>
  <c r="AN67" i="3"/>
  <c r="W120" i="3" s="1"/>
  <c r="W121" i="3" s="1"/>
  <c r="AQ67" i="3"/>
  <c r="AS67" i="3"/>
  <c r="AT67" i="3"/>
  <c r="C68" i="3"/>
  <c r="H68" i="3"/>
  <c r="M68" i="3"/>
  <c r="R68" i="3"/>
  <c r="U67" i="3" s="1"/>
  <c r="W68" i="3"/>
  <c r="AB68" i="3"/>
  <c r="AG68" i="3"/>
  <c r="AL68" i="3"/>
  <c r="AO67" i="3" s="1"/>
  <c r="AQ68" i="3"/>
  <c r="C69" i="3"/>
  <c r="H69" i="3"/>
  <c r="M69" i="3"/>
  <c r="R69" i="3"/>
  <c r="W69" i="3"/>
  <c r="AB69" i="3"/>
  <c r="AG69" i="3"/>
  <c r="AL69" i="3"/>
  <c r="AQ69" i="3"/>
  <c r="C70" i="3"/>
  <c r="H70" i="3"/>
  <c r="M70" i="3"/>
  <c r="R70" i="3"/>
  <c r="W70" i="3"/>
  <c r="AB70" i="3"/>
  <c r="AG70" i="3"/>
  <c r="AL70" i="3"/>
  <c r="AQ70" i="3"/>
  <c r="C71" i="3"/>
  <c r="F71" i="3" s="1"/>
  <c r="E71" i="3"/>
  <c r="H71" i="3"/>
  <c r="J71" i="3"/>
  <c r="E124" i="3" s="1"/>
  <c r="E125" i="3" s="1"/>
  <c r="M71" i="3"/>
  <c r="O71" i="3"/>
  <c r="P71" i="3"/>
  <c r="R71" i="3"/>
  <c r="U71" i="3" s="1"/>
  <c r="T71" i="3"/>
  <c r="W71" i="3"/>
  <c r="Z71" i="3" s="1"/>
  <c r="Y71" i="3"/>
  <c r="AB71" i="3"/>
  <c r="AD71" i="3"/>
  <c r="Q124" i="3" s="1"/>
  <c r="Q125" i="3" s="1"/>
  <c r="AG71" i="3"/>
  <c r="AI71" i="3"/>
  <c r="AJ71" i="3"/>
  <c r="AL71" i="3"/>
  <c r="AO71" i="3" s="1"/>
  <c r="AN71" i="3"/>
  <c r="AQ71" i="3"/>
  <c r="AT71" i="3" s="1"/>
  <c r="AS71" i="3"/>
  <c r="C72" i="3"/>
  <c r="H72" i="3"/>
  <c r="K71" i="3" s="1"/>
  <c r="M72" i="3"/>
  <c r="R72" i="3"/>
  <c r="W72" i="3"/>
  <c r="AB72" i="3"/>
  <c r="AE71" i="3" s="1"/>
  <c r="AG72" i="3"/>
  <c r="AL72" i="3"/>
  <c r="AQ72" i="3"/>
  <c r="C73" i="3"/>
  <c r="H73" i="3"/>
  <c r="M73" i="3"/>
  <c r="R73" i="3"/>
  <c r="W73" i="3"/>
  <c r="AB73" i="3"/>
  <c r="AG73" i="3"/>
  <c r="AL73" i="3"/>
  <c r="AQ73" i="3"/>
  <c r="C74" i="3"/>
  <c r="H74" i="3"/>
  <c r="M74" i="3"/>
  <c r="R74" i="3"/>
  <c r="W74" i="3"/>
  <c r="AB74" i="3"/>
  <c r="AG74" i="3"/>
  <c r="AL74" i="3"/>
  <c r="AQ74" i="3"/>
  <c r="C75" i="3"/>
  <c r="E75" i="3"/>
  <c r="F75" i="3"/>
  <c r="H75" i="3"/>
  <c r="K75" i="3" s="1"/>
  <c r="J75" i="3"/>
  <c r="M75" i="3"/>
  <c r="P75" i="3" s="1"/>
  <c r="O75" i="3"/>
  <c r="R75" i="3"/>
  <c r="T75" i="3"/>
  <c r="N128" i="3" s="1"/>
  <c r="N129" i="3" s="1"/>
  <c r="W75" i="3"/>
  <c r="Y75" i="3"/>
  <c r="Z75" i="3"/>
  <c r="AB75" i="3"/>
  <c r="AE75" i="3" s="1"/>
  <c r="AD75" i="3"/>
  <c r="AG75" i="3"/>
  <c r="AJ75" i="3" s="1"/>
  <c r="AI75" i="3"/>
  <c r="AL75" i="3"/>
  <c r="AN75" i="3"/>
  <c r="Z128" i="3" s="1"/>
  <c r="Z129" i="3" s="1"/>
  <c r="AQ75" i="3"/>
  <c r="AS75" i="3"/>
  <c r="AT75" i="3"/>
  <c r="C76" i="3"/>
  <c r="H76" i="3"/>
  <c r="M76" i="3"/>
  <c r="R76" i="3"/>
  <c r="U75" i="3" s="1"/>
  <c r="W76" i="3"/>
  <c r="AB76" i="3"/>
  <c r="AG76" i="3"/>
  <c r="AL76" i="3"/>
  <c r="AO75" i="3" s="1"/>
  <c r="AQ76" i="3"/>
  <c r="C77" i="3"/>
  <c r="H77" i="3"/>
  <c r="M77" i="3"/>
  <c r="R77" i="3"/>
  <c r="W77" i="3"/>
  <c r="AB77" i="3"/>
  <c r="AG77" i="3"/>
  <c r="AL77" i="3"/>
  <c r="AQ77" i="3"/>
  <c r="C78" i="3"/>
  <c r="H78" i="3"/>
  <c r="M78" i="3"/>
  <c r="R78" i="3"/>
  <c r="W78" i="3"/>
  <c r="AB78" i="3"/>
  <c r="AG78" i="3"/>
  <c r="AL78" i="3"/>
  <c r="AQ78" i="3"/>
  <c r="C79" i="3"/>
  <c r="F79" i="3" s="1"/>
  <c r="E79" i="3"/>
  <c r="H79" i="3"/>
  <c r="J79" i="3"/>
  <c r="E132" i="3" s="1"/>
  <c r="E133" i="3" s="1"/>
  <c r="M79" i="3"/>
  <c r="O79" i="3"/>
  <c r="P79" i="3"/>
  <c r="R79" i="3"/>
  <c r="U79" i="3" s="1"/>
  <c r="T79" i="3"/>
  <c r="W79" i="3"/>
  <c r="Z79" i="3" s="1"/>
  <c r="Y79" i="3"/>
  <c r="AB79" i="3"/>
  <c r="AD79" i="3"/>
  <c r="Q132" i="3" s="1"/>
  <c r="Q133" i="3" s="1"/>
  <c r="AG79" i="3"/>
  <c r="AI79" i="3"/>
  <c r="AJ79" i="3"/>
  <c r="AL79" i="3"/>
  <c r="AO79" i="3" s="1"/>
  <c r="AN79" i="3"/>
  <c r="AQ79" i="3"/>
  <c r="AT79" i="3" s="1"/>
  <c r="AS79" i="3"/>
  <c r="C80" i="3"/>
  <c r="H80" i="3"/>
  <c r="K79" i="3" s="1"/>
  <c r="M80" i="3"/>
  <c r="R80" i="3"/>
  <c r="W80" i="3"/>
  <c r="AB80" i="3"/>
  <c r="AE79" i="3" s="1"/>
  <c r="AG80" i="3"/>
  <c r="AL80" i="3"/>
  <c r="AQ80" i="3"/>
  <c r="C81" i="3"/>
  <c r="H81" i="3"/>
  <c r="M81" i="3"/>
  <c r="R81" i="3"/>
  <c r="W81" i="3"/>
  <c r="AB81" i="3"/>
  <c r="AG81" i="3"/>
  <c r="AL81" i="3"/>
  <c r="AQ81" i="3"/>
  <c r="C82" i="3"/>
  <c r="H82" i="3"/>
  <c r="M82" i="3"/>
  <c r="R82" i="3"/>
  <c r="W82" i="3"/>
  <c r="AB82" i="3"/>
  <c r="AG82" i="3"/>
  <c r="AL82" i="3"/>
  <c r="AQ82" i="3"/>
  <c r="C83" i="3"/>
  <c r="E83" i="3"/>
  <c r="F83" i="3"/>
  <c r="H83" i="3"/>
  <c r="K83" i="3" s="1"/>
  <c r="J83" i="3"/>
  <c r="M83" i="3"/>
  <c r="P83" i="3" s="1"/>
  <c r="O83" i="3"/>
  <c r="R83" i="3"/>
  <c r="T83" i="3"/>
  <c r="K136" i="3" s="1"/>
  <c r="W83" i="3"/>
  <c r="Y83" i="3"/>
  <c r="Z83" i="3"/>
  <c r="AB83" i="3"/>
  <c r="AE83" i="3" s="1"/>
  <c r="AD83" i="3"/>
  <c r="AG83" i="3"/>
  <c r="AJ83" i="3" s="1"/>
  <c r="AI83" i="3"/>
  <c r="AL83" i="3"/>
  <c r="AN83" i="3"/>
  <c r="W136" i="3" s="1"/>
  <c r="W137" i="3" s="1"/>
  <c r="AQ83" i="3"/>
  <c r="AS83" i="3"/>
  <c r="AT83" i="3"/>
  <c r="C84" i="3"/>
  <c r="H84" i="3"/>
  <c r="M84" i="3"/>
  <c r="R84" i="3"/>
  <c r="U83" i="3" s="1"/>
  <c r="W84" i="3"/>
  <c r="AB84" i="3"/>
  <c r="AG84" i="3"/>
  <c r="AL84" i="3"/>
  <c r="AO83" i="3" s="1"/>
  <c r="AQ84" i="3"/>
  <c r="C85" i="3"/>
  <c r="H85" i="3"/>
  <c r="M85" i="3"/>
  <c r="R85" i="3"/>
  <c r="W85" i="3"/>
  <c r="AB85" i="3"/>
  <c r="AG85" i="3"/>
  <c r="AL85" i="3"/>
  <c r="AQ85" i="3"/>
  <c r="C86" i="3"/>
  <c r="H86" i="3"/>
  <c r="M86" i="3"/>
  <c r="R86" i="3"/>
  <c r="W86" i="3"/>
  <c r="AB86" i="3"/>
  <c r="AG86" i="3"/>
  <c r="AL86" i="3"/>
  <c r="AQ86" i="3"/>
  <c r="C87" i="3"/>
  <c r="F87" i="3" s="1"/>
  <c r="E87" i="3"/>
  <c r="H87" i="3"/>
  <c r="J87" i="3"/>
  <c r="E140" i="3" s="1"/>
  <c r="E141" i="3" s="1"/>
  <c r="M87" i="3"/>
  <c r="O87" i="3"/>
  <c r="P87" i="3"/>
  <c r="R87" i="3"/>
  <c r="U87" i="3" s="1"/>
  <c r="T87" i="3"/>
  <c r="W87" i="3"/>
  <c r="Z87" i="3" s="1"/>
  <c r="Y87" i="3"/>
  <c r="AB87" i="3"/>
  <c r="AD87" i="3"/>
  <c r="Q140" i="3" s="1"/>
  <c r="Q141" i="3" s="1"/>
  <c r="AG87" i="3"/>
  <c r="AI87" i="3"/>
  <c r="AJ87" i="3"/>
  <c r="AL87" i="3"/>
  <c r="AO87" i="3" s="1"/>
  <c r="AN87" i="3"/>
  <c r="AQ87" i="3"/>
  <c r="AT87" i="3" s="1"/>
  <c r="AS87" i="3"/>
  <c r="C88" i="3"/>
  <c r="H88" i="3"/>
  <c r="K87" i="3" s="1"/>
  <c r="M88" i="3"/>
  <c r="R88" i="3"/>
  <c r="W88" i="3"/>
  <c r="AB88" i="3"/>
  <c r="AE87" i="3" s="1"/>
  <c r="AG88" i="3"/>
  <c r="AL88" i="3"/>
  <c r="AQ88" i="3"/>
  <c r="C89" i="3"/>
  <c r="H89" i="3"/>
  <c r="M89" i="3"/>
  <c r="R89" i="3"/>
  <c r="W89" i="3"/>
  <c r="AB89" i="3"/>
  <c r="AG89" i="3"/>
  <c r="AL89" i="3"/>
  <c r="AQ89" i="3"/>
  <c r="C90" i="3"/>
  <c r="H90" i="3"/>
  <c r="M90" i="3"/>
  <c r="R90" i="3"/>
  <c r="W90" i="3"/>
  <c r="AB90" i="3"/>
  <c r="AG90" i="3"/>
  <c r="AL90" i="3"/>
  <c r="AQ90" i="3"/>
  <c r="C91" i="3"/>
  <c r="E91" i="3"/>
  <c r="F91" i="3"/>
  <c r="H91" i="3"/>
  <c r="K91" i="3" s="1"/>
  <c r="J91" i="3"/>
  <c r="M91" i="3"/>
  <c r="P91" i="3" s="1"/>
  <c r="O91" i="3"/>
  <c r="R91" i="3"/>
  <c r="T91" i="3"/>
  <c r="N144" i="3" s="1"/>
  <c r="N145" i="3" s="1"/>
  <c r="W91" i="3"/>
  <c r="Y91" i="3"/>
  <c r="Z91" i="3"/>
  <c r="AB91" i="3"/>
  <c r="AE91" i="3" s="1"/>
  <c r="AD91" i="3"/>
  <c r="AG91" i="3"/>
  <c r="AJ91" i="3" s="1"/>
  <c r="AI91" i="3"/>
  <c r="AL91" i="3"/>
  <c r="AN91" i="3"/>
  <c r="Z144" i="3" s="1"/>
  <c r="Z145" i="3" s="1"/>
  <c r="AQ91" i="3"/>
  <c r="AS91" i="3"/>
  <c r="AT91" i="3"/>
  <c r="C92" i="3"/>
  <c r="H92" i="3"/>
  <c r="M92" i="3"/>
  <c r="R92" i="3"/>
  <c r="U91" i="3" s="1"/>
  <c r="W92" i="3"/>
  <c r="AB92" i="3"/>
  <c r="AG92" i="3"/>
  <c r="AL92" i="3"/>
  <c r="AO91" i="3" s="1"/>
  <c r="AQ92" i="3"/>
  <c r="C93" i="3"/>
  <c r="H93" i="3"/>
  <c r="M93" i="3"/>
  <c r="R93" i="3"/>
  <c r="W93" i="3"/>
  <c r="AB93" i="3"/>
  <c r="AG93" i="3"/>
  <c r="AL93" i="3"/>
  <c r="AQ93" i="3"/>
  <c r="C94" i="3"/>
  <c r="H94" i="3"/>
  <c r="M94" i="3"/>
  <c r="R94" i="3"/>
  <c r="W94" i="3"/>
  <c r="AB94" i="3"/>
  <c r="AG94" i="3"/>
  <c r="AL94" i="3"/>
  <c r="AQ94" i="3"/>
  <c r="C95" i="3"/>
  <c r="F95" i="3" s="1"/>
  <c r="E95" i="3"/>
  <c r="H95" i="3"/>
  <c r="J95" i="3"/>
  <c r="E148" i="3" s="1"/>
  <c r="E149" i="3" s="1"/>
  <c r="M95" i="3"/>
  <c r="O95" i="3"/>
  <c r="P95" i="3"/>
  <c r="R95" i="3"/>
  <c r="U95" i="3" s="1"/>
  <c r="T95" i="3"/>
  <c r="W95" i="3"/>
  <c r="Z95" i="3" s="1"/>
  <c r="Y95" i="3"/>
  <c r="AB95" i="3"/>
  <c r="AD95" i="3"/>
  <c r="Q148" i="3" s="1"/>
  <c r="Q149" i="3" s="1"/>
  <c r="AG95" i="3"/>
  <c r="AI95" i="3"/>
  <c r="AJ95" i="3"/>
  <c r="AL95" i="3"/>
  <c r="AO95" i="3" s="1"/>
  <c r="AN95" i="3"/>
  <c r="AQ95" i="3"/>
  <c r="AT95" i="3" s="1"/>
  <c r="AS95" i="3"/>
  <c r="C96" i="3"/>
  <c r="H96" i="3"/>
  <c r="K95" i="3" s="1"/>
  <c r="M96" i="3"/>
  <c r="R96" i="3"/>
  <c r="W96" i="3"/>
  <c r="AB96" i="3"/>
  <c r="AE95" i="3" s="1"/>
  <c r="AG96" i="3"/>
  <c r="AL96" i="3"/>
  <c r="AQ96" i="3"/>
  <c r="C97" i="3"/>
  <c r="H97" i="3"/>
  <c r="M97" i="3"/>
  <c r="R97" i="3"/>
  <c r="W97" i="3"/>
  <c r="AB97" i="3"/>
  <c r="AG97" i="3"/>
  <c r="AL97" i="3"/>
  <c r="AQ97" i="3"/>
  <c r="C98" i="3"/>
  <c r="H98" i="3"/>
  <c r="M98" i="3"/>
  <c r="R98" i="3"/>
  <c r="W98" i="3"/>
  <c r="AB98" i="3"/>
  <c r="AG98" i="3"/>
  <c r="AL98" i="3"/>
  <c r="AQ98" i="3"/>
  <c r="C99" i="3"/>
  <c r="E99" i="3"/>
  <c r="F99" i="3"/>
  <c r="H99" i="3"/>
  <c r="K99" i="3" s="1"/>
  <c r="J99" i="3"/>
  <c r="M99" i="3"/>
  <c r="P99" i="3" s="1"/>
  <c r="O99" i="3"/>
  <c r="R99" i="3"/>
  <c r="T99" i="3"/>
  <c r="K152" i="3" s="1"/>
  <c r="W99" i="3"/>
  <c r="Y99" i="3"/>
  <c r="Z99" i="3"/>
  <c r="AB99" i="3"/>
  <c r="AE99" i="3" s="1"/>
  <c r="AD99" i="3"/>
  <c r="AG99" i="3"/>
  <c r="AJ99" i="3" s="1"/>
  <c r="AI99" i="3"/>
  <c r="AL99" i="3"/>
  <c r="AN99" i="3"/>
  <c r="W152" i="3" s="1"/>
  <c r="W153" i="3" s="1"/>
  <c r="AQ99" i="3"/>
  <c r="AS99" i="3"/>
  <c r="AT99" i="3"/>
  <c r="C100" i="3"/>
  <c r="H100" i="3"/>
  <c r="M100" i="3"/>
  <c r="R100" i="3"/>
  <c r="U99" i="3" s="1"/>
  <c r="W100" i="3"/>
  <c r="AB100" i="3"/>
  <c r="AG100" i="3"/>
  <c r="AL100" i="3"/>
  <c r="AO99" i="3" s="1"/>
  <c r="AQ100" i="3"/>
  <c r="C101" i="3"/>
  <c r="H101" i="3"/>
  <c r="M101" i="3"/>
  <c r="R101" i="3"/>
  <c r="W101" i="3"/>
  <c r="AB101" i="3"/>
  <c r="AG101" i="3"/>
  <c r="AL101" i="3"/>
  <c r="AQ101" i="3"/>
  <c r="C102" i="3"/>
  <c r="H102" i="3"/>
  <c r="M102" i="3"/>
  <c r="R102" i="3"/>
  <c r="W102" i="3"/>
  <c r="AB102" i="3"/>
  <c r="AG102" i="3"/>
  <c r="AL102" i="3"/>
  <c r="AQ102" i="3"/>
  <c r="B108" i="3"/>
  <c r="K108" i="3"/>
  <c r="N108" i="3"/>
  <c r="N109" i="3" s="1"/>
  <c r="W108" i="3"/>
  <c r="Z108" i="3"/>
  <c r="Z109" i="3" s="1"/>
  <c r="AE108" i="3"/>
  <c r="K109" i="3"/>
  <c r="W109" i="3"/>
  <c r="B112" i="3"/>
  <c r="E112" i="3"/>
  <c r="H112" i="3"/>
  <c r="K112" i="3"/>
  <c r="K113" i="3" s="1"/>
  <c r="Q112" i="3"/>
  <c r="T112" i="3"/>
  <c r="W112" i="3"/>
  <c r="W113" i="3" s="1"/>
  <c r="AE112" i="3"/>
  <c r="B113" i="3"/>
  <c r="E113" i="3"/>
  <c r="H113" i="3"/>
  <c r="Q113" i="3"/>
  <c r="T113" i="3"/>
  <c r="B116" i="3"/>
  <c r="AC116" i="3" s="1"/>
  <c r="H116" i="3"/>
  <c r="H117" i="3" s="1"/>
  <c r="K116" i="3"/>
  <c r="N116" i="3"/>
  <c r="T116" i="3"/>
  <c r="T117" i="3" s="1"/>
  <c r="W116" i="3"/>
  <c r="Z116" i="3"/>
  <c r="AE116" i="3"/>
  <c r="B117" i="3"/>
  <c r="AC117" i="3" s="1"/>
  <c r="K117" i="3"/>
  <c r="N117" i="3"/>
  <c r="W117" i="3"/>
  <c r="Z117" i="3"/>
  <c r="B120" i="3"/>
  <c r="E120" i="3"/>
  <c r="E121" i="3" s="1"/>
  <c r="H120" i="3"/>
  <c r="Q120" i="3"/>
  <c r="Q121" i="3" s="1"/>
  <c r="T120" i="3"/>
  <c r="AE120" i="3"/>
  <c r="B121" i="3"/>
  <c r="H121" i="3"/>
  <c r="T121" i="3"/>
  <c r="B124" i="3"/>
  <c r="K124" i="3"/>
  <c r="N124" i="3"/>
  <c r="N125" i="3" s="1"/>
  <c r="W124" i="3"/>
  <c r="Z124" i="3"/>
  <c r="Z125" i="3" s="1"/>
  <c r="AE124" i="3"/>
  <c r="K125" i="3"/>
  <c r="W125" i="3"/>
  <c r="B128" i="3"/>
  <c r="AC128" i="3" s="1"/>
  <c r="E128" i="3"/>
  <c r="H128" i="3"/>
  <c r="K128" i="3"/>
  <c r="K129" i="3" s="1"/>
  <c r="Q128" i="3"/>
  <c r="T128" i="3"/>
  <c r="W128" i="3"/>
  <c r="W129" i="3" s="1"/>
  <c r="AE128" i="3"/>
  <c r="B129" i="3"/>
  <c r="E129" i="3"/>
  <c r="H129" i="3"/>
  <c r="Q129" i="3"/>
  <c r="T129" i="3"/>
  <c r="B132" i="3"/>
  <c r="AC132" i="3" s="1"/>
  <c r="H132" i="3"/>
  <c r="H133" i="3" s="1"/>
  <c r="K132" i="3"/>
  <c r="N132" i="3"/>
  <c r="T132" i="3"/>
  <c r="T133" i="3" s="1"/>
  <c r="W132" i="3"/>
  <c r="Z132" i="3"/>
  <c r="AE132" i="3"/>
  <c r="B133" i="3"/>
  <c r="K133" i="3"/>
  <c r="N133" i="3"/>
  <c r="W133" i="3"/>
  <c r="Z133" i="3"/>
  <c r="B136" i="3"/>
  <c r="E136" i="3"/>
  <c r="E137" i="3" s="1"/>
  <c r="H136" i="3"/>
  <c r="Q136" i="3"/>
  <c r="Q137" i="3" s="1"/>
  <c r="T136" i="3"/>
  <c r="AE136" i="3"/>
  <c r="B137" i="3"/>
  <c r="H137" i="3"/>
  <c r="T137" i="3"/>
  <c r="B140" i="3"/>
  <c r="K140" i="3"/>
  <c r="N140" i="3"/>
  <c r="N141" i="3" s="1"/>
  <c r="W140" i="3"/>
  <c r="Z140" i="3"/>
  <c r="Z141" i="3" s="1"/>
  <c r="AE140" i="3"/>
  <c r="K141" i="3"/>
  <c r="W141" i="3"/>
  <c r="B144" i="3"/>
  <c r="E144" i="3"/>
  <c r="H144" i="3"/>
  <c r="K144" i="3"/>
  <c r="K145" i="3" s="1"/>
  <c r="Q144" i="3"/>
  <c r="T144" i="3"/>
  <c r="W144" i="3"/>
  <c r="W145" i="3" s="1"/>
  <c r="AE144" i="3"/>
  <c r="B145" i="3"/>
  <c r="E145" i="3"/>
  <c r="H145" i="3"/>
  <c r="Q145" i="3"/>
  <c r="T145" i="3"/>
  <c r="B148" i="3"/>
  <c r="H148" i="3"/>
  <c r="H149" i="3" s="1"/>
  <c r="K148" i="3"/>
  <c r="N148" i="3"/>
  <c r="T148" i="3"/>
  <c r="T149" i="3" s="1"/>
  <c r="W148" i="3"/>
  <c r="Z148" i="3"/>
  <c r="AE148" i="3"/>
  <c r="B149" i="3"/>
  <c r="K149" i="3"/>
  <c r="N149" i="3"/>
  <c r="W149" i="3"/>
  <c r="Z149" i="3"/>
  <c r="B152" i="3"/>
  <c r="E152" i="3"/>
  <c r="E153" i="3" s="1"/>
  <c r="H152" i="3"/>
  <c r="Q152" i="3"/>
  <c r="Q153" i="3" s="1"/>
  <c r="T152" i="3"/>
  <c r="AE152" i="3"/>
  <c r="B153" i="3"/>
  <c r="H153" i="3"/>
  <c r="T153" i="3"/>
  <c r="H146" i="4" l="1"/>
  <c r="H130" i="4"/>
  <c r="H114" i="4"/>
  <c r="W145" i="4"/>
  <c r="W146" i="4" s="1"/>
  <c r="K145" i="4"/>
  <c r="K146" i="4" s="1"/>
  <c r="W129" i="4"/>
  <c r="W130" i="4" s="1"/>
  <c r="K129" i="4"/>
  <c r="K130" i="4" s="1"/>
  <c r="W113" i="4"/>
  <c r="W114" i="4" s="1"/>
  <c r="K113" i="4"/>
  <c r="K114" i="4" s="1"/>
  <c r="H154" i="4"/>
  <c r="W149" i="4"/>
  <c r="W150" i="4" s="1"/>
  <c r="K149" i="4"/>
  <c r="K150" i="4" s="1"/>
  <c r="H138" i="4"/>
  <c r="W133" i="4"/>
  <c r="W134" i="4" s="1"/>
  <c r="K133" i="4"/>
  <c r="K134" i="4" s="1"/>
  <c r="H122" i="4"/>
  <c r="W117" i="4"/>
  <c r="W118" i="4" s="1"/>
  <c r="K117" i="4"/>
  <c r="K118" i="4" s="1"/>
  <c r="AC133" i="3"/>
  <c r="AC113" i="3"/>
  <c r="AC112" i="3"/>
  <c r="K153" i="3"/>
  <c r="K121" i="3"/>
  <c r="AC149" i="3"/>
  <c r="AC148" i="3"/>
  <c r="AC129" i="3"/>
  <c r="AC145" i="3"/>
  <c r="AC144" i="3"/>
  <c r="K137" i="3"/>
  <c r="AC136" i="3"/>
  <c r="Z152" i="3"/>
  <c r="Z153" i="3" s="1"/>
  <c r="AC153" i="3" s="1"/>
  <c r="N152" i="3"/>
  <c r="N153" i="3" s="1"/>
  <c r="B141" i="3"/>
  <c r="Z136" i="3"/>
  <c r="Z137" i="3" s="1"/>
  <c r="N136" i="3"/>
  <c r="N137" i="3" s="1"/>
  <c r="B125" i="3"/>
  <c r="Z120" i="3"/>
  <c r="Z121" i="3" s="1"/>
  <c r="N120" i="3"/>
  <c r="N121" i="3" s="1"/>
  <c r="B109" i="3"/>
  <c r="T140" i="3"/>
  <c r="T141" i="3" s="1"/>
  <c r="H140" i="3"/>
  <c r="H141" i="3" s="1"/>
  <c r="T124" i="3"/>
  <c r="T125" i="3" s="1"/>
  <c r="H124" i="3"/>
  <c r="H125" i="3" s="1"/>
  <c r="T108" i="3"/>
  <c r="T109" i="3" s="1"/>
  <c r="H108" i="3"/>
  <c r="H109" i="3" s="1"/>
  <c r="AC137" i="3" l="1"/>
  <c r="AC121" i="3"/>
  <c r="AC149" i="4"/>
  <c r="AC150" i="4" s="1"/>
  <c r="AC133" i="4"/>
  <c r="AC134" i="4" s="1"/>
  <c r="AC145" i="4"/>
  <c r="AC146" i="4" s="1"/>
  <c r="AC129" i="4"/>
  <c r="AC130" i="4" s="1"/>
  <c r="AC117" i="4"/>
  <c r="AC118" i="4" s="1"/>
  <c r="AC113" i="4"/>
  <c r="AC114" i="4" s="1"/>
  <c r="AC141" i="3"/>
  <c r="AC152" i="3"/>
  <c r="AC125" i="3"/>
  <c r="AC140" i="3"/>
  <c r="AC124" i="3"/>
  <c r="AC109" i="3"/>
  <c r="AC120" i="3"/>
  <c r="AC108" i="3"/>
</calcChain>
</file>

<file path=xl/sharedStrings.xml><?xml version="1.0" encoding="utf-8"?>
<sst xmlns="http://schemas.openxmlformats.org/spreadsheetml/2006/main" count="411" uniqueCount="38">
  <si>
    <t>15.04.</t>
  </si>
  <si>
    <t>22.04.</t>
  </si>
  <si>
    <t>18.04.</t>
  </si>
  <si>
    <t>14.04.</t>
  </si>
  <si>
    <t>11.04.</t>
  </si>
  <si>
    <t>08.04.</t>
  </si>
  <si>
    <t>05.04.</t>
  </si>
  <si>
    <t>01.04.</t>
  </si>
  <si>
    <t>´--&gt; bei den restlichen PGs nahm das wachstum nach dem 08.04 zum 11.04. nochmal zu (so gut wie bei allen), danach nahm es aber auch wieder kontinueirlich ab (außer ein paar kurz gestigen bzw stagniert)</t>
  </si>
  <si>
    <t>´--&gt;  bei PG 1+2 und 7+8 nahm das Wachstum ab dem 08.04. ab und verringerte sich bis zum ende hin</t>
  </si>
  <si>
    <t>%</t>
  </si>
  <si>
    <t>cm</t>
  </si>
  <si>
    <t>Soll</t>
  </si>
  <si>
    <t>Ist</t>
  </si>
  <si>
    <t>Zuwachs der PGs</t>
  </si>
  <si>
    <t>SD</t>
  </si>
  <si>
    <t>gesamt</t>
  </si>
  <si>
    <t>Mittelwert</t>
  </si>
  <si>
    <t>x</t>
  </si>
  <si>
    <t>´--&gt; diese Diagramme sind eher unnötig, da man nicht für jeden Vergleich</t>
  </si>
  <si>
    <t>ein Diagramm braucht, lediglich bei Auffälligkeiten, die hier jedoch nicht</t>
  </si>
  <si>
    <t>vorliegen</t>
  </si>
  <si>
    <t>treatment</t>
  </si>
  <si>
    <t>Block</t>
  </si>
  <si>
    <t>lowN</t>
  </si>
  <si>
    <t>lowNP</t>
  </si>
  <si>
    <t>medN</t>
  </si>
  <si>
    <t>medNP</t>
  </si>
  <si>
    <t>highN</t>
  </si>
  <si>
    <t>highNP</t>
  </si>
  <si>
    <t>lowN1</t>
  </si>
  <si>
    <t>lowNP1</t>
  </si>
  <si>
    <t>medN1</t>
  </si>
  <si>
    <t>medNP1</t>
  </si>
  <si>
    <t>highN1</t>
  </si>
  <si>
    <t>highNP1</t>
  </si>
  <si>
    <t>Alle 3-4 Tage wurde an 5 ausgwählten Pflanzen pro Behandlung und Block die Höhe gemessen.</t>
  </si>
  <si>
    <t>Unter den Datentebellen befinden sich (leider sehr unübersichtlich) Mittelwerte, SD und der Zuwachs der Höhenerfassung, aber durch die Auswertung in R sind diese Infos an dieser Stelle wahrscheinlich vorerst unwichtig.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</si>
</sst>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6"/>
      <color theme="1"/>
      <name val="Calibri"/>
      <family val="2"/>
      <scheme val="minor"/>
    </font>
    <font>
      <sz val="11"/>
      <name val="Calibri"/>
      <family val="2"/>
      <scheme val="minor"/>
    </font>
  </fonts>
  <fills count="3">
    <fill>
      <patternFill patternType="none"/>
    </fill>
    <fill>
      <patternFill patternType="gray125"/>
    </fill>
    <fill>
      <patternFill patternType="solid">
        <fgColor theme="2" tint="-0.249977111117893"/>
        <bgColor indexed="64"/>
      </patternFill>
    </fill>
  </fills>
  <borders count="48">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s>
  <cellStyleXfs count="1">
    <xf numFmtId="0" fontId="0" fillId="0" borderId="0"/>
  </cellStyleXfs>
  <cellXfs count="77">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2" fontId="0" fillId="0" borderId="0" xfId="0" applyNumberFormat="1"/>
    <xf numFmtId="2" fontId="0" fillId="0" borderId="6" xfId="0" applyNumberForma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2" fillId="0" borderId="0" xfId="0" applyFont="1"/>
    <xf numFmtId="2" fontId="0" fillId="0" borderId="3" xfId="0" applyNumberFormat="1" applyBorder="1"/>
    <xf numFmtId="0" fontId="0" fillId="0" borderId="17"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3" fillId="0" borderId="27" xfId="0" applyFont="1" applyBorder="1"/>
    <xf numFmtId="0" fontId="0" fillId="2" borderId="26" xfId="0" applyFill="1" applyBorder="1"/>
    <xf numFmtId="0" fontId="0" fillId="2" borderId="25" xfId="0" applyFill="1"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2" borderId="31" xfId="0" applyFill="1" applyBorder="1"/>
    <xf numFmtId="0" fontId="0" fillId="2" borderId="30" xfId="0" applyFill="1"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2" borderId="36" xfId="0" applyFill="1" applyBorder="1"/>
    <xf numFmtId="0" fontId="0" fillId="2" borderId="35" xfId="0" applyFill="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2" borderId="21" xfId="0" applyFill="1" applyBorder="1"/>
    <xf numFmtId="0" fontId="0" fillId="2" borderId="20" xfId="0" applyFill="1"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3" fillId="0" borderId="42" xfId="0" applyFont="1" applyBorder="1"/>
    <xf numFmtId="0" fontId="0" fillId="2" borderId="41" xfId="0" applyFill="1" applyBorder="1"/>
    <xf numFmtId="0" fontId="0" fillId="2" borderId="40" xfId="0" applyFill="1" applyBorder="1"/>
    <xf numFmtId="0" fontId="0" fillId="0" borderId="43" xfId="0" applyBorder="1"/>
    <xf numFmtId="0" fontId="0" fillId="0" borderId="44" xfId="0" applyBorder="1"/>
    <xf numFmtId="0" fontId="0" fillId="0" borderId="45" xfId="0" applyBorder="1"/>
    <xf numFmtId="0" fontId="0" fillId="2" borderId="38" xfId="0" applyFill="1" applyBorder="1"/>
    <xf numFmtId="0" fontId="0" fillId="2" borderId="39" xfId="0" applyFill="1" applyBorder="1"/>
    <xf numFmtId="0" fontId="0" fillId="2" borderId="42" xfId="0" applyFill="1" applyBorder="1"/>
    <xf numFmtId="0" fontId="0" fillId="0" borderId="46" xfId="0" applyBorder="1"/>
    <xf numFmtId="0" fontId="0" fillId="0" borderId="47" xfId="0" applyBorder="1"/>
    <xf numFmtId="0" fontId="0" fillId="0" borderId="2" xfId="0" applyBorder="1" applyAlignment="1"/>
    <xf numFmtId="16" fontId="0" fillId="2" borderId="16" xfId="0" applyNumberFormat="1" applyFill="1" applyBorder="1" applyAlignment="1">
      <alignment horizontal="center"/>
    </xf>
    <xf numFmtId="16" fontId="0" fillId="2" borderId="15" xfId="0" applyNumberFormat="1" applyFill="1" applyBorder="1" applyAlignment="1">
      <alignment horizontal="center"/>
    </xf>
    <xf numFmtId="16" fontId="0" fillId="2" borderId="14" xfId="0" applyNumberFormat="1" applyFill="1" applyBorder="1" applyAlignment="1">
      <alignment horizontal="center"/>
    </xf>
    <xf numFmtId="16" fontId="0" fillId="2" borderId="13" xfId="0" applyNumberFormat="1" applyFill="1" applyBorder="1" applyAlignment="1">
      <alignment horizontal="center"/>
    </xf>
    <xf numFmtId="16" fontId="0" fillId="2" borderId="12" xfId="0" applyNumberFormat="1" applyFill="1" applyBorder="1" applyAlignment="1">
      <alignment horizontal="center"/>
    </xf>
    <xf numFmtId="16" fontId="0" fillId="2" borderId="11" xfId="0" applyNumberFormat="1" applyFill="1" applyBorder="1" applyAlignment="1">
      <alignment horizontal="center"/>
    </xf>
    <xf numFmtId="16" fontId="0" fillId="2" borderId="20" xfId="0" applyNumberFormat="1" applyFill="1" applyBorder="1" applyAlignment="1">
      <alignment horizontal="center"/>
    </xf>
    <xf numFmtId="0" fontId="0" fillId="2" borderId="19" xfId="0" applyFill="1" applyBorder="1" applyAlignment="1">
      <alignment horizontal="center"/>
    </xf>
    <xf numFmtId="0" fontId="0" fillId="2" borderId="18" xfId="0" applyFill="1" applyBorder="1" applyAlignment="1">
      <alignment horizontal="center"/>
    </xf>
    <xf numFmtId="16" fontId="0" fillId="2" borderId="22" xfId="0" applyNumberFormat="1" applyFill="1" applyBorder="1" applyAlignment="1">
      <alignment horizontal="center"/>
    </xf>
    <xf numFmtId="0" fontId="0" fillId="2" borderId="21" xfId="0"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Pflanzenhöhe</a:t>
            </a:r>
            <a:r>
              <a:rPr lang="de-DE" baseline="0"/>
              <a:t> der warmen TMT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low N; low P</c:v>
          </c:tx>
          <c:spPr>
            <a:ln w="28575" cap="rnd">
              <a:solidFill>
                <a:schemeClr val="accent1"/>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('1.DL'!$E$55,'1.DL'!$J$55,'1.DL'!$O$55,'1.DL'!$T$55,'1.DL'!$Y$55,'1.DL'!$AD$55,'1.DL'!$AI$55,'1.DL'!$AN$55,'1.DL'!$AS$55)</c:f>
              <c:numCache>
                <c:formatCode>General</c:formatCode>
                <c:ptCount val="9"/>
                <c:pt idx="0">
                  <c:v>4.67</c:v>
                </c:pt>
                <c:pt idx="1">
                  <c:v>7.0699999999999985</c:v>
                </c:pt>
                <c:pt idx="2">
                  <c:v>11.989999999999998</c:v>
                </c:pt>
                <c:pt idx="3">
                  <c:v>14.769999999999996</c:v>
                </c:pt>
                <c:pt idx="4">
                  <c:v>16.559999999999999</c:v>
                </c:pt>
                <c:pt idx="5">
                  <c:v>16.97</c:v>
                </c:pt>
                <c:pt idx="6">
                  <c:v>17.225000000000001</c:v>
                </c:pt>
                <c:pt idx="7">
                  <c:v>17.400000000000002</c:v>
                </c:pt>
                <c:pt idx="8">
                  <c:v>17.420000000000002</c:v>
                </c:pt>
              </c:numCache>
            </c:numRef>
          </c:val>
          <c:smooth val="0"/>
          <c:extLst>
            <c:ext xmlns:c16="http://schemas.microsoft.com/office/drawing/2014/chart" uri="{C3380CC4-5D6E-409C-BE32-E72D297353CC}">
              <c16:uniqueId val="{00000000-19B1-49C6-9F25-F41E0E85D259}"/>
            </c:ext>
          </c:extLst>
        </c:ser>
        <c:ser>
          <c:idx val="1"/>
          <c:order val="1"/>
          <c:tx>
            <c:v>low N; high P</c:v>
          </c:tx>
          <c:spPr>
            <a:ln w="28575" cap="rnd">
              <a:solidFill>
                <a:schemeClr val="accent2"/>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('1.DL'!$E$59,'1.DL'!$J$59,'1.DL'!$O$59,'1.DL'!$T$59,'1.DL'!$Y$59,'1.DL'!$AD$59,'1.DL'!$AI$59,'1.DL'!$AN$59,'1.DL'!$AS$59)</c:f>
              <c:numCache>
                <c:formatCode>General</c:formatCode>
                <c:ptCount val="9"/>
                <c:pt idx="0">
                  <c:v>4.33</c:v>
                </c:pt>
                <c:pt idx="1">
                  <c:v>6.7350000000000012</c:v>
                </c:pt>
                <c:pt idx="2">
                  <c:v>11.549999999999999</c:v>
                </c:pt>
                <c:pt idx="3">
                  <c:v>14.120000000000001</c:v>
                </c:pt>
                <c:pt idx="4">
                  <c:v>16.035000000000004</c:v>
                </c:pt>
                <c:pt idx="5">
                  <c:v>17.270000000000003</c:v>
                </c:pt>
                <c:pt idx="6">
                  <c:v>17.419999999999995</c:v>
                </c:pt>
                <c:pt idx="7">
                  <c:v>17.68</c:v>
                </c:pt>
                <c:pt idx="8">
                  <c:v>17.515000000000001</c:v>
                </c:pt>
              </c:numCache>
            </c:numRef>
          </c:val>
          <c:smooth val="0"/>
          <c:extLst>
            <c:ext xmlns:c16="http://schemas.microsoft.com/office/drawing/2014/chart" uri="{C3380CC4-5D6E-409C-BE32-E72D297353CC}">
              <c16:uniqueId val="{00000001-19B1-49C6-9F25-F41E0E85D259}"/>
            </c:ext>
          </c:extLst>
        </c:ser>
        <c:ser>
          <c:idx val="2"/>
          <c:order val="2"/>
          <c:tx>
            <c:v>med. N; low P</c:v>
          </c:tx>
          <c:spPr>
            <a:ln w="28575" cap="rnd">
              <a:solidFill>
                <a:schemeClr val="accent3"/>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('1.DL'!$E$63,'1.DL'!$J$63,'1.DL'!$O$63,'1.DL'!$T$63,'1.DL'!$Y$63,'1.DL'!$AD$63,'1.DL'!$AI$63,'1.DL'!$AN$63,'1.DL'!$AS$63)</c:f>
              <c:numCache>
                <c:formatCode>General</c:formatCode>
                <c:ptCount val="9"/>
                <c:pt idx="0">
                  <c:v>4.63</c:v>
                </c:pt>
                <c:pt idx="1">
                  <c:v>7.3150000000000004</c:v>
                </c:pt>
                <c:pt idx="2">
                  <c:v>12.145</c:v>
                </c:pt>
                <c:pt idx="3">
                  <c:v>14.944999999999999</c:v>
                </c:pt>
                <c:pt idx="4">
                  <c:v>18.324999999999999</c:v>
                </c:pt>
                <c:pt idx="5">
                  <c:v>19.074999999999999</c:v>
                </c:pt>
                <c:pt idx="6">
                  <c:v>19.834999999999997</c:v>
                </c:pt>
                <c:pt idx="7">
                  <c:v>19.610000000000003</c:v>
                </c:pt>
                <c:pt idx="8">
                  <c:v>19.919999999999998</c:v>
                </c:pt>
              </c:numCache>
            </c:numRef>
          </c:val>
          <c:smooth val="0"/>
          <c:extLst>
            <c:ext xmlns:c16="http://schemas.microsoft.com/office/drawing/2014/chart" uri="{C3380CC4-5D6E-409C-BE32-E72D297353CC}">
              <c16:uniqueId val="{00000002-19B1-49C6-9F25-F41E0E85D259}"/>
            </c:ext>
          </c:extLst>
        </c:ser>
        <c:ser>
          <c:idx val="3"/>
          <c:order val="3"/>
          <c:tx>
            <c:v>med. N; high P</c:v>
          </c:tx>
          <c:spPr>
            <a:ln w="28575" cap="rnd">
              <a:solidFill>
                <a:schemeClr val="accent4"/>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('1.DL'!$E$67,'1.DL'!$J$67,'1.DL'!$O$67,'1.DL'!$T$67,'1.DL'!$Y$67,'1.DL'!$AD$67,'1.DL'!$AI$67,'1.DL'!$AN$67,'1.DL'!$AS$67)</c:f>
              <c:numCache>
                <c:formatCode>General</c:formatCode>
                <c:ptCount val="9"/>
                <c:pt idx="0">
                  <c:v>4.2999999999999989</c:v>
                </c:pt>
                <c:pt idx="1">
                  <c:v>6.9</c:v>
                </c:pt>
                <c:pt idx="2">
                  <c:v>11.934999999999999</c:v>
                </c:pt>
                <c:pt idx="3">
                  <c:v>14.465</c:v>
                </c:pt>
                <c:pt idx="4">
                  <c:v>18.600000000000001</c:v>
                </c:pt>
                <c:pt idx="5">
                  <c:v>19.585000000000001</c:v>
                </c:pt>
                <c:pt idx="6">
                  <c:v>20.279999999999998</c:v>
                </c:pt>
                <c:pt idx="7">
                  <c:v>20.190000000000001</c:v>
                </c:pt>
                <c:pt idx="8">
                  <c:v>20.25</c:v>
                </c:pt>
              </c:numCache>
            </c:numRef>
          </c:val>
          <c:smooth val="0"/>
          <c:extLst>
            <c:ext xmlns:c16="http://schemas.microsoft.com/office/drawing/2014/chart" uri="{C3380CC4-5D6E-409C-BE32-E72D297353CC}">
              <c16:uniqueId val="{00000003-19B1-49C6-9F25-F41E0E85D259}"/>
            </c:ext>
          </c:extLst>
        </c:ser>
        <c:ser>
          <c:idx val="4"/>
          <c:order val="4"/>
          <c:tx>
            <c:v>high N; low P</c:v>
          </c:tx>
          <c:spPr>
            <a:ln w="28575" cap="rnd">
              <a:solidFill>
                <a:schemeClr val="accent5"/>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('1.DL'!$E$71,'1.DL'!$J$71,'1.DL'!$O$71,'1.DL'!$T$71,'1.DL'!$Y$71,'1.DL'!$AD$71,'1.DL'!$AI$71,'1.DL'!$AN$71,'1.DL'!$AS$71)</c:f>
              <c:numCache>
                <c:formatCode>General</c:formatCode>
                <c:ptCount val="9"/>
                <c:pt idx="0">
                  <c:v>4.3250000000000011</c:v>
                </c:pt>
                <c:pt idx="1">
                  <c:v>6.6149999999999993</c:v>
                </c:pt>
                <c:pt idx="2">
                  <c:v>11.215</c:v>
                </c:pt>
                <c:pt idx="3">
                  <c:v>14</c:v>
                </c:pt>
                <c:pt idx="4">
                  <c:v>17.285</c:v>
                </c:pt>
                <c:pt idx="5">
                  <c:v>19.200000000000003</c:v>
                </c:pt>
                <c:pt idx="6">
                  <c:v>19.695</c:v>
                </c:pt>
                <c:pt idx="7">
                  <c:v>20.88</c:v>
                </c:pt>
                <c:pt idx="8">
                  <c:v>21.315000000000001</c:v>
                </c:pt>
              </c:numCache>
            </c:numRef>
          </c:val>
          <c:smooth val="0"/>
          <c:extLst>
            <c:ext xmlns:c16="http://schemas.microsoft.com/office/drawing/2014/chart" uri="{C3380CC4-5D6E-409C-BE32-E72D297353CC}">
              <c16:uniqueId val="{00000004-19B1-49C6-9F25-F41E0E85D259}"/>
            </c:ext>
          </c:extLst>
        </c:ser>
        <c:ser>
          <c:idx val="5"/>
          <c:order val="5"/>
          <c:tx>
            <c:v>high N; high P</c:v>
          </c:tx>
          <c:spPr>
            <a:ln w="28575" cap="rnd">
              <a:solidFill>
                <a:schemeClr val="accent6"/>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('1.DL'!$E$75,'1.DL'!$J$75,'1.DL'!$O$75,'1.DL'!$T$75,'1.DL'!$Y$75,'1.DL'!$AD$75,'1.DL'!$AI$75,'1.DL'!$AN$75,'1.DL'!$AS$75)</c:f>
              <c:numCache>
                <c:formatCode>General</c:formatCode>
                <c:ptCount val="9"/>
                <c:pt idx="0">
                  <c:v>3.915</c:v>
                </c:pt>
                <c:pt idx="1">
                  <c:v>6.1249999999999991</c:v>
                </c:pt>
                <c:pt idx="2">
                  <c:v>10.85</c:v>
                </c:pt>
                <c:pt idx="3">
                  <c:v>13.565000000000001</c:v>
                </c:pt>
                <c:pt idx="4">
                  <c:v>17.715000000000003</c:v>
                </c:pt>
                <c:pt idx="5">
                  <c:v>19.96</c:v>
                </c:pt>
                <c:pt idx="6">
                  <c:v>21.24</c:v>
                </c:pt>
                <c:pt idx="7">
                  <c:v>22.07</c:v>
                </c:pt>
                <c:pt idx="8">
                  <c:v>23.37</c:v>
                </c:pt>
              </c:numCache>
            </c:numRef>
          </c:val>
          <c:smooth val="0"/>
          <c:extLst>
            <c:ext xmlns:c16="http://schemas.microsoft.com/office/drawing/2014/chart" uri="{C3380CC4-5D6E-409C-BE32-E72D297353CC}">
              <c16:uniqueId val="{00000005-19B1-49C6-9F25-F41E0E85D259}"/>
            </c:ext>
          </c:extLst>
        </c:ser>
        <c:dLbls>
          <c:showLegendKey val="0"/>
          <c:showVal val="0"/>
          <c:showCatName val="0"/>
          <c:showSerName val="0"/>
          <c:showPercent val="0"/>
          <c:showBubbleSize val="0"/>
        </c:dLbls>
        <c:smooth val="0"/>
        <c:axId val="15355392"/>
        <c:axId val="15356640"/>
      </c:lineChart>
      <c:dateAx>
        <c:axId val="15355392"/>
        <c:scaling>
          <c:orientation val="minMax"/>
          <c:max val="44676"/>
          <c:min val="4464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56640"/>
        <c:crosses val="autoZero"/>
        <c:auto val="0"/>
        <c:lblOffset val="100"/>
        <c:baseTimeUnit val="days"/>
        <c:majorUnit val="3"/>
        <c:majorTimeUnit val="days"/>
      </c:dateAx>
      <c:valAx>
        <c:axId val="15356640"/>
        <c:scaling>
          <c:orientation val="minMax"/>
          <c:max val="2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baseline="0"/>
                  <a:t>Pflanzenhöhe in cm</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55392"/>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Pflanzenhöhe</a:t>
            </a:r>
            <a:r>
              <a:rPr lang="de-DE" baseline="0"/>
              <a:t> der temperierten TMT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low N; low P</c:v>
          </c:tx>
          <c:spPr>
            <a:ln w="28575" cap="rnd">
              <a:solidFill>
                <a:schemeClr val="accent1"/>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('1.DL'!$E$79,'1.DL'!$J$79,'1.DL'!$O$79,'1.DL'!$T$79,'1.DL'!$Y$79,'1.DL'!$AD$79,'1.DL'!$AI$79,'1.DL'!$AN$79,'1.DL'!$AS$79)</c:f>
              <c:numCache>
                <c:formatCode>General</c:formatCode>
                <c:ptCount val="9"/>
                <c:pt idx="0">
                  <c:v>3.0250000000000004</c:v>
                </c:pt>
                <c:pt idx="1">
                  <c:v>5.125</c:v>
                </c:pt>
                <c:pt idx="2">
                  <c:v>9.2249999999999996</c:v>
                </c:pt>
                <c:pt idx="3">
                  <c:v>12.25</c:v>
                </c:pt>
                <c:pt idx="4">
                  <c:v>14.375</c:v>
                </c:pt>
                <c:pt idx="5">
                  <c:v>15.225</c:v>
                </c:pt>
                <c:pt idx="6">
                  <c:v>15.665000000000001</c:v>
                </c:pt>
                <c:pt idx="7">
                  <c:v>16.07</c:v>
                </c:pt>
                <c:pt idx="8">
                  <c:v>16.255000000000003</c:v>
                </c:pt>
              </c:numCache>
            </c:numRef>
          </c:val>
          <c:smooth val="0"/>
          <c:extLst>
            <c:ext xmlns:c16="http://schemas.microsoft.com/office/drawing/2014/chart" uri="{C3380CC4-5D6E-409C-BE32-E72D297353CC}">
              <c16:uniqueId val="{00000000-0522-4083-90B6-E85A2472C904}"/>
            </c:ext>
          </c:extLst>
        </c:ser>
        <c:ser>
          <c:idx val="1"/>
          <c:order val="1"/>
          <c:tx>
            <c:v>low N; high P</c:v>
          </c:tx>
          <c:spPr>
            <a:ln w="28575" cap="rnd">
              <a:solidFill>
                <a:schemeClr val="accent2"/>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('1.DL'!$E$83,'1.DL'!$J$83,'1.DL'!$O$83,'1.DL'!$T$83,'1.DL'!$Y$83,'1.DL'!$AD$83,'1.DL'!$AI$83,'1.DL'!$AN$83,'1.DL'!$AS$83)</c:f>
              <c:numCache>
                <c:formatCode>General</c:formatCode>
                <c:ptCount val="9"/>
                <c:pt idx="0">
                  <c:v>3.04</c:v>
                </c:pt>
                <c:pt idx="1">
                  <c:v>4.8849999999999998</c:v>
                </c:pt>
                <c:pt idx="2">
                  <c:v>9.2149999999999981</c:v>
                </c:pt>
                <c:pt idx="3">
                  <c:v>12.465</c:v>
                </c:pt>
                <c:pt idx="4">
                  <c:v>14.885</c:v>
                </c:pt>
                <c:pt idx="5">
                  <c:v>15.795000000000002</c:v>
                </c:pt>
                <c:pt idx="6">
                  <c:v>16.3</c:v>
                </c:pt>
                <c:pt idx="7">
                  <c:v>16.444999999999997</c:v>
                </c:pt>
                <c:pt idx="8">
                  <c:v>16.53</c:v>
                </c:pt>
              </c:numCache>
            </c:numRef>
          </c:val>
          <c:smooth val="0"/>
          <c:extLst>
            <c:ext xmlns:c16="http://schemas.microsoft.com/office/drawing/2014/chart" uri="{C3380CC4-5D6E-409C-BE32-E72D297353CC}">
              <c16:uniqueId val="{00000001-0522-4083-90B6-E85A2472C904}"/>
            </c:ext>
          </c:extLst>
        </c:ser>
        <c:ser>
          <c:idx val="2"/>
          <c:order val="2"/>
          <c:tx>
            <c:v>med. N; low P</c:v>
          </c:tx>
          <c:spPr>
            <a:ln w="28575" cap="rnd">
              <a:solidFill>
                <a:schemeClr val="accent3"/>
              </a:solidFill>
              <a:round/>
            </a:ln>
            <a:effectLst/>
          </c:spPr>
          <c:marker>
            <c:symbol val="none"/>
          </c:marker>
          <c:val>
            <c:numRef>
              <c:f>('1.DL'!$E$87,'1.DL'!$J$87,'1.DL'!$O$87,'1.DL'!$T$87,'1.DL'!$Y$87,'1.DL'!$AD$87,'1.DL'!$AI$87,'1.DL'!$AN$87,'1.DL'!$AS$87)</c:f>
              <c:numCache>
                <c:formatCode>General</c:formatCode>
                <c:ptCount val="9"/>
                <c:pt idx="0">
                  <c:v>3.0900000000000003</c:v>
                </c:pt>
                <c:pt idx="1">
                  <c:v>4.8949999999999996</c:v>
                </c:pt>
                <c:pt idx="2">
                  <c:v>9.2249999999999996</c:v>
                </c:pt>
                <c:pt idx="3">
                  <c:v>12.319999999999999</c:v>
                </c:pt>
                <c:pt idx="4">
                  <c:v>15.530000000000001</c:v>
                </c:pt>
                <c:pt idx="5">
                  <c:v>17.54</c:v>
                </c:pt>
                <c:pt idx="6">
                  <c:v>18.564999999999994</c:v>
                </c:pt>
                <c:pt idx="7">
                  <c:v>18.760000000000002</c:v>
                </c:pt>
                <c:pt idx="8">
                  <c:v>18.96</c:v>
                </c:pt>
              </c:numCache>
            </c:numRef>
          </c:val>
          <c:smooth val="0"/>
          <c:extLst>
            <c:ext xmlns:c16="http://schemas.microsoft.com/office/drawing/2014/chart" uri="{C3380CC4-5D6E-409C-BE32-E72D297353CC}">
              <c16:uniqueId val="{00000002-0522-4083-90B6-E85A2472C904}"/>
            </c:ext>
          </c:extLst>
        </c:ser>
        <c:ser>
          <c:idx val="3"/>
          <c:order val="3"/>
          <c:tx>
            <c:v>med. N; high P</c:v>
          </c:tx>
          <c:spPr>
            <a:ln w="28575" cap="rnd">
              <a:solidFill>
                <a:schemeClr val="accent4"/>
              </a:solidFill>
              <a:round/>
            </a:ln>
            <a:effectLst/>
          </c:spPr>
          <c:marker>
            <c:symbol val="none"/>
          </c:marker>
          <c:val>
            <c:numRef>
              <c:f>('1.DL'!$E$91,'1.DL'!$J$91,'1.DL'!$O$91,'1.DL'!$T$91,'1.DL'!$Y$91,'1.DL'!$AD$91,'1.DL'!$AI$91,'1.DL'!$AN$91,'1.DL'!$AS$91)</c:f>
              <c:numCache>
                <c:formatCode>General</c:formatCode>
                <c:ptCount val="9"/>
                <c:pt idx="0">
                  <c:v>3.15</c:v>
                </c:pt>
                <c:pt idx="1">
                  <c:v>4.99</c:v>
                </c:pt>
                <c:pt idx="2">
                  <c:v>9.3449999999999989</c:v>
                </c:pt>
                <c:pt idx="3">
                  <c:v>12.73</c:v>
                </c:pt>
                <c:pt idx="4">
                  <c:v>16.009999999999998</c:v>
                </c:pt>
                <c:pt idx="5">
                  <c:v>18.614999999999998</c:v>
                </c:pt>
                <c:pt idx="6">
                  <c:v>19.199999999999996</c:v>
                </c:pt>
                <c:pt idx="7">
                  <c:v>19.555000000000003</c:v>
                </c:pt>
                <c:pt idx="8">
                  <c:v>19.360000000000003</c:v>
                </c:pt>
              </c:numCache>
            </c:numRef>
          </c:val>
          <c:smooth val="0"/>
          <c:extLst>
            <c:ext xmlns:c16="http://schemas.microsoft.com/office/drawing/2014/chart" uri="{C3380CC4-5D6E-409C-BE32-E72D297353CC}">
              <c16:uniqueId val="{00000003-0522-4083-90B6-E85A2472C904}"/>
            </c:ext>
          </c:extLst>
        </c:ser>
        <c:ser>
          <c:idx val="4"/>
          <c:order val="4"/>
          <c:tx>
            <c:v>high N; low P</c:v>
          </c:tx>
          <c:spPr>
            <a:ln w="28575" cap="rnd">
              <a:solidFill>
                <a:schemeClr val="accent5"/>
              </a:solidFill>
              <a:round/>
            </a:ln>
            <a:effectLst/>
          </c:spPr>
          <c:marker>
            <c:symbol val="none"/>
          </c:marker>
          <c:val>
            <c:numRef>
              <c:f>('1.DL'!$E$95,'1.DL'!$J$95,'1.DL'!$O$95,'1.DL'!$T$95,'1.DL'!$Y$95,'1.DL'!$AD$95,'1.DL'!$AI$95,'1.DL'!$AN$95,'1.DL'!$AS$95)</c:f>
              <c:numCache>
                <c:formatCode>General</c:formatCode>
                <c:ptCount val="9"/>
                <c:pt idx="0">
                  <c:v>3.1500000000000004</c:v>
                </c:pt>
                <c:pt idx="1">
                  <c:v>5.01</c:v>
                </c:pt>
                <c:pt idx="2">
                  <c:v>9.01</c:v>
                </c:pt>
                <c:pt idx="3">
                  <c:v>12.35</c:v>
                </c:pt>
                <c:pt idx="4">
                  <c:v>15.219999999999999</c:v>
                </c:pt>
                <c:pt idx="5">
                  <c:v>17.75</c:v>
                </c:pt>
                <c:pt idx="6">
                  <c:v>20.274999999999999</c:v>
                </c:pt>
                <c:pt idx="7">
                  <c:v>20.675000000000001</c:v>
                </c:pt>
                <c:pt idx="8">
                  <c:v>21.184999999999999</c:v>
                </c:pt>
              </c:numCache>
            </c:numRef>
          </c:val>
          <c:smooth val="0"/>
          <c:extLst>
            <c:ext xmlns:c16="http://schemas.microsoft.com/office/drawing/2014/chart" uri="{C3380CC4-5D6E-409C-BE32-E72D297353CC}">
              <c16:uniqueId val="{00000004-0522-4083-90B6-E85A2472C904}"/>
            </c:ext>
          </c:extLst>
        </c:ser>
        <c:ser>
          <c:idx val="5"/>
          <c:order val="5"/>
          <c:tx>
            <c:v>high N; high P</c:v>
          </c:tx>
          <c:spPr>
            <a:ln w="28575" cap="rnd">
              <a:solidFill>
                <a:schemeClr val="accent6"/>
              </a:solidFill>
              <a:round/>
            </a:ln>
            <a:effectLst/>
          </c:spPr>
          <c:marker>
            <c:symbol val="none"/>
          </c:marker>
          <c:val>
            <c:numRef>
              <c:f>('1.DL'!$E$99,'1.DL'!$J$99,'1.DL'!$O$99,'1.DL'!$T$99,'1.DL'!$Y$99,'1.DL'!$AD$99,'1.DL'!$AI$99,'1.DL'!$AN$99,'1.DL'!$AS$99)</c:f>
              <c:numCache>
                <c:formatCode>General</c:formatCode>
                <c:ptCount val="9"/>
                <c:pt idx="0">
                  <c:v>2.8650000000000002</c:v>
                </c:pt>
                <c:pt idx="1">
                  <c:v>4.6055555555555561</c:v>
                </c:pt>
                <c:pt idx="2">
                  <c:v>8.7277777777777779</c:v>
                </c:pt>
                <c:pt idx="3">
                  <c:v>11.972222222222221</c:v>
                </c:pt>
                <c:pt idx="4">
                  <c:v>14.983333333333333</c:v>
                </c:pt>
                <c:pt idx="5">
                  <c:v>17.865000000000002</c:v>
                </c:pt>
                <c:pt idx="6">
                  <c:v>20.335000000000001</c:v>
                </c:pt>
                <c:pt idx="7">
                  <c:v>21.94736842105263</c:v>
                </c:pt>
                <c:pt idx="8">
                  <c:v>21.995000000000005</c:v>
                </c:pt>
              </c:numCache>
            </c:numRef>
          </c:val>
          <c:smooth val="0"/>
          <c:extLst>
            <c:ext xmlns:c16="http://schemas.microsoft.com/office/drawing/2014/chart" uri="{C3380CC4-5D6E-409C-BE32-E72D297353CC}">
              <c16:uniqueId val="{00000005-0522-4083-90B6-E85A2472C904}"/>
            </c:ext>
          </c:extLst>
        </c:ser>
        <c:dLbls>
          <c:showLegendKey val="0"/>
          <c:showVal val="0"/>
          <c:showCatName val="0"/>
          <c:showSerName val="0"/>
          <c:showPercent val="0"/>
          <c:showBubbleSize val="0"/>
        </c:dLbls>
        <c:smooth val="0"/>
        <c:axId val="15344160"/>
        <c:axId val="15347488"/>
      </c:lineChart>
      <c:dateAx>
        <c:axId val="1534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47488"/>
        <c:crosses val="autoZero"/>
        <c:auto val="0"/>
        <c:lblOffset val="100"/>
        <c:baseTimeUnit val="days"/>
        <c:majorUnit val="3"/>
        <c:majorTimeUnit val="days"/>
      </c:dateAx>
      <c:valAx>
        <c:axId val="15347488"/>
        <c:scaling>
          <c:orientation val="minMax"/>
          <c:max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Pflanzenhöhe</a:t>
                </a:r>
                <a:r>
                  <a:rPr lang="de-DE" baseline="0"/>
                  <a:t> in cm</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34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PG 1</c:v>
          </c:tx>
          <c:spPr>
            <a:ln w="28575" cap="rnd">
              <a:solidFill>
                <a:schemeClr val="accent1"/>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('1.DL'!$E$55,'1.DL'!$J$55,'1.DL'!$O$55,'1.DL'!$T$55,'1.DL'!$Y$55,'1.DL'!$AD$55,'1.DL'!$AI$55,'1.DL'!$AN$55,'1.DL'!$AS$55)</c:f>
              <c:numCache>
                <c:formatCode>General</c:formatCode>
                <c:ptCount val="9"/>
                <c:pt idx="0">
                  <c:v>4.67</c:v>
                </c:pt>
                <c:pt idx="1">
                  <c:v>7.0699999999999985</c:v>
                </c:pt>
                <c:pt idx="2">
                  <c:v>11.989999999999998</c:v>
                </c:pt>
                <c:pt idx="3">
                  <c:v>14.769999999999996</c:v>
                </c:pt>
                <c:pt idx="4">
                  <c:v>16.559999999999999</c:v>
                </c:pt>
                <c:pt idx="5">
                  <c:v>16.97</c:v>
                </c:pt>
                <c:pt idx="6">
                  <c:v>17.225000000000001</c:v>
                </c:pt>
                <c:pt idx="7">
                  <c:v>17.400000000000002</c:v>
                </c:pt>
                <c:pt idx="8">
                  <c:v>17.420000000000002</c:v>
                </c:pt>
              </c:numCache>
            </c:numRef>
          </c:val>
          <c:smooth val="0"/>
          <c:extLst>
            <c:ext xmlns:c16="http://schemas.microsoft.com/office/drawing/2014/chart" uri="{C3380CC4-5D6E-409C-BE32-E72D297353CC}">
              <c16:uniqueId val="{00000000-F2E9-483A-A57F-1ECC8C025BDC}"/>
            </c:ext>
          </c:extLst>
        </c:ser>
        <c:ser>
          <c:idx val="1"/>
          <c:order val="1"/>
          <c:tx>
            <c:v>PG 7</c:v>
          </c:tx>
          <c:spPr>
            <a:ln w="28575" cap="rnd">
              <a:solidFill>
                <a:schemeClr val="accent2"/>
              </a:solidFill>
              <a:round/>
            </a:ln>
            <a:effectLst/>
          </c:spPr>
          <c:marker>
            <c:symbol val="none"/>
          </c:marker>
          <c:val>
            <c:numRef>
              <c:f>('1.DL'!$E$79,'1.DL'!$J$79,'1.DL'!$O$79,'1.DL'!$T$79,'1.DL'!$Y$79,'1.DL'!$AD$79,'1.DL'!$AI$79,'1.DL'!$AN$79,'1.DL'!$AS$79)</c:f>
              <c:numCache>
                <c:formatCode>General</c:formatCode>
                <c:ptCount val="9"/>
                <c:pt idx="0">
                  <c:v>3.0250000000000004</c:v>
                </c:pt>
                <c:pt idx="1">
                  <c:v>5.125</c:v>
                </c:pt>
                <c:pt idx="2">
                  <c:v>9.2249999999999996</c:v>
                </c:pt>
                <c:pt idx="3">
                  <c:v>12.25</c:v>
                </c:pt>
                <c:pt idx="4">
                  <c:v>14.375</c:v>
                </c:pt>
                <c:pt idx="5">
                  <c:v>15.225</c:v>
                </c:pt>
                <c:pt idx="6">
                  <c:v>15.665000000000001</c:v>
                </c:pt>
                <c:pt idx="7">
                  <c:v>16.07</c:v>
                </c:pt>
                <c:pt idx="8">
                  <c:v>16.255000000000003</c:v>
                </c:pt>
              </c:numCache>
            </c:numRef>
          </c:val>
          <c:smooth val="0"/>
          <c:extLst>
            <c:ext xmlns:c16="http://schemas.microsoft.com/office/drawing/2014/chart" uri="{C3380CC4-5D6E-409C-BE32-E72D297353CC}">
              <c16:uniqueId val="{00000001-F2E9-483A-A57F-1ECC8C025BDC}"/>
            </c:ext>
          </c:extLst>
        </c:ser>
        <c:dLbls>
          <c:showLegendKey val="0"/>
          <c:showVal val="0"/>
          <c:showCatName val="0"/>
          <c:showSerName val="0"/>
          <c:showPercent val="0"/>
          <c:showBubbleSize val="0"/>
        </c:dLbls>
        <c:smooth val="0"/>
        <c:axId val="357770351"/>
        <c:axId val="357772015"/>
      </c:lineChart>
      <c:dateAx>
        <c:axId val="357770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7772015"/>
        <c:crosses val="autoZero"/>
        <c:auto val="0"/>
        <c:lblOffset val="100"/>
        <c:baseTimeUnit val="days"/>
      </c:dateAx>
      <c:valAx>
        <c:axId val="35777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Pflanzenhöhe</a:t>
                </a:r>
                <a:r>
                  <a:rPr lang="de-DE" baseline="0"/>
                  <a:t> in cm</a:t>
                </a:r>
                <a:endParaRPr lang="de-DE"/>
              </a:p>
            </c:rich>
          </c:tx>
          <c:layout>
            <c:manualLayout>
              <c:xMode val="edge"/>
              <c:yMode val="edge"/>
              <c:x val="2.7777777777777776E-2"/>
              <c:y val="0.204019757946923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777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PG 2</c:v>
          </c:tx>
          <c:spPr>
            <a:ln w="28575" cap="rnd">
              <a:solidFill>
                <a:schemeClr val="accent1"/>
              </a:solidFill>
              <a:round/>
            </a:ln>
            <a:effectLst/>
          </c:spPr>
          <c:marker>
            <c:symbol val="none"/>
          </c:marker>
          <c:cat>
            <c:numRef>
              <c:f>('1.DL'!$C$2,'1.DL'!$H$2,'1.DL'!$M$2,'1.DL'!$R$2,'1.DL'!$W$2,'1.DL'!$AB$2,'1.DL'!$AG$2,'1.DL'!$AL$2,'1.DL'!$AQ$2)</c:f>
              <c:numCache>
                <c:formatCode>d\-mmm</c:formatCode>
                <c:ptCount val="9"/>
                <c:pt idx="0">
                  <c:v>44649</c:v>
                </c:pt>
                <c:pt idx="1">
                  <c:v>44652</c:v>
                </c:pt>
                <c:pt idx="2">
                  <c:v>44656</c:v>
                </c:pt>
                <c:pt idx="3">
                  <c:v>44659</c:v>
                </c:pt>
                <c:pt idx="4">
                  <c:v>44662</c:v>
                </c:pt>
                <c:pt idx="5">
                  <c:v>44665</c:v>
                </c:pt>
                <c:pt idx="6">
                  <c:v>44670</c:v>
                </c:pt>
                <c:pt idx="7">
                  <c:v>44673</c:v>
                </c:pt>
                <c:pt idx="8">
                  <c:v>44676</c:v>
                </c:pt>
              </c:numCache>
            </c:numRef>
          </c:cat>
          <c:val>
            <c:numRef>
              <c:f>('1.DL'!$E$59,'1.DL'!$J$59,'1.DL'!$O$59,'1.DL'!$T$59,'1.DL'!$Y$59,'1.DL'!$AD$59,'1.DL'!$AI$59,'1.DL'!$AN$59,'1.DL'!$AS$59)</c:f>
              <c:numCache>
                <c:formatCode>General</c:formatCode>
                <c:ptCount val="9"/>
                <c:pt idx="0">
                  <c:v>4.33</c:v>
                </c:pt>
                <c:pt idx="1">
                  <c:v>6.7350000000000012</c:v>
                </c:pt>
                <c:pt idx="2">
                  <c:v>11.549999999999999</c:v>
                </c:pt>
                <c:pt idx="3">
                  <c:v>14.120000000000001</c:v>
                </c:pt>
                <c:pt idx="4">
                  <c:v>16.035000000000004</c:v>
                </c:pt>
                <c:pt idx="5">
                  <c:v>17.270000000000003</c:v>
                </c:pt>
                <c:pt idx="6">
                  <c:v>17.419999999999995</c:v>
                </c:pt>
                <c:pt idx="7">
                  <c:v>17.68</c:v>
                </c:pt>
                <c:pt idx="8">
                  <c:v>17.515000000000001</c:v>
                </c:pt>
              </c:numCache>
            </c:numRef>
          </c:val>
          <c:smooth val="0"/>
          <c:extLst>
            <c:ext xmlns:c16="http://schemas.microsoft.com/office/drawing/2014/chart" uri="{C3380CC4-5D6E-409C-BE32-E72D297353CC}">
              <c16:uniqueId val="{00000000-6F7E-49CD-90E4-EF3C3679BD80}"/>
            </c:ext>
          </c:extLst>
        </c:ser>
        <c:ser>
          <c:idx val="1"/>
          <c:order val="1"/>
          <c:tx>
            <c:v>PG 8</c:v>
          </c:tx>
          <c:spPr>
            <a:ln w="28575" cap="rnd">
              <a:solidFill>
                <a:schemeClr val="accent2"/>
              </a:solidFill>
              <a:round/>
            </a:ln>
            <a:effectLst/>
          </c:spPr>
          <c:marker>
            <c:symbol val="none"/>
          </c:marker>
          <c:val>
            <c:numRef>
              <c:f>('1.DL'!$E$83,'1.DL'!$J$83,'1.DL'!$O$83,'1.DL'!$T$83,'1.DL'!$Y$83,'1.DL'!$AD$83,'1.DL'!$AI$83,'1.DL'!$AN$83,'1.DL'!$AS$83)</c:f>
              <c:numCache>
                <c:formatCode>General</c:formatCode>
                <c:ptCount val="9"/>
                <c:pt idx="0">
                  <c:v>3.04</c:v>
                </c:pt>
                <c:pt idx="1">
                  <c:v>4.8849999999999998</c:v>
                </c:pt>
                <c:pt idx="2">
                  <c:v>9.2149999999999981</c:v>
                </c:pt>
                <c:pt idx="3">
                  <c:v>12.465</c:v>
                </c:pt>
                <c:pt idx="4">
                  <c:v>14.885</c:v>
                </c:pt>
                <c:pt idx="5">
                  <c:v>15.795000000000002</c:v>
                </c:pt>
                <c:pt idx="6">
                  <c:v>16.3</c:v>
                </c:pt>
                <c:pt idx="7">
                  <c:v>16.444999999999997</c:v>
                </c:pt>
                <c:pt idx="8">
                  <c:v>16.53</c:v>
                </c:pt>
              </c:numCache>
            </c:numRef>
          </c:val>
          <c:smooth val="0"/>
          <c:extLst>
            <c:ext xmlns:c16="http://schemas.microsoft.com/office/drawing/2014/chart" uri="{C3380CC4-5D6E-409C-BE32-E72D297353CC}">
              <c16:uniqueId val="{00000001-6F7E-49CD-90E4-EF3C3679BD80}"/>
            </c:ext>
          </c:extLst>
        </c:ser>
        <c:dLbls>
          <c:showLegendKey val="0"/>
          <c:showVal val="0"/>
          <c:showCatName val="0"/>
          <c:showSerName val="0"/>
          <c:showPercent val="0"/>
          <c:showBubbleSize val="0"/>
        </c:dLbls>
        <c:smooth val="0"/>
        <c:axId val="252231679"/>
        <c:axId val="252234175"/>
      </c:lineChart>
      <c:dateAx>
        <c:axId val="252231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2234175"/>
        <c:crosses val="autoZero"/>
        <c:auto val="1"/>
        <c:lblOffset val="100"/>
        <c:baseTimeUnit val="days"/>
      </c:dateAx>
      <c:valAx>
        <c:axId val="252234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Pflanzenhöhe</a:t>
                </a:r>
                <a:r>
                  <a:rPr lang="de-DE" baseline="0"/>
                  <a:t> in cm</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52231679"/>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Pflanzenhöhe</a:t>
            </a:r>
            <a:r>
              <a:rPr lang="de-DE" baseline="0"/>
              <a:t> der warmen TMT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low N; low P</c:v>
          </c:tx>
          <c:spPr>
            <a:ln w="28575" cap="rnd">
              <a:solidFill>
                <a:schemeClr val="accent1"/>
              </a:solidFill>
              <a:round/>
            </a:ln>
            <a:effectLst/>
          </c:spPr>
          <c:marker>
            <c:symbol val="none"/>
          </c:marker>
          <c:cat>
            <c:numRef>
              <c:f>('2.DL'!$C$2,'2.DL'!$H$2,'2.DL'!$M$2,'2.DL'!$R$2,'2.DL'!$W$2,'2.DL'!$AB$2,'2.DL'!$AG$2,'2.DL'!$AL$2)</c:f>
              <c:numCache>
                <c:formatCode>d\-mmm</c:formatCode>
                <c:ptCount val="8"/>
                <c:pt idx="0">
                  <c:v>44677</c:v>
                </c:pt>
                <c:pt idx="1">
                  <c:v>44679</c:v>
                </c:pt>
                <c:pt idx="2">
                  <c:v>44684</c:v>
                </c:pt>
                <c:pt idx="3">
                  <c:v>44687</c:v>
                </c:pt>
                <c:pt idx="4">
                  <c:v>44691</c:v>
                </c:pt>
                <c:pt idx="5">
                  <c:v>44694</c:v>
                </c:pt>
                <c:pt idx="6">
                  <c:v>44697</c:v>
                </c:pt>
                <c:pt idx="7">
                  <c:v>44700</c:v>
                </c:pt>
              </c:numCache>
            </c:numRef>
          </c:cat>
          <c:val>
            <c:numRef>
              <c:f>('2.DL'!$E$55,'2.DL'!$J$55,'2.DL'!$O$55,'2.DL'!$T$55,'2.DL'!$Y$55,'2.DL'!$AD$55,'2.DL'!$AI$55,'2.DL'!$AN$55)</c:f>
              <c:numCache>
                <c:formatCode>General</c:formatCode>
                <c:ptCount val="8"/>
                <c:pt idx="0">
                  <c:v>5.2900000000000009</c:v>
                </c:pt>
                <c:pt idx="1">
                  <c:v>7.2450000000000001</c:v>
                </c:pt>
                <c:pt idx="2">
                  <c:v>10.27</c:v>
                </c:pt>
                <c:pt idx="3">
                  <c:v>10.959999999999999</c:v>
                </c:pt>
                <c:pt idx="4">
                  <c:v>11.345000000000001</c:v>
                </c:pt>
                <c:pt idx="5">
                  <c:v>11.52</c:v>
                </c:pt>
                <c:pt idx="6">
                  <c:v>11.720000000000002</c:v>
                </c:pt>
                <c:pt idx="7">
                  <c:v>11.745000000000001</c:v>
                </c:pt>
              </c:numCache>
            </c:numRef>
          </c:val>
          <c:smooth val="0"/>
          <c:extLst>
            <c:ext xmlns:c16="http://schemas.microsoft.com/office/drawing/2014/chart" uri="{C3380CC4-5D6E-409C-BE32-E72D297353CC}">
              <c16:uniqueId val="{00000000-78BD-402D-BB84-C484F1C298F5}"/>
            </c:ext>
          </c:extLst>
        </c:ser>
        <c:ser>
          <c:idx val="1"/>
          <c:order val="1"/>
          <c:tx>
            <c:v>low N; high P</c:v>
          </c:tx>
          <c:spPr>
            <a:ln w="28575" cap="rnd">
              <a:solidFill>
                <a:schemeClr val="accent2"/>
              </a:solidFill>
              <a:round/>
            </a:ln>
            <a:effectLst/>
          </c:spPr>
          <c:marker>
            <c:symbol val="none"/>
          </c:marker>
          <c:val>
            <c:numRef>
              <c:f>('2.DL'!$E$59,'2.DL'!$J$59,'2.DL'!$O$59,'2.DL'!$T$59,'2.DL'!$Y$59,'2.DL'!$AD$59,'2.DL'!$AI$59,'2.DL'!$AN$59)</c:f>
              <c:numCache>
                <c:formatCode>General</c:formatCode>
                <c:ptCount val="8"/>
                <c:pt idx="0">
                  <c:v>4.8950000000000005</c:v>
                </c:pt>
                <c:pt idx="1">
                  <c:v>7.089999999999999</c:v>
                </c:pt>
                <c:pt idx="2">
                  <c:v>9.5250000000000004</c:v>
                </c:pt>
                <c:pt idx="3">
                  <c:v>10.115000000000004</c:v>
                </c:pt>
                <c:pt idx="4">
                  <c:v>10.444999999999999</c:v>
                </c:pt>
                <c:pt idx="5">
                  <c:v>11.010000000000002</c:v>
                </c:pt>
                <c:pt idx="6">
                  <c:v>10.76</c:v>
                </c:pt>
                <c:pt idx="7">
                  <c:v>10.885000000000002</c:v>
                </c:pt>
              </c:numCache>
            </c:numRef>
          </c:val>
          <c:smooth val="0"/>
          <c:extLst>
            <c:ext xmlns:c16="http://schemas.microsoft.com/office/drawing/2014/chart" uri="{C3380CC4-5D6E-409C-BE32-E72D297353CC}">
              <c16:uniqueId val="{00000001-78BD-402D-BB84-C484F1C298F5}"/>
            </c:ext>
          </c:extLst>
        </c:ser>
        <c:ser>
          <c:idx val="2"/>
          <c:order val="2"/>
          <c:tx>
            <c:v>med. N; low P</c:v>
          </c:tx>
          <c:spPr>
            <a:ln w="28575" cap="rnd">
              <a:solidFill>
                <a:schemeClr val="accent3"/>
              </a:solidFill>
              <a:round/>
            </a:ln>
            <a:effectLst/>
          </c:spPr>
          <c:marker>
            <c:symbol val="none"/>
          </c:marker>
          <c:val>
            <c:numRef>
              <c:f>('2.DL'!$E$63,'2.DL'!$J$63,'2.DL'!$O$63,'2.DL'!$T$63,'2.DL'!$Y$63,'2.DL'!$AD$63,'2.DL'!$AI$63,'2.DL'!$AN$63)</c:f>
              <c:numCache>
                <c:formatCode>General</c:formatCode>
                <c:ptCount val="8"/>
                <c:pt idx="0">
                  <c:v>5.3100000000000005</c:v>
                </c:pt>
                <c:pt idx="1">
                  <c:v>7.43</c:v>
                </c:pt>
                <c:pt idx="2">
                  <c:v>13.48</c:v>
                </c:pt>
                <c:pt idx="3">
                  <c:v>14.49</c:v>
                </c:pt>
                <c:pt idx="4">
                  <c:v>15.184999999999999</c:v>
                </c:pt>
                <c:pt idx="5">
                  <c:v>15.349999999999998</c:v>
                </c:pt>
                <c:pt idx="6">
                  <c:v>15.664999999999997</c:v>
                </c:pt>
                <c:pt idx="7">
                  <c:v>15.59</c:v>
                </c:pt>
              </c:numCache>
            </c:numRef>
          </c:val>
          <c:smooth val="0"/>
          <c:extLst>
            <c:ext xmlns:c16="http://schemas.microsoft.com/office/drawing/2014/chart" uri="{C3380CC4-5D6E-409C-BE32-E72D297353CC}">
              <c16:uniqueId val="{00000002-78BD-402D-BB84-C484F1C298F5}"/>
            </c:ext>
          </c:extLst>
        </c:ser>
        <c:ser>
          <c:idx val="3"/>
          <c:order val="3"/>
          <c:tx>
            <c:v>med. N; high P</c:v>
          </c:tx>
          <c:spPr>
            <a:ln w="28575" cap="rnd">
              <a:solidFill>
                <a:schemeClr val="accent4"/>
              </a:solidFill>
              <a:round/>
            </a:ln>
            <a:effectLst/>
          </c:spPr>
          <c:marker>
            <c:symbol val="none"/>
          </c:marker>
          <c:val>
            <c:numRef>
              <c:f>('2.DL'!$E$67,'2.DL'!$J$67,'2.DL'!$O$67,'2.DL'!$T$67,'2.DL'!$Y$67,'2.DL'!$AD$67,'2.DL'!$AI$67,'2.DL'!$AN$67)</c:f>
              <c:numCache>
                <c:formatCode>General</c:formatCode>
                <c:ptCount val="8"/>
                <c:pt idx="0">
                  <c:v>5.08</c:v>
                </c:pt>
                <c:pt idx="1">
                  <c:v>7.4800000000000013</c:v>
                </c:pt>
                <c:pt idx="2">
                  <c:v>13.844999999999999</c:v>
                </c:pt>
                <c:pt idx="3">
                  <c:v>15.309999999999999</c:v>
                </c:pt>
                <c:pt idx="4">
                  <c:v>15.74</c:v>
                </c:pt>
                <c:pt idx="5">
                  <c:v>16.445</c:v>
                </c:pt>
                <c:pt idx="6">
                  <c:v>16.509999999999998</c:v>
                </c:pt>
                <c:pt idx="7">
                  <c:v>16.47</c:v>
                </c:pt>
              </c:numCache>
            </c:numRef>
          </c:val>
          <c:smooth val="0"/>
          <c:extLst>
            <c:ext xmlns:c16="http://schemas.microsoft.com/office/drawing/2014/chart" uri="{C3380CC4-5D6E-409C-BE32-E72D297353CC}">
              <c16:uniqueId val="{00000003-78BD-402D-BB84-C484F1C298F5}"/>
            </c:ext>
          </c:extLst>
        </c:ser>
        <c:ser>
          <c:idx val="4"/>
          <c:order val="4"/>
          <c:tx>
            <c:v>high N; low P</c:v>
          </c:tx>
          <c:spPr>
            <a:ln w="28575" cap="rnd">
              <a:solidFill>
                <a:schemeClr val="accent5"/>
              </a:solidFill>
              <a:round/>
            </a:ln>
            <a:effectLst/>
          </c:spPr>
          <c:marker>
            <c:symbol val="none"/>
          </c:marker>
          <c:val>
            <c:numRef>
              <c:f>('2.DL'!$E$71,'2.DL'!$J$71,'2.DL'!$O$71,'2.DL'!$T$71,'2.DL'!$Y$71,'2.DL'!$AD$71,'2.DL'!$AI$71,'2.DL'!$AN$71)</c:f>
              <c:numCache>
                <c:formatCode>General</c:formatCode>
                <c:ptCount val="8"/>
                <c:pt idx="0">
                  <c:v>5.15</c:v>
                </c:pt>
                <c:pt idx="1">
                  <c:v>7.1350000000000007</c:v>
                </c:pt>
                <c:pt idx="2">
                  <c:v>12.919999999999998</c:v>
                </c:pt>
                <c:pt idx="3">
                  <c:v>14.874999999999996</c:v>
                </c:pt>
                <c:pt idx="4">
                  <c:v>16.035</c:v>
                </c:pt>
                <c:pt idx="5">
                  <c:v>16.465000000000003</c:v>
                </c:pt>
                <c:pt idx="6">
                  <c:v>16.55</c:v>
                </c:pt>
                <c:pt idx="7">
                  <c:v>16.695</c:v>
                </c:pt>
              </c:numCache>
            </c:numRef>
          </c:val>
          <c:smooth val="0"/>
          <c:extLst>
            <c:ext xmlns:c16="http://schemas.microsoft.com/office/drawing/2014/chart" uri="{C3380CC4-5D6E-409C-BE32-E72D297353CC}">
              <c16:uniqueId val="{00000004-78BD-402D-BB84-C484F1C298F5}"/>
            </c:ext>
          </c:extLst>
        </c:ser>
        <c:ser>
          <c:idx val="5"/>
          <c:order val="5"/>
          <c:tx>
            <c:v>high N; high P</c:v>
          </c:tx>
          <c:spPr>
            <a:ln w="28575" cap="rnd">
              <a:solidFill>
                <a:schemeClr val="accent6"/>
              </a:solidFill>
              <a:round/>
            </a:ln>
            <a:effectLst/>
          </c:spPr>
          <c:marker>
            <c:symbol val="none"/>
          </c:marker>
          <c:val>
            <c:numRef>
              <c:f>('2.DL'!$E$75,'2.DL'!$J$75,'2.DL'!$O$75,'2.DL'!$T$75,'2.DL'!$Y$75,'2.DL'!$AD$75,'2.DL'!$AI$75,'2.DL'!$AN$75)</c:f>
              <c:numCache>
                <c:formatCode>General</c:formatCode>
                <c:ptCount val="8"/>
                <c:pt idx="0">
                  <c:v>5.31</c:v>
                </c:pt>
                <c:pt idx="1">
                  <c:v>7.3050000000000015</c:v>
                </c:pt>
                <c:pt idx="2">
                  <c:v>15.14</c:v>
                </c:pt>
                <c:pt idx="3">
                  <c:v>19.47</c:v>
                </c:pt>
                <c:pt idx="4">
                  <c:v>20.315000000000001</c:v>
                </c:pt>
                <c:pt idx="5">
                  <c:v>20.65</c:v>
                </c:pt>
                <c:pt idx="6">
                  <c:v>20.88</c:v>
                </c:pt>
                <c:pt idx="7">
                  <c:v>21.234999999999996</c:v>
                </c:pt>
              </c:numCache>
            </c:numRef>
          </c:val>
          <c:smooth val="0"/>
          <c:extLst>
            <c:ext xmlns:c16="http://schemas.microsoft.com/office/drawing/2014/chart" uri="{C3380CC4-5D6E-409C-BE32-E72D297353CC}">
              <c16:uniqueId val="{00000005-78BD-402D-BB84-C484F1C298F5}"/>
            </c:ext>
          </c:extLst>
        </c:ser>
        <c:dLbls>
          <c:showLegendKey val="0"/>
          <c:showVal val="0"/>
          <c:showCatName val="0"/>
          <c:showSerName val="0"/>
          <c:showPercent val="0"/>
          <c:showBubbleSize val="0"/>
        </c:dLbls>
        <c:smooth val="0"/>
        <c:axId val="1661642752"/>
        <c:axId val="1661635680"/>
      </c:lineChart>
      <c:dateAx>
        <c:axId val="166164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61635680"/>
        <c:crosses val="autoZero"/>
        <c:auto val="1"/>
        <c:lblOffset val="100"/>
        <c:baseTimeUnit val="days"/>
        <c:majorUnit val="3"/>
        <c:majorTimeUnit val="days"/>
      </c:dateAx>
      <c:valAx>
        <c:axId val="166163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Pflnazenhöhe</a:t>
                </a:r>
                <a:r>
                  <a:rPr lang="de-DE" baseline="0"/>
                  <a:t> in cm</a:t>
                </a:r>
                <a:endParaRPr lang="de-DE"/>
              </a:p>
            </c:rich>
          </c:tx>
          <c:layout>
            <c:manualLayout>
              <c:xMode val="edge"/>
              <c:yMode val="edge"/>
              <c:x val="2.7777777777777776E-2"/>
              <c:y val="0.30124198016914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616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Pflanzenhöhe</a:t>
            </a:r>
            <a:r>
              <a:rPr lang="de-DE" baseline="0"/>
              <a:t> der temperierten TMT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low N; low P</c:v>
          </c:tx>
          <c:spPr>
            <a:ln w="28575" cap="rnd">
              <a:solidFill>
                <a:schemeClr val="accent1"/>
              </a:solidFill>
              <a:round/>
            </a:ln>
            <a:effectLst/>
          </c:spPr>
          <c:marker>
            <c:symbol val="none"/>
          </c:marker>
          <c:cat>
            <c:numRef>
              <c:f>('2.DL'!$C$2,'2.DL'!$H$2,'2.DL'!$M$2,'2.DL'!$R$2,'2.DL'!$W$2,'2.DL'!$AB$2,'2.DL'!$AG$2,'2.DL'!$AL$2)</c:f>
              <c:numCache>
                <c:formatCode>d\-mmm</c:formatCode>
                <c:ptCount val="8"/>
                <c:pt idx="0">
                  <c:v>44677</c:v>
                </c:pt>
                <c:pt idx="1">
                  <c:v>44679</c:v>
                </c:pt>
                <c:pt idx="2">
                  <c:v>44684</c:v>
                </c:pt>
                <c:pt idx="3">
                  <c:v>44687</c:v>
                </c:pt>
                <c:pt idx="4">
                  <c:v>44691</c:v>
                </c:pt>
                <c:pt idx="5">
                  <c:v>44694</c:v>
                </c:pt>
                <c:pt idx="6">
                  <c:v>44697</c:v>
                </c:pt>
                <c:pt idx="7">
                  <c:v>44700</c:v>
                </c:pt>
              </c:numCache>
            </c:numRef>
          </c:cat>
          <c:val>
            <c:numRef>
              <c:f>('2.DL'!$E$79,'2.DL'!$J$79,'2.DL'!$O$79,'2.DL'!$T$79,'2.DL'!$Y$79,'2.DL'!$AD$79,'2.DL'!$AI$79,'2.DL'!$AN$79)</c:f>
              <c:numCache>
                <c:formatCode>General</c:formatCode>
                <c:ptCount val="8"/>
                <c:pt idx="0">
                  <c:v>4.1899999999999995</c:v>
                </c:pt>
                <c:pt idx="1">
                  <c:v>6.169999999999999</c:v>
                </c:pt>
                <c:pt idx="2">
                  <c:v>8.8499999999999979</c:v>
                </c:pt>
                <c:pt idx="3">
                  <c:v>9.5249999999999986</c:v>
                </c:pt>
                <c:pt idx="4">
                  <c:v>9.9949999999999992</c:v>
                </c:pt>
                <c:pt idx="5">
                  <c:v>10.334999999999997</c:v>
                </c:pt>
                <c:pt idx="6">
                  <c:v>10.565</c:v>
                </c:pt>
                <c:pt idx="7">
                  <c:v>10.559999999999999</c:v>
                </c:pt>
              </c:numCache>
            </c:numRef>
          </c:val>
          <c:smooth val="0"/>
          <c:extLst>
            <c:ext xmlns:c16="http://schemas.microsoft.com/office/drawing/2014/chart" uri="{C3380CC4-5D6E-409C-BE32-E72D297353CC}">
              <c16:uniqueId val="{00000000-40DD-48AE-88F0-BC1F08CDAC43}"/>
            </c:ext>
          </c:extLst>
        </c:ser>
        <c:ser>
          <c:idx val="1"/>
          <c:order val="1"/>
          <c:tx>
            <c:v>low N; high P</c:v>
          </c:tx>
          <c:spPr>
            <a:ln w="28575" cap="rnd">
              <a:solidFill>
                <a:schemeClr val="accent2"/>
              </a:solidFill>
              <a:round/>
            </a:ln>
            <a:effectLst/>
          </c:spPr>
          <c:marker>
            <c:symbol val="none"/>
          </c:marker>
          <c:val>
            <c:numRef>
              <c:f>('2.DL'!$E$83,'2.DL'!$J$83,'2.DL'!$O$83,'2.DL'!$T$83,'2.DL'!$Y$83,'2.DL'!$AD$83,'2.DL'!$AI$83,'2.DL'!$AN$83)</c:f>
              <c:numCache>
                <c:formatCode>General</c:formatCode>
                <c:ptCount val="8"/>
                <c:pt idx="0">
                  <c:v>4.0599999999999996</c:v>
                </c:pt>
                <c:pt idx="1">
                  <c:v>5.9649999999999999</c:v>
                </c:pt>
                <c:pt idx="2">
                  <c:v>8.6950000000000003</c:v>
                </c:pt>
                <c:pt idx="3">
                  <c:v>9.2099999999999991</c:v>
                </c:pt>
                <c:pt idx="4">
                  <c:v>9.66</c:v>
                </c:pt>
                <c:pt idx="5">
                  <c:v>9.8200000000000021</c:v>
                </c:pt>
                <c:pt idx="6">
                  <c:v>9.89</c:v>
                </c:pt>
                <c:pt idx="7">
                  <c:v>9.9500000000000011</c:v>
                </c:pt>
              </c:numCache>
            </c:numRef>
          </c:val>
          <c:smooth val="0"/>
          <c:extLst>
            <c:ext xmlns:c16="http://schemas.microsoft.com/office/drawing/2014/chart" uri="{C3380CC4-5D6E-409C-BE32-E72D297353CC}">
              <c16:uniqueId val="{00000001-40DD-48AE-88F0-BC1F08CDAC43}"/>
            </c:ext>
          </c:extLst>
        </c:ser>
        <c:ser>
          <c:idx val="2"/>
          <c:order val="2"/>
          <c:tx>
            <c:v>med. N; low P</c:v>
          </c:tx>
          <c:spPr>
            <a:ln w="28575" cap="rnd">
              <a:solidFill>
                <a:schemeClr val="accent3"/>
              </a:solidFill>
              <a:round/>
            </a:ln>
            <a:effectLst/>
          </c:spPr>
          <c:marker>
            <c:symbol val="none"/>
          </c:marker>
          <c:val>
            <c:numRef>
              <c:f>('2.DL'!$E$87,'2.DL'!$J$87,'2.DL'!$O$87,'2.DL'!$T$87,'2.DL'!$Y$87,'2.DL'!$AD$87,'2.DL'!$AI$87,'2.DL'!$AN$87)</c:f>
              <c:numCache>
                <c:formatCode>General</c:formatCode>
                <c:ptCount val="8"/>
                <c:pt idx="0">
                  <c:v>4.71</c:v>
                </c:pt>
                <c:pt idx="1">
                  <c:v>6.7199999999999989</c:v>
                </c:pt>
                <c:pt idx="2">
                  <c:v>11.219999999999997</c:v>
                </c:pt>
                <c:pt idx="3">
                  <c:v>12.920000000000002</c:v>
                </c:pt>
                <c:pt idx="4">
                  <c:v>13.570000000000002</c:v>
                </c:pt>
                <c:pt idx="5">
                  <c:v>14.044999999999998</c:v>
                </c:pt>
                <c:pt idx="6">
                  <c:v>14.14</c:v>
                </c:pt>
                <c:pt idx="7">
                  <c:v>14.244999999999999</c:v>
                </c:pt>
              </c:numCache>
            </c:numRef>
          </c:val>
          <c:smooth val="0"/>
          <c:extLst>
            <c:ext xmlns:c16="http://schemas.microsoft.com/office/drawing/2014/chart" uri="{C3380CC4-5D6E-409C-BE32-E72D297353CC}">
              <c16:uniqueId val="{00000002-40DD-48AE-88F0-BC1F08CDAC43}"/>
            </c:ext>
          </c:extLst>
        </c:ser>
        <c:ser>
          <c:idx val="3"/>
          <c:order val="3"/>
          <c:tx>
            <c:v>med. N; high P</c:v>
          </c:tx>
          <c:spPr>
            <a:ln w="28575" cap="rnd">
              <a:solidFill>
                <a:schemeClr val="accent4"/>
              </a:solidFill>
              <a:round/>
            </a:ln>
            <a:effectLst/>
          </c:spPr>
          <c:marker>
            <c:symbol val="none"/>
          </c:marker>
          <c:val>
            <c:numRef>
              <c:f>('2.DL'!$E$91,'2.DL'!$J$91,'2.DL'!$O$91,'2.DL'!$T$91,'2.DL'!$Y$91,'2.DL'!$AD$91,'2.DL'!$AI$91,'2.DL'!$AN$91)</c:f>
              <c:numCache>
                <c:formatCode>General</c:formatCode>
                <c:ptCount val="8"/>
                <c:pt idx="0">
                  <c:v>4.5400000000000009</c:v>
                </c:pt>
                <c:pt idx="1">
                  <c:v>6.6499999999999986</c:v>
                </c:pt>
                <c:pt idx="2">
                  <c:v>12.215</c:v>
                </c:pt>
                <c:pt idx="3">
                  <c:v>14.015000000000001</c:v>
                </c:pt>
                <c:pt idx="4">
                  <c:v>14.919999999999996</c:v>
                </c:pt>
                <c:pt idx="5">
                  <c:v>15.105</c:v>
                </c:pt>
                <c:pt idx="6">
                  <c:v>15.285000000000002</c:v>
                </c:pt>
                <c:pt idx="7">
                  <c:v>15.5</c:v>
                </c:pt>
              </c:numCache>
            </c:numRef>
          </c:val>
          <c:smooth val="0"/>
          <c:extLst>
            <c:ext xmlns:c16="http://schemas.microsoft.com/office/drawing/2014/chart" uri="{C3380CC4-5D6E-409C-BE32-E72D297353CC}">
              <c16:uniqueId val="{00000003-40DD-48AE-88F0-BC1F08CDAC43}"/>
            </c:ext>
          </c:extLst>
        </c:ser>
        <c:ser>
          <c:idx val="4"/>
          <c:order val="4"/>
          <c:tx>
            <c:v>high N; low P</c:v>
          </c:tx>
          <c:spPr>
            <a:ln w="28575" cap="rnd">
              <a:solidFill>
                <a:schemeClr val="accent5"/>
              </a:solidFill>
              <a:round/>
            </a:ln>
            <a:effectLst/>
          </c:spPr>
          <c:marker>
            <c:symbol val="none"/>
          </c:marker>
          <c:val>
            <c:numRef>
              <c:f>('2.DL'!$E$95,'2.DL'!$J$95,'2.DL'!$O$95,'2.DL'!$T$95,'2.DL'!$Y$95,'2.DL'!$AD$95,'2.DL'!$AI$95,'2.DL'!$AN$95)</c:f>
              <c:numCache>
                <c:formatCode>General</c:formatCode>
                <c:ptCount val="8"/>
                <c:pt idx="0">
                  <c:v>4.3849999999999998</c:v>
                </c:pt>
                <c:pt idx="1">
                  <c:v>6.214999999999999</c:v>
                </c:pt>
                <c:pt idx="2">
                  <c:v>10.63</c:v>
                </c:pt>
                <c:pt idx="3">
                  <c:v>12.62</c:v>
                </c:pt>
                <c:pt idx="4">
                  <c:v>14.470000000000002</c:v>
                </c:pt>
                <c:pt idx="5">
                  <c:v>15.020000000000001</c:v>
                </c:pt>
                <c:pt idx="6">
                  <c:v>15.135</c:v>
                </c:pt>
                <c:pt idx="7">
                  <c:v>15.24</c:v>
                </c:pt>
              </c:numCache>
            </c:numRef>
          </c:val>
          <c:smooth val="0"/>
          <c:extLst>
            <c:ext xmlns:c16="http://schemas.microsoft.com/office/drawing/2014/chart" uri="{C3380CC4-5D6E-409C-BE32-E72D297353CC}">
              <c16:uniqueId val="{00000004-40DD-48AE-88F0-BC1F08CDAC43}"/>
            </c:ext>
          </c:extLst>
        </c:ser>
        <c:ser>
          <c:idx val="5"/>
          <c:order val="5"/>
          <c:tx>
            <c:v>high N; high P</c:v>
          </c:tx>
          <c:spPr>
            <a:ln w="28575" cap="rnd">
              <a:solidFill>
                <a:schemeClr val="accent6"/>
              </a:solidFill>
              <a:round/>
            </a:ln>
            <a:effectLst/>
          </c:spPr>
          <c:marker>
            <c:symbol val="none"/>
          </c:marker>
          <c:val>
            <c:numRef>
              <c:f>('2.DL'!$E$99,'2.DL'!$J$99,'2.DL'!$O$99,'2.DL'!$T$99,'2.DL'!$Y$99,'2.DL'!$AD$99,'2.DL'!$AI$99,'2.DL'!$AN$99)</c:f>
              <c:numCache>
                <c:formatCode>General</c:formatCode>
                <c:ptCount val="8"/>
                <c:pt idx="0">
                  <c:v>4.6949999999999994</c:v>
                </c:pt>
                <c:pt idx="1">
                  <c:v>6.65</c:v>
                </c:pt>
                <c:pt idx="2">
                  <c:v>13.275</c:v>
                </c:pt>
                <c:pt idx="3">
                  <c:v>17.254999999999999</c:v>
                </c:pt>
                <c:pt idx="4">
                  <c:v>19.334999999999997</c:v>
                </c:pt>
                <c:pt idx="5">
                  <c:v>20.279999999999998</c:v>
                </c:pt>
                <c:pt idx="6">
                  <c:v>20.16</c:v>
                </c:pt>
                <c:pt idx="7">
                  <c:v>20.404999999999998</c:v>
                </c:pt>
              </c:numCache>
            </c:numRef>
          </c:val>
          <c:smooth val="0"/>
          <c:extLst>
            <c:ext xmlns:c16="http://schemas.microsoft.com/office/drawing/2014/chart" uri="{C3380CC4-5D6E-409C-BE32-E72D297353CC}">
              <c16:uniqueId val="{00000005-40DD-48AE-88F0-BC1F08CDAC43}"/>
            </c:ext>
          </c:extLst>
        </c:ser>
        <c:dLbls>
          <c:showLegendKey val="0"/>
          <c:showVal val="0"/>
          <c:showCatName val="0"/>
          <c:showSerName val="0"/>
          <c:showPercent val="0"/>
          <c:showBubbleSize val="0"/>
        </c:dLbls>
        <c:smooth val="0"/>
        <c:axId val="317891775"/>
        <c:axId val="277005583"/>
      </c:lineChart>
      <c:dateAx>
        <c:axId val="31789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Datum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d/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77005583"/>
        <c:crosses val="autoZero"/>
        <c:auto val="1"/>
        <c:lblOffset val="100"/>
        <c:baseTimeUnit val="days"/>
        <c:majorUnit val="3"/>
        <c:majorTimeUnit val="days"/>
      </c:dateAx>
      <c:valAx>
        <c:axId val="27700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Pflanzenhöhe</a:t>
                </a:r>
                <a:r>
                  <a:rPr lang="de-DE" baseline="0"/>
                  <a:t> in cm</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1789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447675</xdr:colOff>
      <xdr:row>0</xdr:row>
      <xdr:rowOff>123825</xdr:rowOff>
    </xdr:from>
    <xdr:to>
      <xdr:col>7</xdr:col>
      <xdr:colOff>333375</xdr:colOff>
      <xdr:row>15</xdr:row>
      <xdr:rowOff>9525</xdr:rowOff>
    </xdr:to>
    <xdr:graphicFrame macro="">
      <xdr:nvGraphicFramePr>
        <xdr:cNvPr id="2" name="Diagramm 1">
          <a:extLst>
            <a:ext uri="{FF2B5EF4-FFF2-40B4-BE49-F238E27FC236}">
              <a16:creationId xmlns:a16="http://schemas.microsoft.com/office/drawing/2014/main" id="{CD9C1417-8CE1-495E-8435-99908D4D8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514350</xdr:colOff>
      <xdr:row>0</xdr:row>
      <xdr:rowOff>123825</xdr:rowOff>
    </xdr:from>
    <xdr:to>
      <xdr:col>14</xdr:col>
      <xdr:colOff>409575</xdr:colOff>
      <xdr:row>15</xdr:row>
      <xdr:rowOff>9525</xdr:rowOff>
    </xdr:to>
    <xdr:graphicFrame macro="">
      <xdr:nvGraphicFramePr>
        <xdr:cNvPr id="3" name="Diagramm 2">
          <a:extLst>
            <a:ext uri="{FF2B5EF4-FFF2-40B4-BE49-F238E27FC236}">
              <a16:creationId xmlns:a16="http://schemas.microsoft.com/office/drawing/2014/main" id="{D5F489D9-516F-440B-89BA-77ABAC55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647700</xdr:colOff>
      <xdr:row>15</xdr:row>
      <xdr:rowOff>152400</xdr:rowOff>
    </xdr:from>
    <xdr:to>
      <xdr:col>12</xdr:col>
      <xdr:colOff>647700</xdr:colOff>
      <xdr:row>30</xdr:row>
      <xdr:rowOff>38100</xdr:rowOff>
    </xdr:to>
    <xdr:graphicFrame macro="">
      <xdr:nvGraphicFramePr>
        <xdr:cNvPr id="4" name="Diagramm 3">
          <a:extLst>
            <a:ext uri="{FF2B5EF4-FFF2-40B4-BE49-F238E27FC236}">
              <a16:creationId xmlns:a16="http://schemas.microsoft.com/office/drawing/2014/main" id="{04C777BB-802C-4B95-86B9-D3DD834F5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438150</xdr:colOff>
      <xdr:row>15</xdr:row>
      <xdr:rowOff>123825</xdr:rowOff>
    </xdr:from>
    <xdr:to>
      <xdr:col>6</xdr:col>
      <xdr:colOff>438150</xdr:colOff>
      <xdr:row>30</xdr:row>
      <xdr:rowOff>9525</xdr:rowOff>
    </xdr:to>
    <xdr:graphicFrame macro="">
      <xdr:nvGraphicFramePr>
        <xdr:cNvPr id="5" name="Diagramm 4">
          <a:extLst>
            <a:ext uri="{FF2B5EF4-FFF2-40B4-BE49-F238E27FC236}">
              <a16:creationId xmlns:a16="http://schemas.microsoft.com/office/drawing/2014/main" id="{8D46EF31-FB43-4602-AD97-FA3548D92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1</xdr:row>
      <xdr:rowOff>180975</xdr:rowOff>
    </xdr:from>
    <xdr:to>
      <xdr:col>6</xdr:col>
      <xdr:colOff>704850</xdr:colOff>
      <xdr:row>16</xdr:row>
      <xdr:rowOff>66675</xdr:rowOff>
    </xdr:to>
    <xdr:graphicFrame macro="">
      <xdr:nvGraphicFramePr>
        <xdr:cNvPr id="2" name="Diagramm 1">
          <a:extLst>
            <a:ext uri="{FF2B5EF4-FFF2-40B4-BE49-F238E27FC236}">
              <a16:creationId xmlns:a16="http://schemas.microsoft.com/office/drawing/2014/main" id="{8A4ADC70-6539-4AE5-8DEC-8413C8282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104775</xdr:colOff>
      <xdr:row>1</xdr:row>
      <xdr:rowOff>161925</xdr:rowOff>
    </xdr:from>
    <xdr:to>
      <xdr:col>13</xdr:col>
      <xdr:colOff>466725</xdr:colOff>
      <xdr:row>16</xdr:row>
      <xdr:rowOff>47625</xdr:rowOff>
    </xdr:to>
    <xdr:graphicFrame macro="">
      <xdr:nvGraphicFramePr>
        <xdr:cNvPr id="3" name="Diagramm 2">
          <a:extLst>
            <a:ext uri="{FF2B5EF4-FFF2-40B4-BE49-F238E27FC236}">
              <a16:creationId xmlns:a16="http://schemas.microsoft.com/office/drawing/2014/main" id="{EDFA1474-5528-4C9C-A809-3E7EC5AD2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5097-3AE7-47C6-AA1D-F06C97C0EBB6}">
  <dimension ref="A2:A3"/>
  <sheetViews>
    <sheetView tabSelected="1" workbookViewId="0">
      <selection activeCell="A3" sqref="A3"/>
    </sheetView>
  </sheetViews>
  <sheetFormatPr baseColWidth="10" defaultRowHeight="15" x14ac:dyDescent="0.25"/>
  <sheetData>
    <row r="2" spans="1:1" x14ac:dyDescent="0.25">
      <c r="A2" t="s">
        <v>36</v>
      </c>
    </row>
    <row r="3" spans="1:1" x14ac:dyDescent="0.25">
      <c r="A3" t="s">
        <v>37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F11F-62A0-4983-A19C-A46140A6AAFC}">
  <dimension ref="A1:AU206"/>
  <sheetViews>
    <sheetView workbookViewId="0">
      <selection activeCell="F113" sqref="F113"/>
    </sheetView>
  </sheetViews>
  <sheetFormatPr baseColWidth="10" defaultRowHeight="15" x14ac:dyDescent="0.25"/>
  <cols>
    <col min="1" max="1" width="10.140625" customWidth="1"/>
    <col min="2" max="2" width="5.7109375" customWidth="1"/>
    <col min="3" max="47" width="6.7109375" customWidth="1"/>
  </cols>
  <sheetData>
    <row r="1" spans="1:47" ht="15.75" thickBot="1" x14ac:dyDescent="0.3">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row>
    <row r="2" spans="1:47" x14ac:dyDescent="0.25">
      <c r="A2" s="48"/>
      <c r="B2" s="47"/>
      <c r="C2" s="72">
        <v>44649</v>
      </c>
      <c r="D2" s="73"/>
      <c r="E2" s="73"/>
      <c r="F2" s="73"/>
      <c r="G2" s="74"/>
      <c r="H2" s="75">
        <v>44652</v>
      </c>
      <c r="I2" s="73"/>
      <c r="J2" s="73"/>
      <c r="K2" s="73"/>
      <c r="L2" s="76"/>
      <c r="M2" s="72">
        <v>44656</v>
      </c>
      <c r="N2" s="73"/>
      <c r="O2" s="73"/>
      <c r="P2" s="73"/>
      <c r="Q2" s="74"/>
      <c r="R2" s="75">
        <v>44659</v>
      </c>
      <c r="S2" s="73"/>
      <c r="T2" s="73"/>
      <c r="U2" s="73"/>
      <c r="V2" s="76"/>
      <c r="W2" s="72">
        <v>44662</v>
      </c>
      <c r="X2" s="73"/>
      <c r="Y2" s="73"/>
      <c r="Z2" s="73"/>
      <c r="AA2" s="74"/>
      <c r="AB2" s="75">
        <v>44665</v>
      </c>
      <c r="AC2" s="73"/>
      <c r="AD2" s="73"/>
      <c r="AE2" s="73"/>
      <c r="AF2" s="76"/>
      <c r="AG2" s="72">
        <v>44670</v>
      </c>
      <c r="AH2" s="73"/>
      <c r="AI2" s="73"/>
      <c r="AJ2" s="73"/>
      <c r="AK2" s="74"/>
      <c r="AL2" s="75">
        <v>44673</v>
      </c>
      <c r="AM2" s="73"/>
      <c r="AN2" s="73"/>
      <c r="AO2" s="73"/>
      <c r="AP2" s="76"/>
      <c r="AQ2" s="72">
        <v>44676</v>
      </c>
      <c r="AR2" s="73"/>
      <c r="AS2" s="73"/>
      <c r="AT2" s="73"/>
      <c r="AU2" s="74"/>
    </row>
    <row r="3" spans="1:47" ht="15.75" thickBot="1" x14ac:dyDescent="0.3">
      <c r="A3" s="56" t="s">
        <v>22</v>
      </c>
      <c r="B3" s="55" t="s">
        <v>23</v>
      </c>
      <c r="C3" s="56">
        <v>1</v>
      </c>
      <c r="D3" s="61">
        <v>2</v>
      </c>
      <c r="E3" s="61">
        <v>3</v>
      </c>
      <c r="F3" s="61">
        <v>4</v>
      </c>
      <c r="G3" s="60">
        <v>5</v>
      </c>
      <c r="H3" s="62">
        <v>1</v>
      </c>
      <c r="I3" s="61">
        <v>2</v>
      </c>
      <c r="J3" s="61">
        <v>3</v>
      </c>
      <c r="K3" s="61">
        <v>4</v>
      </c>
      <c r="L3" s="55">
        <v>5</v>
      </c>
      <c r="M3" s="56">
        <v>1</v>
      </c>
      <c r="N3" s="61">
        <v>2</v>
      </c>
      <c r="O3" s="61">
        <v>3</v>
      </c>
      <c r="P3" s="61">
        <v>4</v>
      </c>
      <c r="Q3" s="60">
        <v>5</v>
      </c>
      <c r="R3" s="62">
        <v>1</v>
      </c>
      <c r="S3" s="61">
        <v>2</v>
      </c>
      <c r="T3" s="61">
        <v>3</v>
      </c>
      <c r="U3" s="61">
        <v>4</v>
      </c>
      <c r="V3" s="55">
        <v>5</v>
      </c>
      <c r="W3" s="56">
        <v>1</v>
      </c>
      <c r="X3" s="61">
        <v>2</v>
      </c>
      <c r="Y3" s="61">
        <v>3</v>
      </c>
      <c r="Z3" s="61">
        <v>4</v>
      </c>
      <c r="AA3" s="60">
        <v>5</v>
      </c>
      <c r="AB3" s="62">
        <v>1</v>
      </c>
      <c r="AC3" s="61">
        <v>2</v>
      </c>
      <c r="AD3" s="61">
        <v>3</v>
      </c>
      <c r="AE3" s="61">
        <v>4</v>
      </c>
      <c r="AF3" s="55">
        <v>5</v>
      </c>
      <c r="AG3" s="56">
        <v>1</v>
      </c>
      <c r="AH3" s="61">
        <v>2</v>
      </c>
      <c r="AI3" s="61">
        <v>3</v>
      </c>
      <c r="AJ3" s="61">
        <v>4</v>
      </c>
      <c r="AK3" s="60">
        <v>5</v>
      </c>
      <c r="AL3" s="62">
        <v>1</v>
      </c>
      <c r="AM3" s="61">
        <v>2</v>
      </c>
      <c r="AN3" s="61">
        <v>3</v>
      </c>
      <c r="AO3" s="61">
        <v>4</v>
      </c>
      <c r="AP3" s="55">
        <v>5</v>
      </c>
      <c r="AQ3" s="56">
        <v>1</v>
      </c>
      <c r="AR3" s="61">
        <v>2</v>
      </c>
      <c r="AS3" s="61">
        <v>3</v>
      </c>
      <c r="AT3" s="61">
        <v>4</v>
      </c>
      <c r="AU3" s="60">
        <v>5</v>
      </c>
    </row>
    <row r="4" spans="1:47" x14ac:dyDescent="0.25">
      <c r="A4" s="48" t="s">
        <v>24</v>
      </c>
      <c r="B4" s="47">
        <v>1</v>
      </c>
      <c r="C4" s="44">
        <v>4.5</v>
      </c>
      <c r="D4" s="43">
        <v>4.7</v>
      </c>
      <c r="E4" s="43">
        <v>4.0999999999999996</v>
      </c>
      <c r="F4" s="43">
        <v>4.3</v>
      </c>
      <c r="G4" s="42">
        <v>4.9000000000000004</v>
      </c>
      <c r="H4" s="46">
        <v>5.9</v>
      </c>
      <c r="I4" s="43">
        <v>5.8</v>
      </c>
      <c r="J4" s="43">
        <v>6.6</v>
      </c>
      <c r="K4" s="43">
        <v>6.9</v>
      </c>
      <c r="L4" s="45">
        <v>6.9</v>
      </c>
      <c r="M4" s="44">
        <v>15.8</v>
      </c>
      <c r="N4" s="43">
        <v>10.1</v>
      </c>
      <c r="O4" s="43">
        <v>11.1</v>
      </c>
      <c r="P4" s="43">
        <v>11.9</v>
      </c>
      <c r="Q4" s="42">
        <v>11.8</v>
      </c>
      <c r="R4" s="46">
        <v>15</v>
      </c>
      <c r="S4" s="43">
        <v>13.7</v>
      </c>
      <c r="T4" s="43">
        <v>14.2</v>
      </c>
      <c r="U4" s="43">
        <v>15.1</v>
      </c>
      <c r="V4" s="45">
        <v>15</v>
      </c>
      <c r="W4" s="44">
        <v>15.8</v>
      </c>
      <c r="X4" s="43">
        <v>16.5</v>
      </c>
      <c r="Y4" s="43">
        <v>15.7</v>
      </c>
      <c r="Z4" s="43">
        <v>16</v>
      </c>
      <c r="AA4" s="42">
        <v>18</v>
      </c>
      <c r="AB4" s="46">
        <v>17</v>
      </c>
      <c r="AC4" s="43">
        <v>16.899999999999999</v>
      </c>
      <c r="AD4" s="43">
        <v>15.9</v>
      </c>
      <c r="AE4" s="43">
        <v>16.3</v>
      </c>
      <c r="AF4" s="45">
        <v>18.2</v>
      </c>
      <c r="AG4" s="44">
        <v>17</v>
      </c>
      <c r="AH4" s="43">
        <v>16.5</v>
      </c>
      <c r="AI4" s="43">
        <v>16.5</v>
      </c>
      <c r="AJ4" s="43">
        <v>16.8</v>
      </c>
      <c r="AK4" s="42">
        <v>18.8</v>
      </c>
      <c r="AL4" s="46">
        <v>16</v>
      </c>
      <c r="AM4" s="43">
        <v>17</v>
      </c>
      <c r="AN4" s="43">
        <v>16.100000000000001</v>
      </c>
      <c r="AO4" s="43">
        <v>17.5</v>
      </c>
      <c r="AP4" s="45">
        <v>17.899999999999999</v>
      </c>
      <c r="AQ4" s="44">
        <v>17</v>
      </c>
      <c r="AR4" s="43">
        <v>17</v>
      </c>
      <c r="AS4" s="43">
        <v>16.5</v>
      </c>
      <c r="AT4" s="43">
        <v>18</v>
      </c>
      <c r="AU4" s="42">
        <v>18</v>
      </c>
    </row>
    <row r="5" spans="1:47" x14ac:dyDescent="0.25">
      <c r="A5" s="34"/>
      <c r="B5" s="33">
        <v>2</v>
      </c>
      <c r="C5" s="30">
        <v>5.4</v>
      </c>
      <c r="D5" s="29">
        <v>4.9000000000000004</v>
      </c>
      <c r="E5" s="29">
        <v>5.3</v>
      </c>
      <c r="F5" s="29">
        <v>5.2</v>
      </c>
      <c r="G5" s="28">
        <v>4.9000000000000004</v>
      </c>
      <c r="H5" s="32">
        <v>8.1999999999999993</v>
      </c>
      <c r="I5" s="29">
        <v>7.1</v>
      </c>
      <c r="J5" s="29">
        <v>8.1999999999999993</v>
      </c>
      <c r="K5" s="29">
        <v>7.1</v>
      </c>
      <c r="L5" s="31">
        <v>7.1</v>
      </c>
      <c r="M5" s="30">
        <v>13.2</v>
      </c>
      <c r="N5" s="29">
        <v>12.2</v>
      </c>
      <c r="O5" s="29">
        <v>12.2</v>
      </c>
      <c r="P5" s="29">
        <v>11.6</v>
      </c>
      <c r="Q5" s="28">
        <v>11.2</v>
      </c>
      <c r="R5" s="32">
        <v>16.5</v>
      </c>
      <c r="S5" s="29">
        <v>14.8</v>
      </c>
      <c r="T5" s="29">
        <v>16</v>
      </c>
      <c r="U5" s="29">
        <v>15.8</v>
      </c>
      <c r="V5" s="31">
        <v>13.7</v>
      </c>
      <c r="W5" s="30">
        <v>18.8</v>
      </c>
      <c r="X5" s="29">
        <v>16.600000000000001</v>
      </c>
      <c r="Y5" s="29">
        <v>18</v>
      </c>
      <c r="Z5" s="29">
        <v>17.8</v>
      </c>
      <c r="AA5" s="28">
        <v>15.5</v>
      </c>
      <c r="AB5" s="32">
        <v>18</v>
      </c>
      <c r="AC5" s="29">
        <v>16.899999999999999</v>
      </c>
      <c r="AD5" s="29">
        <v>18.3</v>
      </c>
      <c r="AE5" s="29">
        <v>18.2</v>
      </c>
      <c r="AF5" s="31">
        <v>15.6</v>
      </c>
      <c r="AG5" s="30">
        <v>18.5</v>
      </c>
      <c r="AH5" s="29">
        <v>17</v>
      </c>
      <c r="AI5" s="29">
        <v>18.7</v>
      </c>
      <c r="AJ5" s="29">
        <v>17.5</v>
      </c>
      <c r="AK5" s="28">
        <v>16</v>
      </c>
      <c r="AL5" s="32">
        <v>18.100000000000001</v>
      </c>
      <c r="AM5" s="29">
        <v>16.8</v>
      </c>
      <c r="AN5" s="29">
        <v>18.899999999999999</v>
      </c>
      <c r="AO5" s="29">
        <v>19.5</v>
      </c>
      <c r="AP5" s="31">
        <v>18.5</v>
      </c>
      <c r="AQ5" s="30">
        <v>18.5</v>
      </c>
      <c r="AR5" s="29">
        <v>16.2</v>
      </c>
      <c r="AS5" s="29">
        <v>18.899999999999999</v>
      </c>
      <c r="AT5" s="29">
        <v>19.5</v>
      </c>
      <c r="AU5" s="28">
        <v>18.100000000000001</v>
      </c>
    </row>
    <row r="6" spans="1:47" x14ac:dyDescent="0.25">
      <c r="A6" s="34"/>
      <c r="B6" s="33">
        <v>3</v>
      </c>
      <c r="C6" s="30">
        <v>4.0999999999999996</v>
      </c>
      <c r="D6" s="29">
        <v>5.4</v>
      </c>
      <c r="E6" s="29">
        <v>5.3</v>
      </c>
      <c r="F6" s="29">
        <v>3.5</v>
      </c>
      <c r="G6" s="28">
        <v>4.9000000000000004</v>
      </c>
      <c r="H6" s="32">
        <v>7.1</v>
      </c>
      <c r="I6" s="29">
        <v>8.5</v>
      </c>
      <c r="J6" s="29">
        <v>7.9</v>
      </c>
      <c r="K6" s="29">
        <v>5.4</v>
      </c>
      <c r="L6" s="31">
        <v>8.1</v>
      </c>
      <c r="M6" s="30">
        <v>12.2</v>
      </c>
      <c r="N6" s="29">
        <v>13.2</v>
      </c>
      <c r="O6" s="29">
        <v>13</v>
      </c>
      <c r="P6" s="29">
        <v>9.8000000000000007</v>
      </c>
      <c r="Q6" s="28">
        <v>13.1</v>
      </c>
      <c r="R6" s="32">
        <v>15.1</v>
      </c>
      <c r="S6" s="29">
        <v>15</v>
      </c>
      <c r="T6" s="29">
        <v>15.6</v>
      </c>
      <c r="U6" s="29">
        <v>14</v>
      </c>
      <c r="V6" s="31">
        <v>17</v>
      </c>
      <c r="W6" s="30">
        <v>16.399999999999999</v>
      </c>
      <c r="X6" s="29">
        <v>16</v>
      </c>
      <c r="Y6" s="29">
        <v>18.100000000000001</v>
      </c>
      <c r="Z6" s="29">
        <v>14.2</v>
      </c>
      <c r="AA6" s="28">
        <v>18.2</v>
      </c>
      <c r="AB6" s="32">
        <v>15.1</v>
      </c>
      <c r="AC6" s="29">
        <v>17</v>
      </c>
      <c r="AD6" s="29">
        <v>18.600000000000001</v>
      </c>
      <c r="AE6" s="29">
        <v>15.1</v>
      </c>
      <c r="AF6" s="31">
        <v>18.899999999999999</v>
      </c>
      <c r="AG6" s="30">
        <v>16.899999999999999</v>
      </c>
      <c r="AH6" s="29">
        <v>17.5</v>
      </c>
      <c r="AI6" s="29">
        <v>19.399999999999999</v>
      </c>
      <c r="AJ6" s="29">
        <v>15.5</v>
      </c>
      <c r="AK6" s="28">
        <v>19</v>
      </c>
      <c r="AL6" s="32">
        <v>15.9</v>
      </c>
      <c r="AM6" s="29">
        <v>17</v>
      </c>
      <c r="AN6" s="29">
        <v>19.5</v>
      </c>
      <c r="AO6" s="29">
        <v>15.9</v>
      </c>
      <c r="AP6" s="31">
        <v>17.5</v>
      </c>
      <c r="AQ6" s="30">
        <v>16</v>
      </c>
      <c r="AR6" s="29">
        <v>17.100000000000001</v>
      </c>
      <c r="AS6" s="29">
        <v>17.899999999999999</v>
      </c>
      <c r="AT6" s="29">
        <v>16.5</v>
      </c>
      <c r="AU6" s="28">
        <v>18.100000000000001</v>
      </c>
    </row>
    <row r="7" spans="1:47" ht="15.75" thickBot="1" x14ac:dyDescent="0.3">
      <c r="A7" s="27"/>
      <c r="B7" s="26">
        <v>4</v>
      </c>
      <c r="C7" s="22">
        <v>5</v>
      </c>
      <c r="D7" s="21">
        <v>3.9</v>
      </c>
      <c r="E7" s="21">
        <v>3.6</v>
      </c>
      <c r="F7" s="21">
        <v>5.4</v>
      </c>
      <c r="G7" s="20">
        <v>4.0999999999999996</v>
      </c>
      <c r="H7" s="24">
        <v>7.3</v>
      </c>
      <c r="I7" s="21">
        <v>6.1</v>
      </c>
      <c r="J7" s="21">
        <v>6.1</v>
      </c>
      <c r="K7" s="21">
        <v>7.9</v>
      </c>
      <c r="L7" s="23">
        <v>7.2</v>
      </c>
      <c r="M7" s="22">
        <v>12.2</v>
      </c>
      <c r="N7" s="21">
        <v>10.1</v>
      </c>
      <c r="O7" s="21">
        <v>10.6</v>
      </c>
      <c r="P7" s="21">
        <v>12.3</v>
      </c>
      <c r="Q7" s="20">
        <v>12.2</v>
      </c>
      <c r="R7" s="24">
        <v>14.1</v>
      </c>
      <c r="S7" s="21">
        <v>12.6</v>
      </c>
      <c r="T7" s="21">
        <v>12.5</v>
      </c>
      <c r="U7" s="21">
        <v>14.2</v>
      </c>
      <c r="V7" s="23">
        <v>15.5</v>
      </c>
      <c r="W7" s="22">
        <v>15.9</v>
      </c>
      <c r="X7" s="21">
        <v>15</v>
      </c>
      <c r="Y7" s="21">
        <v>14.7</v>
      </c>
      <c r="Z7" s="21">
        <v>18</v>
      </c>
      <c r="AA7" s="20">
        <v>16</v>
      </c>
      <c r="AB7" s="24">
        <v>15.9</v>
      </c>
      <c r="AC7" s="21">
        <v>15.5</v>
      </c>
      <c r="AD7" s="21">
        <v>16.100000000000001</v>
      </c>
      <c r="AE7" s="21">
        <v>19.399999999999999</v>
      </c>
      <c r="AF7" s="23">
        <v>16.5</v>
      </c>
      <c r="AG7" s="22">
        <v>14.4</v>
      </c>
      <c r="AH7" s="21">
        <v>15.5</v>
      </c>
      <c r="AI7" s="21">
        <v>17</v>
      </c>
      <c r="AJ7" s="21">
        <v>19.5</v>
      </c>
      <c r="AK7" s="20">
        <v>16.5</v>
      </c>
      <c r="AL7" s="24">
        <v>16.2</v>
      </c>
      <c r="AM7" s="21">
        <v>15.5</v>
      </c>
      <c r="AN7" s="21">
        <v>17.100000000000001</v>
      </c>
      <c r="AO7" s="21">
        <v>20.5</v>
      </c>
      <c r="AP7" s="23">
        <v>16.600000000000001</v>
      </c>
      <c r="AQ7" s="22">
        <v>16.5</v>
      </c>
      <c r="AR7" s="21">
        <v>15</v>
      </c>
      <c r="AS7" s="21">
        <v>17.600000000000001</v>
      </c>
      <c r="AT7" s="21">
        <v>19.5</v>
      </c>
      <c r="AU7" s="20">
        <v>16.5</v>
      </c>
    </row>
    <row r="8" spans="1:47" x14ac:dyDescent="0.25">
      <c r="A8" s="41" t="s">
        <v>25</v>
      </c>
      <c r="B8" s="40">
        <v>1</v>
      </c>
      <c r="C8" s="37">
        <v>4.0999999999999996</v>
      </c>
      <c r="D8" s="36">
        <v>4.5999999999999996</v>
      </c>
      <c r="E8" s="36">
        <v>4.5</v>
      </c>
      <c r="F8" s="36">
        <v>3.3</v>
      </c>
      <c r="G8" s="35">
        <v>4</v>
      </c>
      <c r="H8" s="39">
        <v>6.3</v>
      </c>
      <c r="I8" s="36">
        <v>7</v>
      </c>
      <c r="J8" s="36">
        <v>6.4</v>
      </c>
      <c r="K8" s="36">
        <v>5.4</v>
      </c>
      <c r="L8" s="38">
        <v>6.3</v>
      </c>
      <c r="M8" s="37">
        <v>10.4</v>
      </c>
      <c r="N8" s="36">
        <v>11.7</v>
      </c>
      <c r="O8" s="36">
        <v>10.4</v>
      </c>
      <c r="P8" s="36">
        <v>10.4</v>
      </c>
      <c r="Q8" s="35">
        <v>10.9</v>
      </c>
      <c r="R8" s="39">
        <v>12.7</v>
      </c>
      <c r="S8" s="36">
        <v>13.8</v>
      </c>
      <c r="T8" s="36">
        <v>13.2</v>
      </c>
      <c r="U8" s="36">
        <v>12.6</v>
      </c>
      <c r="V8" s="38">
        <v>13</v>
      </c>
      <c r="W8" s="37">
        <v>15.5</v>
      </c>
      <c r="X8" s="36">
        <v>15.1</v>
      </c>
      <c r="Y8" s="36">
        <v>16.3</v>
      </c>
      <c r="Z8" s="36">
        <v>14.5</v>
      </c>
      <c r="AA8" s="35">
        <v>15.9</v>
      </c>
      <c r="AB8" s="39">
        <v>16.600000000000001</v>
      </c>
      <c r="AC8" s="36">
        <v>16</v>
      </c>
      <c r="AD8" s="36">
        <v>16.5</v>
      </c>
      <c r="AE8" s="36">
        <v>16.899999999999999</v>
      </c>
      <c r="AF8" s="38">
        <v>17</v>
      </c>
      <c r="AG8" s="37">
        <v>15.1</v>
      </c>
      <c r="AH8" s="36">
        <v>16.5</v>
      </c>
      <c r="AI8" s="36">
        <v>16.899999999999999</v>
      </c>
      <c r="AJ8" s="36">
        <v>17</v>
      </c>
      <c r="AK8" s="35">
        <v>17.100000000000001</v>
      </c>
      <c r="AL8" s="39">
        <v>15.2</v>
      </c>
      <c r="AM8" s="36">
        <v>17.100000000000001</v>
      </c>
      <c r="AN8" s="36">
        <v>15</v>
      </c>
      <c r="AO8" s="36">
        <v>17.399999999999999</v>
      </c>
      <c r="AP8" s="38">
        <v>16.899999999999999</v>
      </c>
      <c r="AQ8" s="37">
        <v>15.3</v>
      </c>
      <c r="AR8" s="36">
        <v>16.3</v>
      </c>
      <c r="AS8" s="36">
        <v>16.600000000000001</v>
      </c>
      <c r="AT8" s="36">
        <v>17.100000000000001</v>
      </c>
      <c r="AU8" s="35">
        <v>17</v>
      </c>
    </row>
    <row r="9" spans="1:47" x14ac:dyDescent="0.25">
      <c r="A9" s="34"/>
      <c r="B9" s="33">
        <v>2</v>
      </c>
      <c r="C9" s="30">
        <v>5.3</v>
      </c>
      <c r="D9" s="29">
        <v>4.5999999999999996</v>
      </c>
      <c r="E9" s="29">
        <v>3</v>
      </c>
      <c r="F9" s="29">
        <v>3.7</v>
      </c>
      <c r="G9" s="28">
        <v>4</v>
      </c>
      <c r="H9" s="32">
        <v>6.9</v>
      </c>
      <c r="I9" s="29">
        <v>7</v>
      </c>
      <c r="J9" s="29">
        <v>5.2</v>
      </c>
      <c r="K9" s="29">
        <v>6.5</v>
      </c>
      <c r="L9" s="31">
        <v>7.6</v>
      </c>
      <c r="M9" s="30">
        <v>12.6</v>
      </c>
      <c r="N9" s="29">
        <v>11.4</v>
      </c>
      <c r="O9" s="29">
        <v>9.4</v>
      </c>
      <c r="P9" s="29">
        <v>11.3</v>
      </c>
      <c r="Q9" s="28">
        <v>13.1</v>
      </c>
      <c r="R9" s="32">
        <v>14.4</v>
      </c>
      <c r="S9" s="29">
        <v>15.1</v>
      </c>
      <c r="T9" s="29">
        <v>12.5</v>
      </c>
      <c r="U9" s="29">
        <v>14</v>
      </c>
      <c r="V9" s="31">
        <v>15.8</v>
      </c>
      <c r="W9" s="30">
        <v>15.8</v>
      </c>
      <c r="X9" s="29">
        <v>17</v>
      </c>
      <c r="Y9" s="29">
        <v>14</v>
      </c>
      <c r="Z9" s="29">
        <v>16.2</v>
      </c>
      <c r="AA9" s="28">
        <v>17.3</v>
      </c>
      <c r="AB9" s="32">
        <v>19.100000000000001</v>
      </c>
      <c r="AC9" s="29">
        <v>17.600000000000001</v>
      </c>
      <c r="AD9" s="29">
        <v>16.100000000000001</v>
      </c>
      <c r="AE9" s="29">
        <v>16.3</v>
      </c>
      <c r="AF9" s="31">
        <v>17.600000000000001</v>
      </c>
      <c r="AG9" s="30">
        <v>19.2</v>
      </c>
      <c r="AH9" s="29">
        <v>18.100000000000001</v>
      </c>
      <c r="AI9" s="29">
        <v>17.2</v>
      </c>
      <c r="AJ9" s="29">
        <v>16.5</v>
      </c>
      <c r="AK9" s="28">
        <v>18.100000000000001</v>
      </c>
      <c r="AL9" s="32">
        <v>19.100000000000001</v>
      </c>
      <c r="AM9" s="29">
        <v>18.600000000000001</v>
      </c>
      <c r="AN9" s="29">
        <v>18</v>
      </c>
      <c r="AO9" s="29">
        <v>16.5</v>
      </c>
      <c r="AP9" s="31">
        <v>17.600000000000001</v>
      </c>
      <c r="AQ9" s="30">
        <v>19.3</v>
      </c>
      <c r="AR9" s="29">
        <v>19.399999999999999</v>
      </c>
      <c r="AS9" s="29">
        <v>17.600000000000001</v>
      </c>
      <c r="AT9" s="29">
        <v>16.7</v>
      </c>
      <c r="AU9" s="28">
        <v>17.899999999999999</v>
      </c>
    </row>
    <row r="10" spans="1:47" x14ac:dyDescent="0.25">
      <c r="A10" s="34"/>
      <c r="B10" s="33">
        <v>3</v>
      </c>
      <c r="C10" s="30">
        <v>5.2</v>
      </c>
      <c r="D10" s="29">
        <v>4.3</v>
      </c>
      <c r="E10" s="29">
        <v>3.6</v>
      </c>
      <c r="F10" s="29">
        <v>5.6</v>
      </c>
      <c r="G10" s="28">
        <v>5</v>
      </c>
      <c r="H10" s="32">
        <v>7.1</v>
      </c>
      <c r="I10" s="29">
        <v>6.7</v>
      </c>
      <c r="J10" s="29">
        <v>6.2</v>
      </c>
      <c r="K10" s="29">
        <v>8.5</v>
      </c>
      <c r="L10" s="31">
        <v>7.6</v>
      </c>
      <c r="M10" s="30">
        <v>11.4</v>
      </c>
      <c r="N10" s="29">
        <v>11.2</v>
      </c>
      <c r="O10" s="29">
        <v>11.8</v>
      </c>
      <c r="P10" s="29">
        <v>13.2</v>
      </c>
      <c r="Q10" s="28">
        <v>12.8</v>
      </c>
      <c r="R10" s="32">
        <v>13.3</v>
      </c>
      <c r="S10" s="29">
        <v>13.5</v>
      </c>
      <c r="T10" s="29">
        <v>13</v>
      </c>
      <c r="U10" s="29">
        <v>15</v>
      </c>
      <c r="V10" s="31">
        <v>15.1</v>
      </c>
      <c r="W10" s="30">
        <v>17.100000000000001</v>
      </c>
      <c r="X10" s="29">
        <v>15.9</v>
      </c>
      <c r="Y10" s="29">
        <v>15.5</v>
      </c>
      <c r="Z10" s="29">
        <v>18</v>
      </c>
      <c r="AA10" s="28">
        <v>17</v>
      </c>
      <c r="AB10" s="32">
        <v>19.5</v>
      </c>
      <c r="AC10" s="29">
        <v>17</v>
      </c>
      <c r="AD10" s="29">
        <v>15.9</v>
      </c>
      <c r="AE10" s="29">
        <v>19</v>
      </c>
      <c r="AF10" s="31">
        <v>17.899999999999999</v>
      </c>
      <c r="AG10" s="30">
        <v>17.7</v>
      </c>
      <c r="AH10" s="29">
        <v>16.5</v>
      </c>
      <c r="AI10" s="29">
        <v>16.100000000000001</v>
      </c>
      <c r="AJ10" s="29">
        <v>19.2</v>
      </c>
      <c r="AK10" s="28">
        <v>17.899999999999999</v>
      </c>
      <c r="AL10" s="32">
        <v>16.600000000000001</v>
      </c>
      <c r="AM10" s="29">
        <v>19</v>
      </c>
      <c r="AN10" s="29">
        <v>17.899999999999999</v>
      </c>
      <c r="AO10" s="29">
        <v>17.5</v>
      </c>
      <c r="AP10" s="31">
        <v>18.8</v>
      </c>
      <c r="AQ10" s="30">
        <v>17.2</v>
      </c>
      <c r="AR10" s="29">
        <v>17.100000000000001</v>
      </c>
      <c r="AS10" s="29">
        <v>16.5</v>
      </c>
      <c r="AT10" s="29">
        <v>19.100000000000001</v>
      </c>
      <c r="AU10" s="28">
        <v>18</v>
      </c>
    </row>
    <row r="11" spans="1:47" ht="15.75" thickBot="1" x14ac:dyDescent="0.3">
      <c r="A11" s="56"/>
      <c r="B11" s="55">
        <v>4</v>
      </c>
      <c r="C11" s="51">
        <v>4</v>
      </c>
      <c r="D11" s="50">
        <v>4.4000000000000004</v>
      </c>
      <c r="E11" s="50">
        <v>3.3</v>
      </c>
      <c r="F11" s="50">
        <v>5</v>
      </c>
      <c r="G11" s="49">
        <v>5.0999999999999996</v>
      </c>
      <c r="H11" s="53">
        <v>6.2</v>
      </c>
      <c r="I11" s="50">
        <v>7.2</v>
      </c>
      <c r="J11" s="50">
        <v>6.4</v>
      </c>
      <c r="K11" s="50">
        <v>6.4</v>
      </c>
      <c r="L11" s="52">
        <v>7.8</v>
      </c>
      <c r="M11" s="51">
        <v>11.1</v>
      </c>
      <c r="N11" s="50">
        <v>11.9</v>
      </c>
      <c r="O11" s="50">
        <v>10.6</v>
      </c>
      <c r="P11" s="50">
        <v>12.2</v>
      </c>
      <c r="Q11" s="49">
        <v>13.2</v>
      </c>
      <c r="R11" s="53">
        <v>14.5</v>
      </c>
      <c r="S11" s="50">
        <v>15.4</v>
      </c>
      <c r="T11" s="50">
        <v>15.1</v>
      </c>
      <c r="U11" s="50">
        <v>15.2</v>
      </c>
      <c r="V11" s="52">
        <v>15.2</v>
      </c>
      <c r="W11" s="51">
        <v>16.100000000000001</v>
      </c>
      <c r="X11" s="50">
        <v>14.1</v>
      </c>
      <c r="Y11" s="50">
        <v>15.6</v>
      </c>
      <c r="Z11" s="50">
        <v>16.2</v>
      </c>
      <c r="AA11" s="49">
        <v>17.600000000000001</v>
      </c>
      <c r="AB11" s="53">
        <v>16.5</v>
      </c>
      <c r="AC11" s="50">
        <v>18.2</v>
      </c>
      <c r="AD11" s="50">
        <v>17.100000000000001</v>
      </c>
      <c r="AE11" s="50">
        <v>16.5</v>
      </c>
      <c r="AF11" s="52">
        <v>18.100000000000001</v>
      </c>
      <c r="AG11" s="51">
        <v>16.899999999999999</v>
      </c>
      <c r="AH11" s="50">
        <v>19</v>
      </c>
      <c r="AI11" s="50">
        <v>17.899999999999999</v>
      </c>
      <c r="AJ11" s="50">
        <v>17</v>
      </c>
      <c r="AK11" s="49">
        <v>18.5</v>
      </c>
      <c r="AL11" s="53">
        <v>18.2</v>
      </c>
      <c r="AM11" s="50">
        <v>16.100000000000001</v>
      </c>
      <c r="AN11" s="50">
        <v>18.100000000000001</v>
      </c>
      <c r="AO11" s="50">
        <v>19.5</v>
      </c>
      <c r="AP11" s="52">
        <v>20.5</v>
      </c>
      <c r="AQ11" s="51">
        <v>17.600000000000001</v>
      </c>
      <c r="AR11" s="50">
        <v>19.100000000000001</v>
      </c>
      <c r="AS11" s="50">
        <v>17.899999999999999</v>
      </c>
      <c r="AT11" s="50">
        <v>16.5</v>
      </c>
      <c r="AU11" s="49">
        <v>18.100000000000001</v>
      </c>
    </row>
    <row r="12" spans="1:47" x14ac:dyDescent="0.25">
      <c r="A12" s="48" t="s">
        <v>26</v>
      </c>
      <c r="B12" s="47">
        <v>1</v>
      </c>
      <c r="C12" s="44">
        <v>5</v>
      </c>
      <c r="D12" s="43">
        <v>4.5</v>
      </c>
      <c r="E12" s="43">
        <v>4.5999999999999996</v>
      </c>
      <c r="F12" s="43">
        <v>4.7</v>
      </c>
      <c r="G12" s="42">
        <v>4.9000000000000004</v>
      </c>
      <c r="H12" s="46">
        <v>7.5</v>
      </c>
      <c r="I12" s="43">
        <v>6.6</v>
      </c>
      <c r="J12" s="43">
        <v>6.6</v>
      </c>
      <c r="K12" s="43">
        <v>7.9</v>
      </c>
      <c r="L12" s="45">
        <v>8.3000000000000007</v>
      </c>
      <c r="M12" s="44">
        <v>12.3</v>
      </c>
      <c r="N12" s="43">
        <v>10.5</v>
      </c>
      <c r="O12" s="43">
        <v>10.5</v>
      </c>
      <c r="P12" s="43">
        <v>13.7</v>
      </c>
      <c r="Q12" s="42">
        <v>13.2</v>
      </c>
      <c r="R12" s="46">
        <v>16</v>
      </c>
      <c r="S12" s="43">
        <v>14.5</v>
      </c>
      <c r="T12" s="43">
        <v>14</v>
      </c>
      <c r="U12" s="43">
        <v>16.100000000000001</v>
      </c>
      <c r="V12" s="45">
        <v>16</v>
      </c>
      <c r="W12" s="44">
        <v>19.5</v>
      </c>
      <c r="X12" s="43">
        <v>18.600000000000001</v>
      </c>
      <c r="Y12" s="43">
        <v>17.8</v>
      </c>
      <c r="Z12" s="43">
        <v>18</v>
      </c>
      <c r="AA12" s="42">
        <v>16.600000000000001</v>
      </c>
      <c r="AB12" s="46">
        <v>20</v>
      </c>
      <c r="AC12" s="43">
        <v>19.600000000000001</v>
      </c>
      <c r="AD12" s="43">
        <v>19.100000000000001</v>
      </c>
      <c r="AE12" s="43">
        <v>18.399999999999999</v>
      </c>
      <c r="AF12" s="45">
        <v>18.5</v>
      </c>
      <c r="AG12" s="44">
        <v>21.6</v>
      </c>
      <c r="AH12" s="43">
        <v>20.399999999999999</v>
      </c>
      <c r="AI12" s="43">
        <v>20</v>
      </c>
      <c r="AJ12" s="43">
        <v>20.399999999999999</v>
      </c>
      <c r="AK12" s="42">
        <v>19.3</v>
      </c>
      <c r="AL12" s="46">
        <v>20.2</v>
      </c>
      <c r="AM12" s="43">
        <v>19.5</v>
      </c>
      <c r="AN12" s="43">
        <v>21.3</v>
      </c>
      <c r="AO12" s="43">
        <v>19.600000000000001</v>
      </c>
      <c r="AP12" s="45">
        <v>19.7</v>
      </c>
      <c r="AQ12" s="44">
        <v>20.3</v>
      </c>
      <c r="AR12" s="43">
        <v>20</v>
      </c>
      <c r="AS12" s="43">
        <v>21.6</v>
      </c>
      <c r="AT12" s="43">
        <v>19</v>
      </c>
      <c r="AU12" s="42">
        <v>20.6</v>
      </c>
    </row>
    <row r="13" spans="1:47" x14ac:dyDescent="0.25">
      <c r="A13" s="34"/>
      <c r="B13" s="33">
        <v>2</v>
      </c>
      <c r="C13" s="30">
        <v>4.4000000000000004</v>
      </c>
      <c r="D13" s="29">
        <v>3.8</v>
      </c>
      <c r="E13" s="29">
        <v>4.0999999999999996</v>
      </c>
      <c r="F13" s="29">
        <v>4.2</v>
      </c>
      <c r="G13" s="28">
        <v>4.4000000000000004</v>
      </c>
      <c r="H13" s="32">
        <v>6.2</v>
      </c>
      <c r="I13" s="29">
        <v>6.6</v>
      </c>
      <c r="J13" s="29">
        <v>7.3</v>
      </c>
      <c r="K13" s="29">
        <v>8.8000000000000007</v>
      </c>
      <c r="L13" s="31">
        <v>7.1</v>
      </c>
      <c r="M13" s="30">
        <v>12</v>
      </c>
      <c r="N13" s="29">
        <v>11.4</v>
      </c>
      <c r="O13" s="29">
        <v>11.8</v>
      </c>
      <c r="P13" s="29">
        <v>12.6</v>
      </c>
      <c r="Q13" s="28">
        <v>12.7</v>
      </c>
      <c r="R13" s="32">
        <v>16.100000000000001</v>
      </c>
      <c r="S13" s="29">
        <v>12.2</v>
      </c>
      <c r="T13" s="29">
        <v>14</v>
      </c>
      <c r="U13" s="29">
        <v>15.6</v>
      </c>
      <c r="V13" s="31">
        <v>14.5</v>
      </c>
      <c r="W13" s="30">
        <v>20.2</v>
      </c>
      <c r="X13" s="29">
        <v>18.100000000000001</v>
      </c>
      <c r="Y13" s="29">
        <v>18.600000000000001</v>
      </c>
      <c r="Z13" s="29">
        <v>18.899999999999999</v>
      </c>
      <c r="AA13" s="28">
        <v>17.899999999999999</v>
      </c>
      <c r="AB13" s="32">
        <v>20.5</v>
      </c>
      <c r="AC13" s="29">
        <v>18.8</v>
      </c>
      <c r="AD13" s="29">
        <v>19.5</v>
      </c>
      <c r="AE13" s="29">
        <v>19.5</v>
      </c>
      <c r="AF13" s="31">
        <v>18.8</v>
      </c>
      <c r="AG13" s="30">
        <v>20.5</v>
      </c>
      <c r="AH13" s="29">
        <v>19</v>
      </c>
      <c r="AI13" s="29">
        <v>19.600000000000001</v>
      </c>
      <c r="AJ13" s="29">
        <v>19.399999999999999</v>
      </c>
      <c r="AK13" s="28">
        <v>22</v>
      </c>
      <c r="AL13" s="32">
        <v>20.5</v>
      </c>
      <c r="AM13" s="29">
        <v>20</v>
      </c>
      <c r="AN13" s="29">
        <v>20.100000000000001</v>
      </c>
      <c r="AO13" s="29">
        <v>20.5</v>
      </c>
      <c r="AP13" s="31">
        <v>20</v>
      </c>
      <c r="AQ13" s="30">
        <v>20.6</v>
      </c>
      <c r="AR13" s="29">
        <v>18.600000000000001</v>
      </c>
      <c r="AS13" s="29">
        <v>20.100000000000001</v>
      </c>
      <c r="AT13" s="29">
        <v>20.9</v>
      </c>
      <c r="AU13" s="28">
        <v>20.5</v>
      </c>
    </row>
    <row r="14" spans="1:47" x14ac:dyDescent="0.25">
      <c r="A14" s="34"/>
      <c r="B14" s="33">
        <v>3</v>
      </c>
      <c r="C14" s="30">
        <v>5.2</v>
      </c>
      <c r="D14" s="29">
        <v>3.4</v>
      </c>
      <c r="E14" s="29">
        <v>4.3</v>
      </c>
      <c r="F14" s="29">
        <v>4.9000000000000004</v>
      </c>
      <c r="G14" s="28">
        <v>4.4000000000000004</v>
      </c>
      <c r="H14" s="32">
        <v>7.5</v>
      </c>
      <c r="I14" s="29">
        <v>5.9</v>
      </c>
      <c r="J14" s="29">
        <v>6.9</v>
      </c>
      <c r="K14" s="29">
        <v>7.6</v>
      </c>
      <c r="L14" s="31">
        <v>7.8</v>
      </c>
      <c r="M14" s="30">
        <v>12.5</v>
      </c>
      <c r="N14" s="29">
        <v>10.8</v>
      </c>
      <c r="O14" s="29">
        <v>11.8</v>
      </c>
      <c r="P14" s="29">
        <v>12.2</v>
      </c>
      <c r="Q14" s="28">
        <v>13</v>
      </c>
      <c r="R14" s="32">
        <v>16</v>
      </c>
      <c r="S14" s="29">
        <v>13</v>
      </c>
      <c r="T14" s="29">
        <v>14.5</v>
      </c>
      <c r="U14" s="29">
        <v>16.2</v>
      </c>
      <c r="V14" s="31">
        <v>17</v>
      </c>
      <c r="W14" s="30">
        <v>17.5</v>
      </c>
      <c r="X14" s="29">
        <v>16</v>
      </c>
      <c r="Y14" s="29">
        <v>17.5</v>
      </c>
      <c r="Z14" s="29">
        <v>18.5</v>
      </c>
      <c r="AA14" s="28">
        <v>19.100000000000001</v>
      </c>
      <c r="AB14" s="32">
        <v>18</v>
      </c>
      <c r="AC14" s="29">
        <v>16.5</v>
      </c>
      <c r="AD14" s="29">
        <v>17.899999999999999</v>
      </c>
      <c r="AE14" s="29">
        <v>19</v>
      </c>
      <c r="AF14" s="31">
        <v>19.5</v>
      </c>
      <c r="AG14" s="30">
        <v>18.2</v>
      </c>
      <c r="AH14" s="29">
        <v>16.8</v>
      </c>
      <c r="AI14" s="29">
        <v>18.100000000000001</v>
      </c>
      <c r="AJ14" s="29">
        <v>19.100000000000001</v>
      </c>
      <c r="AK14" s="28">
        <v>19.8</v>
      </c>
      <c r="AL14" s="32">
        <v>19.899999999999999</v>
      </c>
      <c r="AM14" s="29">
        <v>16.600000000000001</v>
      </c>
      <c r="AN14" s="29">
        <v>16.5</v>
      </c>
      <c r="AO14" s="29">
        <v>19.100000000000001</v>
      </c>
      <c r="AP14" s="31">
        <v>17.100000000000001</v>
      </c>
      <c r="AQ14" s="30">
        <v>18.7</v>
      </c>
      <c r="AR14" s="29">
        <v>17</v>
      </c>
      <c r="AS14" s="29">
        <v>18.2</v>
      </c>
      <c r="AT14" s="29">
        <v>19.5</v>
      </c>
      <c r="AU14" s="28">
        <v>20.100000000000001</v>
      </c>
    </row>
    <row r="15" spans="1:47" ht="15.75" thickBot="1" x14ac:dyDescent="0.3">
      <c r="A15" s="27"/>
      <c r="B15" s="26">
        <v>4</v>
      </c>
      <c r="C15" s="22">
        <v>5.0999999999999996</v>
      </c>
      <c r="D15" s="21">
        <v>5.6</v>
      </c>
      <c r="E15" s="21">
        <v>5.7</v>
      </c>
      <c r="F15" s="21">
        <v>4.4000000000000004</v>
      </c>
      <c r="G15" s="20">
        <v>5</v>
      </c>
      <c r="H15" s="24">
        <v>7.5</v>
      </c>
      <c r="I15" s="21">
        <v>8</v>
      </c>
      <c r="J15" s="21">
        <v>7.9</v>
      </c>
      <c r="K15" s="21">
        <v>7</v>
      </c>
      <c r="L15" s="23">
        <v>7.3</v>
      </c>
      <c r="M15" s="22">
        <v>12.2</v>
      </c>
      <c r="N15" s="21">
        <v>13.3</v>
      </c>
      <c r="O15" s="21">
        <v>11.7</v>
      </c>
      <c r="P15" s="21">
        <v>12.4</v>
      </c>
      <c r="Q15" s="20">
        <v>12.3</v>
      </c>
      <c r="R15" s="24">
        <v>14.9</v>
      </c>
      <c r="S15" s="21">
        <v>15.2</v>
      </c>
      <c r="T15" s="21">
        <v>14.5</v>
      </c>
      <c r="U15" s="21">
        <v>14.6</v>
      </c>
      <c r="V15" s="23">
        <v>14</v>
      </c>
      <c r="W15" s="22">
        <v>18.8</v>
      </c>
      <c r="X15" s="21">
        <v>17</v>
      </c>
      <c r="Y15" s="21">
        <v>18.899999999999999</v>
      </c>
      <c r="Z15" s="21">
        <v>18</v>
      </c>
      <c r="AA15" s="20">
        <v>21</v>
      </c>
      <c r="AB15" s="24">
        <v>19.399999999999999</v>
      </c>
      <c r="AC15" s="21">
        <v>18.5</v>
      </c>
      <c r="AD15" s="21">
        <v>19.399999999999999</v>
      </c>
      <c r="AE15" s="21">
        <v>18.5</v>
      </c>
      <c r="AF15" s="23">
        <v>22.1</v>
      </c>
      <c r="AG15" s="22">
        <v>20</v>
      </c>
      <c r="AH15" s="21">
        <v>19.2</v>
      </c>
      <c r="AI15" s="21">
        <v>20.9</v>
      </c>
      <c r="AJ15" s="21">
        <v>19.5</v>
      </c>
      <c r="AK15" s="20">
        <v>22.9</v>
      </c>
      <c r="AL15" s="24">
        <v>20.399999999999999</v>
      </c>
      <c r="AM15" s="21">
        <v>20</v>
      </c>
      <c r="AN15" s="21">
        <v>20.100000000000001</v>
      </c>
      <c r="AO15" s="21">
        <v>19.600000000000001</v>
      </c>
      <c r="AP15" s="23">
        <v>21.5</v>
      </c>
      <c r="AQ15" s="22">
        <v>20.6</v>
      </c>
      <c r="AR15" s="21">
        <v>19.600000000000001</v>
      </c>
      <c r="AS15" s="21">
        <v>20.9</v>
      </c>
      <c r="AT15" s="21">
        <v>19.899999999999999</v>
      </c>
      <c r="AU15" s="20">
        <v>21.7</v>
      </c>
    </row>
    <row r="16" spans="1:47" x14ac:dyDescent="0.25">
      <c r="A16" s="41" t="s">
        <v>27</v>
      </c>
      <c r="B16" s="40">
        <v>1</v>
      </c>
      <c r="C16" s="37">
        <v>3.9</v>
      </c>
      <c r="D16" s="59">
        <v>4.2</v>
      </c>
      <c r="E16" s="36">
        <v>4.5</v>
      </c>
      <c r="F16" s="36">
        <v>4.0999999999999996</v>
      </c>
      <c r="G16" s="35">
        <v>3.1</v>
      </c>
      <c r="H16" s="39">
        <v>6.1</v>
      </c>
      <c r="I16" s="36">
        <v>6.5</v>
      </c>
      <c r="J16" s="36">
        <v>7.3</v>
      </c>
      <c r="K16" s="36">
        <v>6.4</v>
      </c>
      <c r="L16" s="38">
        <v>6.1</v>
      </c>
      <c r="M16" s="37">
        <v>11</v>
      </c>
      <c r="N16" s="36">
        <v>11.1</v>
      </c>
      <c r="O16" s="36">
        <v>13.5</v>
      </c>
      <c r="P16" s="36">
        <v>10.7</v>
      </c>
      <c r="Q16" s="35">
        <v>11.2</v>
      </c>
      <c r="R16" s="39">
        <v>13</v>
      </c>
      <c r="S16" s="36">
        <v>13.5</v>
      </c>
      <c r="T16" s="36">
        <v>14</v>
      </c>
      <c r="U16" s="36">
        <v>13</v>
      </c>
      <c r="V16" s="38">
        <v>13.6</v>
      </c>
      <c r="W16" s="37">
        <v>16</v>
      </c>
      <c r="X16" s="36">
        <v>17.8</v>
      </c>
      <c r="Y16" s="36">
        <v>19</v>
      </c>
      <c r="Z16" s="36">
        <v>18</v>
      </c>
      <c r="AA16" s="35">
        <v>18.2</v>
      </c>
      <c r="AB16" s="39">
        <v>17.5</v>
      </c>
      <c r="AC16" s="36">
        <v>17.899999999999999</v>
      </c>
      <c r="AD16" s="36">
        <v>20</v>
      </c>
      <c r="AE16" s="36">
        <v>19.5</v>
      </c>
      <c r="AF16" s="38">
        <v>20.3</v>
      </c>
      <c r="AG16" s="37">
        <v>18.2</v>
      </c>
      <c r="AH16" s="36">
        <v>19.100000000000001</v>
      </c>
      <c r="AI16" s="36">
        <v>20.5</v>
      </c>
      <c r="AJ16" s="36">
        <v>20.3</v>
      </c>
      <c r="AK16" s="35">
        <v>20.5</v>
      </c>
      <c r="AL16" s="39">
        <v>18</v>
      </c>
      <c r="AM16" s="36">
        <v>20.100000000000001</v>
      </c>
      <c r="AN16" s="36">
        <v>21</v>
      </c>
      <c r="AO16" s="36">
        <v>20.3</v>
      </c>
      <c r="AP16" s="38">
        <v>20.100000000000001</v>
      </c>
      <c r="AQ16" s="37">
        <v>18.5</v>
      </c>
      <c r="AR16" s="36">
        <v>21</v>
      </c>
      <c r="AS16" s="36">
        <v>20.9</v>
      </c>
      <c r="AT16" s="36">
        <v>21.9</v>
      </c>
      <c r="AU16" s="35">
        <v>20.9</v>
      </c>
    </row>
    <row r="17" spans="1:47" x14ac:dyDescent="0.25">
      <c r="A17" s="34"/>
      <c r="B17" s="33">
        <v>2</v>
      </c>
      <c r="C17" s="30">
        <v>4.5999999999999996</v>
      </c>
      <c r="D17" s="29">
        <v>3.5</v>
      </c>
      <c r="E17" s="29">
        <v>4.5</v>
      </c>
      <c r="F17" s="29">
        <v>5.6</v>
      </c>
      <c r="G17" s="28">
        <v>2.9</v>
      </c>
      <c r="H17" s="32">
        <v>7</v>
      </c>
      <c r="I17" s="29">
        <v>6.9</v>
      </c>
      <c r="J17" s="29">
        <v>7.4</v>
      </c>
      <c r="K17" s="29">
        <v>8.1999999999999993</v>
      </c>
      <c r="L17" s="31">
        <v>5.2</v>
      </c>
      <c r="M17" s="30">
        <v>11.7</v>
      </c>
      <c r="N17" s="29">
        <v>11.8</v>
      </c>
      <c r="O17" s="29">
        <v>12.2</v>
      </c>
      <c r="P17" s="29">
        <v>13.8</v>
      </c>
      <c r="Q17" s="28">
        <v>11.2</v>
      </c>
      <c r="R17" s="32">
        <v>15.5</v>
      </c>
      <c r="S17" s="29">
        <v>14.9</v>
      </c>
      <c r="T17" s="29">
        <v>15</v>
      </c>
      <c r="U17" s="29">
        <v>17.100000000000001</v>
      </c>
      <c r="V17" s="31">
        <v>14.5</v>
      </c>
      <c r="W17" s="30">
        <v>20.2</v>
      </c>
      <c r="X17" s="29">
        <v>17.3</v>
      </c>
      <c r="Y17" s="29">
        <v>19.100000000000001</v>
      </c>
      <c r="Z17" s="29">
        <v>19.600000000000001</v>
      </c>
      <c r="AA17" s="28">
        <v>18</v>
      </c>
      <c r="AB17" s="32">
        <v>22</v>
      </c>
      <c r="AC17" s="29">
        <v>18.2</v>
      </c>
      <c r="AD17" s="29">
        <v>20.9</v>
      </c>
      <c r="AE17" s="29">
        <v>20.3</v>
      </c>
      <c r="AF17" s="31">
        <v>19</v>
      </c>
      <c r="AG17" s="30">
        <v>22.2</v>
      </c>
      <c r="AH17" s="29">
        <v>18.899999999999999</v>
      </c>
      <c r="AI17" s="29">
        <v>21.5</v>
      </c>
      <c r="AJ17" s="29">
        <v>20.5</v>
      </c>
      <c r="AK17" s="28">
        <v>20.7</v>
      </c>
      <c r="AL17" s="32">
        <v>20.100000000000001</v>
      </c>
      <c r="AM17" s="59">
        <v>20.5</v>
      </c>
      <c r="AN17" s="29">
        <v>21.5</v>
      </c>
      <c r="AO17" s="29">
        <v>22</v>
      </c>
      <c r="AP17" s="31">
        <v>21</v>
      </c>
      <c r="AQ17" s="30">
        <v>21</v>
      </c>
      <c r="AR17" s="29">
        <v>20.399999999999999</v>
      </c>
      <c r="AS17" s="29">
        <v>21.5</v>
      </c>
      <c r="AT17" s="29">
        <v>22.1</v>
      </c>
      <c r="AU17" s="28">
        <v>17.5</v>
      </c>
    </row>
    <row r="18" spans="1:47" x14ac:dyDescent="0.25">
      <c r="A18" s="34"/>
      <c r="B18" s="33">
        <v>3</v>
      </c>
      <c r="C18" s="30">
        <v>3.9</v>
      </c>
      <c r="D18" s="29">
        <v>4.9000000000000004</v>
      </c>
      <c r="E18" s="29">
        <v>4.8</v>
      </c>
      <c r="F18" s="29">
        <v>3.8</v>
      </c>
      <c r="G18" s="28">
        <v>5.0999999999999996</v>
      </c>
      <c r="H18" s="32">
        <v>6.3</v>
      </c>
      <c r="I18" s="29">
        <v>7.4</v>
      </c>
      <c r="J18" s="29">
        <v>7.4</v>
      </c>
      <c r="K18" s="29">
        <v>6.5</v>
      </c>
      <c r="L18" s="31">
        <v>8</v>
      </c>
      <c r="M18" s="30">
        <v>11</v>
      </c>
      <c r="N18" s="29">
        <v>12.2</v>
      </c>
      <c r="O18" s="29">
        <v>12.3</v>
      </c>
      <c r="P18" s="29">
        <v>10.9</v>
      </c>
      <c r="Q18" s="28">
        <v>13.4</v>
      </c>
      <c r="R18" s="32">
        <v>13</v>
      </c>
      <c r="S18" s="29">
        <v>14.6</v>
      </c>
      <c r="T18" s="29">
        <v>14.5</v>
      </c>
      <c r="U18" s="29">
        <v>13.2</v>
      </c>
      <c r="V18" s="31">
        <v>15.2</v>
      </c>
      <c r="W18" s="30">
        <v>16</v>
      </c>
      <c r="X18" s="29">
        <v>19.2</v>
      </c>
      <c r="Y18" s="29">
        <v>21.3</v>
      </c>
      <c r="Z18" s="29">
        <v>18.100000000000001</v>
      </c>
      <c r="AA18" s="28">
        <v>19.8</v>
      </c>
      <c r="AB18" s="32">
        <v>17.5</v>
      </c>
      <c r="AC18" s="29">
        <v>19.7</v>
      </c>
      <c r="AD18" s="29">
        <v>21.2</v>
      </c>
      <c r="AE18" s="29">
        <v>19.5</v>
      </c>
      <c r="AF18" s="31">
        <v>20.6</v>
      </c>
      <c r="AG18" s="30">
        <v>18.5</v>
      </c>
      <c r="AH18" s="29">
        <v>20</v>
      </c>
      <c r="AI18" s="29">
        <v>21.4</v>
      </c>
      <c r="AJ18" s="29">
        <v>19.899999999999999</v>
      </c>
      <c r="AK18" s="28">
        <v>21</v>
      </c>
      <c r="AL18" s="32">
        <v>18.600000000000001</v>
      </c>
      <c r="AM18" s="29">
        <v>20.3</v>
      </c>
      <c r="AN18" s="29">
        <v>19</v>
      </c>
      <c r="AO18" s="29">
        <v>20.2</v>
      </c>
      <c r="AP18" s="31">
        <v>20.6</v>
      </c>
      <c r="AQ18" s="30">
        <v>18.100000000000001</v>
      </c>
      <c r="AR18" s="29">
        <v>20</v>
      </c>
      <c r="AS18" s="29">
        <v>19.600000000000001</v>
      </c>
      <c r="AT18" s="29">
        <v>19</v>
      </c>
      <c r="AU18" s="28">
        <v>21.1</v>
      </c>
    </row>
    <row r="19" spans="1:47" ht="15.75" thickBot="1" x14ac:dyDescent="0.3">
      <c r="A19" s="56"/>
      <c r="B19" s="55">
        <v>4</v>
      </c>
      <c r="C19" s="51">
        <v>4.8</v>
      </c>
      <c r="D19" s="50">
        <v>5</v>
      </c>
      <c r="E19" s="50">
        <v>4.7</v>
      </c>
      <c r="F19" s="50">
        <v>4.5999999999999996</v>
      </c>
      <c r="G19" s="49">
        <v>3.5</v>
      </c>
      <c r="H19" s="53">
        <v>7.3</v>
      </c>
      <c r="I19" s="50">
        <v>7</v>
      </c>
      <c r="J19" s="50">
        <v>7.7</v>
      </c>
      <c r="K19" s="50">
        <v>7.7</v>
      </c>
      <c r="L19" s="52">
        <v>5.6</v>
      </c>
      <c r="M19" s="51">
        <v>12.3</v>
      </c>
      <c r="N19" s="50">
        <v>12.2</v>
      </c>
      <c r="O19" s="50">
        <v>13.2</v>
      </c>
      <c r="P19" s="50">
        <v>12.8</v>
      </c>
      <c r="Q19" s="49">
        <v>10.199999999999999</v>
      </c>
      <c r="R19" s="53">
        <v>14.8</v>
      </c>
      <c r="S19" s="50">
        <v>15.2</v>
      </c>
      <c r="T19" s="50">
        <v>15.6</v>
      </c>
      <c r="U19" s="50">
        <v>15.6</v>
      </c>
      <c r="V19" s="52">
        <v>13.5</v>
      </c>
      <c r="W19" s="51">
        <v>19</v>
      </c>
      <c r="X19" s="50">
        <v>21.5</v>
      </c>
      <c r="Y19" s="50">
        <v>18.899999999999999</v>
      </c>
      <c r="Z19" s="50">
        <v>19</v>
      </c>
      <c r="AA19" s="49">
        <v>16</v>
      </c>
      <c r="AB19" s="53">
        <v>19.5</v>
      </c>
      <c r="AC19" s="50">
        <v>22.2</v>
      </c>
      <c r="AD19" s="50">
        <v>19</v>
      </c>
      <c r="AE19" s="50">
        <v>19.899999999999999</v>
      </c>
      <c r="AF19" s="52">
        <v>17</v>
      </c>
      <c r="AG19" s="51">
        <v>21</v>
      </c>
      <c r="AH19" s="50">
        <v>22.8</v>
      </c>
      <c r="AI19" s="50">
        <v>19.5</v>
      </c>
      <c r="AJ19" s="50">
        <v>20.100000000000001</v>
      </c>
      <c r="AK19" s="49">
        <v>19</v>
      </c>
      <c r="AL19" s="53">
        <v>20.100000000000001</v>
      </c>
      <c r="AM19" s="50">
        <v>19.5</v>
      </c>
      <c r="AN19" s="50">
        <v>21</v>
      </c>
      <c r="AO19" s="50">
        <v>20.2</v>
      </c>
      <c r="AP19" s="52">
        <v>19.7</v>
      </c>
      <c r="AQ19" s="51">
        <v>20.100000000000001</v>
      </c>
      <c r="AR19" s="50">
        <v>22.2</v>
      </c>
      <c r="AS19" s="50">
        <v>21.2</v>
      </c>
      <c r="AT19" s="50">
        <v>20</v>
      </c>
      <c r="AU19" s="49">
        <v>18</v>
      </c>
    </row>
    <row r="20" spans="1:47" x14ac:dyDescent="0.25">
      <c r="A20" s="48" t="s">
        <v>28</v>
      </c>
      <c r="B20" s="47">
        <v>1</v>
      </c>
      <c r="C20" s="44">
        <v>4.7</v>
      </c>
      <c r="D20" s="43">
        <v>5.0999999999999996</v>
      </c>
      <c r="E20" s="43">
        <v>4.0999999999999996</v>
      </c>
      <c r="F20" s="43">
        <v>3.1</v>
      </c>
      <c r="G20" s="42">
        <v>4.2</v>
      </c>
      <c r="H20" s="46">
        <v>7</v>
      </c>
      <c r="I20" s="43">
        <v>7.9</v>
      </c>
      <c r="J20" s="43">
        <v>6.4</v>
      </c>
      <c r="K20" s="43">
        <v>4.7</v>
      </c>
      <c r="L20" s="45">
        <v>7.1</v>
      </c>
      <c r="M20" s="44">
        <v>11.2</v>
      </c>
      <c r="N20" s="43">
        <v>13</v>
      </c>
      <c r="O20" s="43">
        <v>11.3</v>
      </c>
      <c r="P20" s="43">
        <v>8.5</v>
      </c>
      <c r="Q20" s="42">
        <v>12</v>
      </c>
      <c r="R20" s="46">
        <v>14.8</v>
      </c>
      <c r="S20" s="43">
        <v>15.6</v>
      </c>
      <c r="T20" s="43">
        <v>15.1</v>
      </c>
      <c r="U20" s="43">
        <v>12.1</v>
      </c>
      <c r="V20" s="45">
        <v>14.8</v>
      </c>
      <c r="W20" s="44">
        <v>17.600000000000001</v>
      </c>
      <c r="X20" s="43">
        <v>17.2</v>
      </c>
      <c r="Y20" s="43">
        <v>17.8</v>
      </c>
      <c r="Z20" s="43">
        <v>15.6</v>
      </c>
      <c r="AA20" s="42">
        <v>15.8</v>
      </c>
      <c r="AB20" s="46">
        <v>19.2</v>
      </c>
      <c r="AC20" s="43">
        <v>20.2</v>
      </c>
      <c r="AD20" s="43">
        <v>20</v>
      </c>
      <c r="AE20" s="43">
        <v>17</v>
      </c>
      <c r="AF20" s="45">
        <v>19.2</v>
      </c>
      <c r="AG20" s="44">
        <v>23</v>
      </c>
      <c r="AH20" s="43">
        <v>18.100000000000001</v>
      </c>
      <c r="AI20" s="43">
        <v>23</v>
      </c>
      <c r="AJ20" s="43">
        <v>18.5</v>
      </c>
      <c r="AK20" s="42">
        <v>20</v>
      </c>
      <c r="AL20" s="46">
        <v>25</v>
      </c>
      <c r="AM20" s="43">
        <v>22</v>
      </c>
      <c r="AN20" s="43">
        <v>23.2</v>
      </c>
      <c r="AO20" s="43">
        <v>17.2</v>
      </c>
      <c r="AP20" s="45">
        <v>20.9</v>
      </c>
      <c r="AQ20" s="44">
        <v>25</v>
      </c>
      <c r="AR20" s="43">
        <v>22.6</v>
      </c>
      <c r="AS20" s="43">
        <v>24</v>
      </c>
      <c r="AT20" s="43">
        <v>17.5</v>
      </c>
      <c r="AU20" s="42">
        <v>20.2</v>
      </c>
    </row>
    <row r="21" spans="1:47" x14ac:dyDescent="0.25">
      <c r="A21" s="34"/>
      <c r="B21" s="33">
        <v>2</v>
      </c>
      <c r="C21" s="30">
        <v>3.8</v>
      </c>
      <c r="D21" s="29">
        <v>4.5999999999999996</v>
      </c>
      <c r="E21" s="29">
        <v>4.0999999999999996</v>
      </c>
      <c r="F21" s="29">
        <v>4.2</v>
      </c>
      <c r="G21" s="28">
        <v>5.0999999999999996</v>
      </c>
      <c r="H21" s="32">
        <v>6.2</v>
      </c>
      <c r="I21" s="29">
        <v>7.6</v>
      </c>
      <c r="J21" s="29">
        <v>5.8</v>
      </c>
      <c r="K21" s="29">
        <v>6.2</v>
      </c>
      <c r="L21" s="31">
        <v>8</v>
      </c>
      <c r="M21" s="30">
        <v>11</v>
      </c>
      <c r="N21" s="29">
        <v>11.8</v>
      </c>
      <c r="O21" s="29">
        <v>9.5</v>
      </c>
      <c r="P21" s="29">
        <v>11.7</v>
      </c>
      <c r="Q21" s="28">
        <v>13.5</v>
      </c>
      <c r="R21" s="32">
        <v>13</v>
      </c>
      <c r="S21" s="29">
        <v>14.2</v>
      </c>
      <c r="T21" s="29">
        <v>12.4</v>
      </c>
      <c r="U21" s="29">
        <v>12</v>
      </c>
      <c r="V21" s="31">
        <v>16.100000000000001</v>
      </c>
      <c r="W21" s="30">
        <v>17.8</v>
      </c>
      <c r="X21" s="29">
        <v>16.899999999999999</v>
      </c>
      <c r="Y21" s="29">
        <v>16.899999999999999</v>
      </c>
      <c r="Z21" s="29">
        <v>16</v>
      </c>
      <c r="AA21" s="28">
        <v>21.1</v>
      </c>
      <c r="AB21" s="32">
        <v>20</v>
      </c>
      <c r="AC21" s="29">
        <v>17.7</v>
      </c>
      <c r="AD21" s="29">
        <v>17.899999999999999</v>
      </c>
      <c r="AE21" s="29">
        <v>18.5</v>
      </c>
      <c r="AF21" s="31">
        <v>23.4</v>
      </c>
      <c r="AG21" s="30">
        <v>20.6</v>
      </c>
      <c r="AH21" s="29">
        <v>20.3</v>
      </c>
      <c r="AI21" s="29">
        <v>21</v>
      </c>
      <c r="AJ21" s="29">
        <v>19.100000000000001</v>
      </c>
      <c r="AK21" s="28">
        <v>19.899999999999999</v>
      </c>
      <c r="AL21" s="32">
        <v>20.5</v>
      </c>
      <c r="AM21" s="29">
        <v>19.100000000000001</v>
      </c>
      <c r="AN21" s="29">
        <v>18</v>
      </c>
      <c r="AO21" s="29">
        <v>19.399999999999999</v>
      </c>
      <c r="AP21" s="31">
        <v>25.2</v>
      </c>
      <c r="AQ21" s="30">
        <v>20.6</v>
      </c>
      <c r="AR21" s="29">
        <v>19.7</v>
      </c>
      <c r="AS21" s="29">
        <v>20.8</v>
      </c>
      <c r="AT21" s="29">
        <v>19.5</v>
      </c>
      <c r="AU21" s="28">
        <v>24.5</v>
      </c>
    </row>
    <row r="22" spans="1:47" x14ac:dyDescent="0.25">
      <c r="A22" s="34"/>
      <c r="B22" s="33">
        <v>3</v>
      </c>
      <c r="C22" s="30">
        <v>5</v>
      </c>
      <c r="D22" s="29">
        <v>3.2</v>
      </c>
      <c r="E22" s="29">
        <v>4.7</v>
      </c>
      <c r="F22" s="29">
        <v>4.0999999999999996</v>
      </c>
      <c r="G22" s="28">
        <v>3.5</v>
      </c>
      <c r="H22" s="32">
        <v>7.3</v>
      </c>
      <c r="I22" s="29">
        <v>5.3</v>
      </c>
      <c r="J22" s="29">
        <v>7.8</v>
      </c>
      <c r="K22" s="29">
        <v>6.3</v>
      </c>
      <c r="L22" s="31">
        <v>6.1</v>
      </c>
      <c r="M22" s="30">
        <v>13</v>
      </c>
      <c r="N22" s="29">
        <v>9.1999999999999993</v>
      </c>
      <c r="O22" s="29">
        <v>11.5</v>
      </c>
      <c r="P22" s="29">
        <v>12</v>
      </c>
      <c r="Q22" s="28">
        <v>11.1</v>
      </c>
      <c r="R22" s="32">
        <v>17.5</v>
      </c>
      <c r="S22" s="29">
        <v>12</v>
      </c>
      <c r="T22" s="29">
        <v>15.4</v>
      </c>
      <c r="U22" s="29">
        <v>15</v>
      </c>
      <c r="V22" s="31">
        <v>15.3</v>
      </c>
      <c r="W22" s="30">
        <v>20.8</v>
      </c>
      <c r="X22" s="29">
        <v>14.5</v>
      </c>
      <c r="Y22" s="29">
        <v>19</v>
      </c>
      <c r="Z22" s="29">
        <v>20.100000000000001</v>
      </c>
      <c r="AA22" s="28">
        <v>16.100000000000001</v>
      </c>
      <c r="AB22" s="32">
        <v>20.9</v>
      </c>
      <c r="AC22" s="29">
        <v>16.600000000000001</v>
      </c>
      <c r="AD22" s="29">
        <v>20.5</v>
      </c>
      <c r="AE22" s="29">
        <v>21</v>
      </c>
      <c r="AF22" s="31">
        <v>18.8</v>
      </c>
      <c r="AG22" s="30">
        <v>21.3</v>
      </c>
      <c r="AH22" s="29">
        <v>15.9</v>
      </c>
      <c r="AI22" s="29">
        <v>21.5</v>
      </c>
      <c r="AJ22" s="29">
        <v>15.2</v>
      </c>
      <c r="AK22" s="28">
        <v>23.7</v>
      </c>
      <c r="AL22" s="32">
        <v>25.6</v>
      </c>
      <c r="AM22" s="29">
        <v>18.600000000000001</v>
      </c>
      <c r="AN22" s="29">
        <v>22.5</v>
      </c>
      <c r="AO22" s="29">
        <v>22</v>
      </c>
      <c r="AP22" s="31">
        <v>20</v>
      </c>
      <c r="AQ22" s="30">
        <v>26.7</v>
      </c>
      <c r="AR22" s="29">
        <v>17.2</v>
      </c>
      <c r="AS22" s="29">
        <v>23</v>
      </c>
      <c r="AT22" s="29">
        <v>22.6</v>
      </c>
      <c r="AU22" s="28">
        <v>20.5</v>
      </c>
    </row>
    <row r="23" spans="1:47" ht="15.75" thickBot="1" x14ac:dyDescent="0.3">
      <c r="A23" s="27"/>
      <c r="B23" s="26">
        <v>4</v>
      </c>
      <c r="C23" s="22">
        <v>4.5</v>
      </c>
      <c r="D23" s="21">
        <v>4.2</v>
      </c>
      <c r="E23" s="21">
        <v>4.3</v>
      </c>
      <c r="F23" s="21">
        <v>4.5999999999999996</v>
      </c>
      <c r="G23" s="20">
        <v>5.4</v>
      </c>
      <c r="H23" s="24">
        <v>6.2</v>
      </c>
      <c r="I23" s="21">
        <v>5.8</v>
      </c>
      <c r="J23" s="21">
        <v>7.1</v>
      </c>
      <c r="K23" s="21">
        <v>6</v>
      </c>
      <c r="L23" s="23">
        <v>7.5</v>
      </c>
      <c r="M23" s="22">
        <v>9.8000000000000007</v>
      </c>
      <c r="N23" s="21">
        <v>10</v>
      </c>
      <c r="O23" s="21">
        <v>12.3</v>
      </c>
      <c r="P23" s="21">
        <v>10</v>
      </c>
      <c r="Q23" s="20">
        <v>11.9</v>
      </c>
      <c r="R23" s="24">
        <v>13.2</v>
      </c>
      <c r="S23" s="21">
        <v>11.5</v>
      </c>
      <c r="T23" s="21">
        <v>14</v>
      </c>
      <c r="U23" s="21">
        <v>11</v>
      </c>
      <c r="V23" s="23">
        <v>15</v>
      </c>
      <c r="W23" s="22">
        <v>16</v>
      </c>
      <c r="X23" s="21">
        <v>14.8</v>
      </c>
      <c r="Y23" s="21">
        <v>18.5</v>
      </c>
      <c r="Z23" s="21">
        <v>13.3</v>
      </c>
      <c r="AA23" s="20">
        <v>19.899999999999999</v>
      </c>
      <c r="AB23" s="24">
        <v>20.5</v>
      </c>
      <c r="AC23" s="21">
        <v>15.1</v>
      </c>
      <c r="AD23" s="21">
        <v>20</v>
      </c>
      <c r="AE23" s="21">
        <v>14.5</v>
      </c>
      <c r="AF23" s="23">
        <v>23</v>
      </c>
      <c r="AG23" s="22">
        <v>20</v>
      </c>
      <c r="AH23" s="21">
        <v>15</v>
      </c>
      <c r="AI23" s="21">
        <v>20.6</v>
      </c>
      <c r="AJ23" s="21">
        <v>18</v>
      </c>
      <c r="AK23" s="20">
        <v>19.2</v>
      </c>
      <c r="AL23" s="24">
        <v>22.9</v>
      </c>
      <c r="AM23" s="21">
        <v>15.4</v>
      </c>
      <c r="AN23" s="21">
        <v>21</v>
      </c>
      <c r="AO23" s="21">
        <v>18.100000000000001</v>
      </c>
      <c r="AP23" s="23">
        <v>21</v>
      </c>
      <c r="AQ23" s="22">
        <v>23</v>
      </c>
      <c r="AR23" s="21">
        <v>15.5</v>
      </c>
      <c r="AS23" s="21">
        <v>20.9</v>
      </c>
      <c r="AT23" s="21">
        <v>18.5</v>
      </c>
      <c r="AU23" s="20">
        <v>24</v>
      </c>
    </row>
    <row r="24" spans="1:47" x14ac:dyDescent="0.25">
      <c r="A24" s="41" t="s">
        <v>29</v>
      </c>
      <c r="B24" s="40">
        <v>1</v>
      </c>
      <c r="C24" s="37">
        <v>2.8</v>
      </c>
      <c r="D24" s="36">
        <v>4.4000000000000004</v>
      </c>
      <c r="E24" s="36">
        <v>3.7</v>
      </c>
      <c r="F24" s="36">
        <v>4.5</v>
      </c>
      <c r="G24" s="35">
        <v>4.7</v>
      </c>
      <c r="H24" s="39">
        <v>4.5999999999999996</v>
      </c>
      <c r="I24" s="36">
        <v>5.3</v>
      </c>
      <c r="J24" s="36">
        <v>6.1</v>
      </c>
      <c r="K24" s="36">
        <v>5.7</v>
      </c>
      <c r="L24" s="38">
        <v>7.2</v>
      </c>
      <c r="M24" s="37">
        <v>9.1</v>
      </c>
      <c r="N24" s="36">
        <v>11.2</v>
      </c>
      <c r="O24" s="36">
        <v>11</v>
      </c>
      <c r="P24" s="36">
        <v>9.6999999999999993</v>
      </c>
      <c r="Q24" s="35">
        <v>11.8</v>
      </c>
      <c r="R24" s="39">
        <v>12</v>
      </c>
      <c r="S24" s="36">
        <v>14.6</v>
      </c>
      <c r="T24" s="36">
        <v>13.9</v>
      </c>
      <c r="U24" s="36">
        <v>12.1</v>
      </c>
      <c r="V24" s="38">
        <v>13.6</v>
      </c>
      <c r="W24" s="37">
        <v>20</v>
      </c>
      <c r="X24" s="36">
        <v>19</v>
      </c>
      <c r="Y24" s="36">
        <v>18.100000000000001</v>
      </c>
      <c r="Z24" s="36">
        <v>15.6</v>
      </c>
      <c r="AA24" s="35">
        <v>16.100000000000001</v>
      </c>
      <c r="AB24" s="39">
        <v>21</v>
      </c>
      <c r="AC24" s="36">
        <v>21</v>
      </c>
      <c r="AD24" s="36">
        <v>20</v>
      </c>
      <c r="AE24" s="36">
        <v>18.399999999999999</v>
      </c>
      <c r="AF24" s="38">
        <v>22</v>
      </c>
      <c r="AG24" s="37">
        <v>24.9</v>
      </c>
      <c r="AH24" s="36">
        <v>19.7</v>
      </c>
      <c r="AI24" s="36">
        <v>22</v>
      </c>
      <c r="AJ24" s="36">
        <v>21.5</v>
      </c>
      <c r="AK24" s="35">
        <v>18</v>
      </c>
      <c r="AL24" s="39">
        <v>25</v>
      </c>
      <c r="AM24" s="36">
        <v>21</v>
      </c>
      <c r="AN24" s="36">
        <v>21.1</v>
      </c>
      <c r="AO24" s="36">
        <v>23.1</v>
      </c>
      <c r="AP24" s="38">
        <v>23.1</v>
      </c>
      <c r="AQ24" s="37">
        <v>20.8</v>
      </c>
      <c r="AR24" s="36">
        <v>21.4</v>
      </c>
      <c r="AS24" s="36">
        <v>24</v>
      </c>
      <c r="AT24" s="36">
        <v>23.3</v>
      </c>
      <c r="AU24" s="35">
        <v>27</v>
      </c>
    </row>
    <row r="25" spans="1:47" x14ac:dyDescent="0.25">
      <c r="A25" s="34"/>
      <c r="B25" s="33">
        <v>2</v>
      </c>
      <c r="C25" s="30">
        <v>4.2</v>
      </c>
      <c r="D25" s="29">
        <v>3.3</v>
      </c>
      <c r="E25" s="29">
        <v>4.5999999999999996</v>
      </c>
      <c r="F25" s="29">
        <v>3.4</v>
      </c>
      <c r="G25" s="28">
        <v>5.0999999999999996</v>
      </c>
      <c r="H25" s="32">
        <v>7.4</v>
      </c>
      <c r="I25" s="29">
        <v>5.3</v>
      </c>
      <c r="J25" s="29">
        <v>7.8</v>
      </c>
      <c r="K25" s="29">
        <v>5.5</v>
      </c>
      <c r="L25" s="31">
        <v>7.6</v>
      </c>
      <c r="M25" s="30">
        <v>12.5</v>
      </c>
      <c r="N25" s="29">
        <v>10</v>
      </c>
      <c r="O25" s="29">
        <v>12.2</v>
      </c>
      <c r="P25" s="29">
        <v>10.7</v>
      </c>
      <c r="Q25" s="28">
        <v>12.5</v>
      </c>
      <c r="R25" s="32">
        <v>15.6</v>
      </c>
      <c r="S25" s="29">
        <v>14.6</v>
      </c>
      <c r="T25" s="29">
        <v>15.5</v>
      </c>
      <c r="U25" s="29">
        <v>12.7</v>
      </c>
      <c r="V25" s="31">
        <v>16</v>
      </c>
      <c r="W25" s="30">
        <v>19</v>
      </c>
      <c r="X25" s="29">
        <v>18.3</v>
      </c>
      <c r="Y25" s="29">
        <v>18.5</v>
      </c>
      <c r="Z25" s="29">
        <v>16.5</v>
      </c>
      <c r="AA25" s="28">
        <v>20.5</v>
      </c>
      <c r="AB25" s="32">
        <v>23.1</v>
      </c>
      <c r="AC25" s="29">
        <v>18.5</v>
      </c>
      <c r="AD25" s="29">
        <v>19.399999999999999</v>
      </c>
      <c r="AE25" s="29">
        <v>18.600000000000001</v>
      </c>
      <c r="AF25" s="31">
        <v>21.2</v>
      </c>
      <c r="AG25" s="30">
        <v>24.5</v>
      </c>
      <c r="AH25" s="29">
        <v>19.100000000000001</v>
      </c>
      <c r="AI25" s="29">
        <v>24</v>
      </c>
      <c r="AJ25" s="29">
        <v>21.2</v>
      </c>
      <c r="AK25" s="28">
        <v>22</v>
      </c>
      <c r="AL25" s="32">
        <v>25.6</v>
      </c>
      <c r="AM25" s="29">
        <v>20.5</v>
      </c>
      <c r="AN25" s="29">
        <v>24.1</v>
      </c>
      <c r="AO25" s="29">
        <v>21.5</v>
      </c>
      <c r="AP25" s="31">
        <v>22.8</v>
      </c>
      <c r="AQ25" s="30">
        <v>25.5</v>
      </c>
      <c r="AR25" s="29">
        <v>22</v>
      </c>
      <c r="AS25" s="29">
        <v>26</v>
      </c>
      <c r="AT25" s="29">
        <v>21.2</v>
      </c>
      <c r="AU25" s="28">
        <v>27</v>
      </c>
    </row>
    <row r="26" spans="1:47" x14ac:dyDescent="0.25">
      <c r="A26" s="34"/>
      <c r="B26" s="33">
        <v>3</v>
      </c>
      <c r="C26" s="30">
        <v>4.2</v>
      </c>
      <c r="D26" s="29">
        <v>2.5</v>
      </c>
      <c r="E26" s="29">
        <v>4.5</v>
      </c>
      <c r="F26" s="29">
        <v>4.5999999999999996</v>
      </c>
      <c r="G26" s="28">
        <v>4.0999999999999996</v>
      </c>
      <c r="H26" s="32">
        <v>7.1</v>
      </c>
      <c r="I26" s="29">
        <v>4.0999999999999996</v>
      </c>
      <c r="J26" s="29">
        <v>6.6</v>
      </c>
      <c r="K26" s="29">
        <v>7</v>
      </c>
      <c r="L26" s="31">
        <v>6.5</v>
      </c>
      <c r="M26" s="30">
        <v>11.8</v>
      </c>
      <c r="N26" s="29">
        <v>8.1999999999999993</v>
      </c>
      <c r="O26" s="29">
        <v>11.3</v>
      </c>
      <c r="P26" s="29">
        <v>11.4</v>
      </c>
      <c r="Q26" s="28">
        <v>10.9</v>
      </c>
      <c r="R26" s="32">
        <v>14</v>
      </c>
      <c r="S26" s="29">
        <v>10.6</v>
      </c>
      <c r="T26" s="29">
        <v>13.6</v>
      </c>
      <c r="U26" s="29">
        <v>13.6</v>
      </c>
      <c r="V26" s="31">
        <v>13</v>
      </c>
      <c r="W26" s="30">
        <v>18.399999999999999</v>
      </c>
      <c r="X26" s="29">
        <v>13.5</v>
      </c>
      <c r="Y26" s="29">
        <v>18.600000000000001</v>
      </c>
      <c r="Z26" s="29">
        <v>19.100000000000001</v>
      </c>
      <c r="AA26" s="28">
        <v>19.5</v>
      </c>
      <c r="AB26" s="32">
        <v>21.5</v>
      </c>
      <c r="AC26" s="29">
        <v>15.4</v>
      </c>
      <c r="AD26" s="29">
        <v>22</v>
      </c>
      <c r="AE26" s="29">
        <v>20.100000000000001</v>
      </c>
      <c r="AF26" s="31">
        <v>22.5</v>
      </c>
      <c r="AG26" s="30">
        <v>21.6</v>
      </c>
      <c r="AH26" s="29">
        <v>16</v>
      </c>
      <c r="AI26" s="29">
        <v>22.7</v>
      </c>
      <c r="AJ26" s="29">
        <v>21.2</v>
      </c>
      <c r="AK26" s="28">
        <v>23</v>
      </c>
      <c r="AL26" s="32">
        <v>21.5</v>
      </c>
      <c r="AM26" s="29">
        <v>18.2</v>
      </c>
      <c r="AN26" s="29">
        <v>23</v>
      </c>
      <c r="AO26" s="29">
        <v>16</v>
      </c>
      <c r="AP26" s="31">
        <v>26</v>
      </c>
      <c r="AQ26" s="30">
        <v>23</v>
      </c>
      <c r="AR26" s="29">
        <v>18.100000000000001</v>
      </c>
      <c r="AS26" s="29">
        <v>24</v>
      </c>
      <c r="AT26" s="29">
        <v>25</v>
      </c>
      <c r="AU26" s="28">
        <v>26.6</v>
      </c>
    </row>
    <row r="27" spans="1:47" ht="15.75" thickBot="1" x14ac:dyDescent="0.3">
      <c r="A27" s="56"/>
      <c r="B27" s="55">
        <v>4</v>
      </c>
      <c r="C27" s="51">
        <v>3.5</v>
      </c>
      <c r="D27" s="50">
        <v>4.0999999999999996</v>
      </c>
      <c r="E27" s="50">
        <v>3.6</v>
      </c>
      <c r="F27" s="50">
        <v>2.6</v>
      </c>
      <c r="G27" s="49">
        <v>3.9</v>
      </c>
      <c r="H27" s="53">
        <v>6.1</v>
      </c>
      <c r="I27" s="50">
        <v>6.5</v>
      </c>
      <c r="J27" s="50">
        <v>5.4</v>
      </c>
      <c r="K27" s="50">
        <v>4.5</v>
      </c>
      <c r="L27" s="52">
        <v>6.2</v>
      </c>
      <c r="M27" s="51">
        <v>11.9</v>
      </c>
      <c r="N27" s="50">
        <v>11.2</v>
      </c>
      <c r="O27" s="50">
        <v>10.1</v>
      </c>
      <c r="P27" s="50">
        <v>8.5</v>
      </c>
      <c r="Q27" s="49">
        <v>11</v>
      </c>
      <c r="R27" s="53">
        <v>14.2</v>
      </c>
      <c r="S27" s="50">
        <v>13.5</v>
      </c>
      <c r="T27" s="50">
        <v>14</v>
      </c>
      <c r="U27" s="50">
        <v>11.1</v>
      </c>
      <c r="V27" s="52">
        <v>13.1</v>
      </c>
      <c r="W27" s="51">
        <v>18</v>
      </c>
      <c r="X27" s="50">
        <v>17</v>
      </c>
      <c r="Y27" s="50">
        <v>17.5</v>
      </c>
      <c r="Z27" s="50">
        <v>13.3</v>
      </c>
      <c r="AA27" s="49">
        <v>17.8</v>
      </c>
      <c r="AB27" s="53">
        <v>19</v>
      </c>
      <c r="AC27" s="50">
        <v>19.2</v>
      </c>
      <c r="AD27" s="50">
        <v>19.2</v>
      </c>
      <c r="AE27" s="50">
        <v>17.100000000000001</v>
      </c>
      <c r="AF27" s="52">
        <v>20</v>
      </c>
      <c r="AG27" s="51">
        <v>21</v>
      </c>
      <c r="AH27" s="50">
        <v>22</v>
      </c>
      <c r="AI27" s="50">
        <v>21.5</v>
      </c>
      <c r="AJ27" s="50">
        <v>17.899999999999999</v>
      </c>
      <c r="AK27" s="49">
        <v>21</v>
      </c>
      <c r="AL27" s="53">
        <v>21.5</v>
      </c>
      <c r="AM27" s="50">
        <v>22.6</v>
      </c>
      <c r="AN27" s="50">
        <v>22.1</v>
      </c>
      <c r="AO27" s="50">
        <v>19</v>
      </c>
      <c r="AP27" s="52">
        <v>23.7</v>
      </c>
      <c r="AQ27" s="51">
        <v>21.2</v>
      </c>
      <c r="AR27" s="50">
        <v>22.8</v>
      </c>
      <c r="AS27" s="50">
        <v>21.5</v>
      </c>
      <c r="AT27" s="50">
        <v>23</v>
      </c>
      <c r="AU27" s="49">
        <v>24</v>
      </c>
    </row>
    <row r="28" spans="1:47" x14ac:dyDescent="0.25">
      <c r="A28" s="48" t="s">
        <v>30</v>
      </c>
      <c r="B28" s="47">
        <v>1</v>
      </c>
      <c r="C28" s="44">
        <v>3</v>
      </c>
      <c r="D28" s="43">
        <v>3.1</v>
      </c>
      <c r="E28" s="43">
        <v>3.5</v>
      </c>
      <c r="F28" s="43">
        <v>2</v>
      </c>
      <c r="G28" s="42">
        <v>3</v>
      </c>
      <c r="H28" s="46">
        <v>4.7</v>
      </c>
      <c r="I28" s="43">
        <v>4.9000000000000004</v>
      </c>
      <c r="J28" s="43">
        <v>5.0999999999999996</v>
      </c>
      <c r="K28" s="43">
        <v>4.9000000000000004</v>
      </c>
      <c r="L28" s="45">
        <v>4.8</v>
      </c>
      <c r="M28" s="44">
        <v>9</v>
      </c>
      <c r="N28" s="43">
        <v>9.1</v>
      </c>
      <c r="O28" s="43">
        <v>8.8000000000000007</v>
      </c>
      <c r="P28" s="43">
        <v>6</v>
      </c>
      <c r="Q28" s="42">
        <v>9.1999999999999993</v>
      </c>
      <c r="R28" s="46">
        <v>11.9</v>
      </c>
      <c r="S28" s="43">
        <v>12</v>
      </c>
      <c r="T28" s="43">
        <v>11</v>
      </c>
      <c r="U28" s="43">
        <v>9.3000000000000007</v>
      </c>
      <c r="V28" s="45">
        <v>12.2</v>
      </c>
      <c r="W28" s="44">
        <v>15.1</v>
      </c>
      <c r="X28" s="43">
        <v>14.3</v>
      </c>
      <c r="Y28" s="43">
        <v>12</v>
      </c>
      <c r="Z28" s="43">
        <v>12.1</v>
      </c>
      <c r="AA28" s="42">
        <v>14.1</v>
      </c>
      <c r="AB28" s="46">
        <v>15.6</v>
      </c>
      <c r="AC28" s="43">
        <v>15.4</v>
      </c>
      <c r="AD28" s="43">
        <v>13.5</v>
      </c>
      <c r="AE28" s="43">
        <v>13.6</v>
      </c>
      <c r="AF28" s="45">
        <v>15.5</v>
      </c>
      <c r="AG28" s="44">
        <v>16.100000000000001</v>
      </c>
      <c r="AH28" s="43">
        <v>16</v>
      </c>
      <c r="AI28" s="43">
        <v>14</v>
      </c>
      <c r="AJ28" s="43">
        <v>14.3</v>
      </c>
      <c r="AK28" s="42">
        <v>15.7</v>
      </c>
      <c r="AL28" s="46">
        <v>16</v>
      </c>
      <c r="AM28" s="43">
        <v>16.5</v>
      </c>
      <c r="AN28" s="43">
        <v>14.2</v>
      </c>
      <c r="AO28" s="43">
        <v>14.1</v>
      </c>
      <c r="AP28" s="45">
        <v>16</v>
      </c>
      <c r="AQ28" s="44">
        <v>16.100000000000001</v>
      </c>
      <c r="AR28" s="43">
        <v>16</v>
      </c>
      <c r="AS28" s="43">
        <v>14.2</v>
      </c>
      <c r="AT28" s="43">
        <v>14.5</v>
      </c>
      <c r="AU28" s="42">
        <v>16.100000000000001</v>
      </c>
    </row>
    <row r="29" spans="1:47" x14ac:dyDescent="0.25">
      <c r="A29" s="34"/>
      <c r="B29" s="33">
        <v>2</v>
      </c>
      <c r="C29" s="30">
        <v>3.4</v>
      </c>
      <c r="D29" s="29">
        <v>3.1</v>
      </c>
      <c r="E29" s="29">
        <v>3.1</v>
      </c>
      <c r="F29" s="29">
        <v>3</v>
      </c>
      <c r="G29" s="28">
        <v>3.2</v>
      </c>
      <c r="H29" s="32">
        <v>5.7</v>
      </c>
      <c r="I29" s="29">
        <v>5.0999999999999996</v>
      </c>
      <c r="J29" s="29">
        <v>5.2</v>
      </c>
      <c r="K29" s="29">
        <v>5.0999999999999996</v>
      </c>
      <c r="L29" s="31">
        <v>5.4</v>
      </c>
      <c r="M29" s="30">
        <v>10.199999999999999</v>
      </c>
      <c r="N29" s="29">
        <v>9.3000000000000007</v>
      </c>
      <c r="O29" s="29">
        <v>9.1</v>
      </c>
      <c r="P29" s="29">
        <v>9.6</v>
      </c>
      <c r="Q29" s="28">
        <v>10.1</v>
      </c>
      <c r="R29" s="32">
        <v>13</v>
      </c>
      <c r="S29" s="29">
        <v>12.1</v>
      </c>
      <c r="T29" s="29">
        <v>12</v>
      </c>
      <c r="U29" s="29">
        <v>12.6</v>
      </c>
      <c r="V29" s="31">
        <v>13.2</v>
      </c>
      <c r="W29" s="30">
        <v>15.1</v>
      </c>
      <c r="X29" s="29">
        <v>16</v>
      </c>
      <c r="Y29" s="29">
        <v>14.5</v>
      </c>
      <c r="Z29" s="29">
        <v>14.2</v>
      </c>
      <c r="AA29" s="28">
        <v>15.1</v>
      </c>
      <c r="AB29" s="32">
        <v>15.3</v>
      </c>
      <c r="AC29" s="29">
        <v>15.8</v>
      </c>
      <c r="AD29" s="29">
        <v>14.8</v>
      </c>
      <c r="AE29" s="29">
        <v>15</v>
      </c>
      <c r="AF29" s="31">
        <v>15.5</v>
      </c>
      <c r="AG29" s="30">
        <v>15.1</v>
      </c>
      <c r="AH29" s="29">
        <v>16</v>
      </c>
      <c r="AI29" s="29">
        <v>15.5</v>
      </c>
      <c r="AJ29" s="29">
        <v>15.7</v>
      </c>
      <c r="AK29" s="28">
        <v>15.7</v>
      </c>
      <c r="AL29" s="32">
        <v>16</v>
      </c>
      <c r="AM29" s="29">
        <v>15.9</v>
      </c>
      <c r="AN29" s="29">
        <v>16.8</v>
      </c>
      <c r="AO29" s="29">
        <v>16</v>
      </c>
      <c r="AP29" s="31">
        <v>16</v>
      </c>
      <c r="AQ29" s="30">
        <v>16.399999999999999</v>
      </c>
      <c r="AR29" s="29">
        <v>15.6</v>
      </c>
      <c r="AS29" s="29">
        <v>18.8</v>
      </c>
      <c r="AT29" s="29">
        <v>16.100000000000001</v>
      </c>
      <c r="AU29" s="28">
        <v>16.899999999999999</v>
      </c>
    </row>
    <row r="30" spans="1:47" x14ac:dyDescent="0.25">
      <c r="A30" s="34"/>
      <c r="B30" s="33">
        <v>3</v>
      </c>
      <c r="C30" s="30">
        <v>3.2</v>
      </c>
      <c r="D30" s="29">
        <v>2.7</v>
      </c>
      <c r="E30" s="29">
        <v>3.5</v>
      </c>
      <c r="F30" s="29">
        <v>2.4</v>
      </c>
      <c r="G30" s="28">
        <v>3</v>
      </c>
      <c r="H30" s="32">
        <v>5.3</v>
      </c>
      <c r="I30" s="29">
        <v>4.7</v>
      </c>
      <c r="J30" s="29">
        <v>6.4</v>
      </c>
      <c r="K30" s="29">
        <v>4.0999999999999996</v>
      </c>
      <c r="L30" s="31">
        <v>5.4</v>
      </c>
      <c r="M30" s="30">
        <v>8.6999999999999993</v>
      </c>
      <c r="N30" s="29">
        <v>9.3000000000000007</v>
      </c>
      <c r="O30" s="29">
        <v>10.3</v>
      </c>
      <c r="P30" s="29">
        <v>9</v>
      </c>
      <c r="Q30" s="28">
        <v>9.4</v>
      </c>
      <c r="R30" s="32">
        <v>12.6</v>
      </c>
      <c r="S30" s="29">
        <v>12.6</v>
      </c>
      <c r="T30" s="29">
        <v>13.6</v>
      </c>
      <c r="U30" s="29">
        <v>12.2</v>
      </c>
      <c r="V30" s="31">
        <v>12.8</v>
      </c>
      <c r="W30" s="30">
        <v>14.1</v>
      </c>
      <c r="X30" s="29">
        <v>15</v>
      </c>
      <c r="Y30" s="29">
        <v>15.1</v>
      </c>
      <c r="Z30" s="29">
        <v>14.3</v>
      </c>
      <c r="AA30" s="28">
        <v>13.9</v>
      </c>
      <c r="AB30" s="32">
        <v>16.399999999999999</v>
      </c>
      <c r="AC30" s="29">
        <v>14.9</v>
      </c>
      <c r="AD30" s="29">
        <v>15.9</v>
      </c>
      <c r="AE30" s="29">
        <v>14.9</v>
      </c>
      <c r="AF30" s="31">
        <v>15.2</v>
      </c>
      <c r="AG30" s="30">
        <v>16.5</v>
      </c>
      <c r="AH30" s="29">
        <v>15</v>
      </c>
      <c r="AI30" s="29">
        <v>16.100000000000001</v>
      </c>
      <c r="AJ30" s="29">
        <v>15.1</v>
      </c>
      <c r="AK30" s="28">
        <v>15.6</v>
      </c>
      <c r="AL30" s="32">
        <v>16.899999999999999</v>
      </c>
      <c r="AM30" s="29">
        <v>16.5</v>
      </c>
      <c r="AN30" s="29">
        <v>16.600000000000001</v>
      </c>
      <c r="AO30" s="29">
        <v>15</v>
      </c>
      <c r="AP30" s="31">
        <v>16</v>
      </c>
      <c r="AQ30" s="30">
        <v>16.899999999999999</v>
      </c>
      <c r="AR30" s="29">
        <v>16.5</v>
      </c>
      <c r="AS30" s="29">
        <v>17</v>
      </c>
      <c r="AT30" s="29">
        <v>15.1</v>
      </c>
      <c r="AU30" s="28">
        <v>16.100000000000001</v>
      </c>
    </row>
    <row r="31" spans="1:47" ht="15.75" thickBot="1" x14ac:dyDescent="0.3">
      <c r="A31" s="27"/>
      <c r="B31" s="26">
        <v>4</v>
      </c>
      <c r="C31" s="22">
        <v>3</v>
      </c>
      <c r="D31" s="21">
        <v>3.5</v>
      </c>
      <c r="E31" s="21">
        <v>2.7</v>
      </c>
      <c r="F31" s="21">
        <v>3.1</v>
      </c>
      <c r="G31" s="20">
        <v>3</v>
      </c>
      <c r="H31" s="24">
        <v>5.0999999999999996</v>
      </c>
      <c r="I31" s="21">
        <v>5.7</v>
      </c>
      <c r="J31" s="21">
        <v>4.8</v>
      </c>
      <c r="K31" s="21">
        <v>5.0999999999999996</v>
      </c>
      <c r="L31" s="23">
        <v>5</v>
      </c>
      <c r="M31" s="22">
        <v>9.1999999999999993</v>
      </c>
      <c r="N31" s="21">
        <v>10.8</v>
      </c>
      <c r="O31" s="21">
        <v>8.5</v>
      </c>
      <c r="P31" s="21">
        <v>9.6</v>
      </c>
      <c r="Q31" s="20">
        <v>9.3000000000000007</v>
      </c>
      <c r="R31" s="24">
        <v>12</v>
      </c>
      <c r="S31" s="21">
        <v>13.9</v>
      </c>
      <c r="T31" s="21">
        <v>11</v>
      </c>
      <c r="U31" s="21">
        <v>13</v>
      </c>
      <c r="V31" s="23">
        <v>12</v>
      </c>
      <c r="W31" s="22">
        <v>14.1</v>
      </c>
      <c r="X31" s="21">
        <v>15.2</v>
      </c>
      <c r="Y31" s="21">
        <v>13</v>
      </c>
      <c r="Z31" s="21">
        <v>15.5</v>
      </c>
      <c r="AA31" s="20">
        <v>14.8</v>
      </c>
      <c r="AB31" s="24">
        <v>16.2</v>
      </c>
      <c r="AC31" s="21">
        <v>16</v>
      </c>
      <c r="AD31" s="21">
        <v>14</v>
      </c>
      <c r="AE31" s="21">
        <v>16</v>
      </c>
      <c r="AF31" s="23">
        <v>15</v>
      </c>
      <c r="AG31" s="22">
        <v>16.7</v>
      </c>
      <c r="AH31" s="21">
        <v>16.8</v>
      </c>
      <c r="AI31" s="21">
        <v>14.6</v>
      </c>
      <c r="AJ31" s="21">
        <v>17.100000000000001</v>
      </c>
      <c r="AK31" s="20">
        <v>15.7</v>
      </c>
      <c r="AL31" s="24">
        <v>18.5</v>
      </c>
      <c r="AM31" s="21">
        <v>17.2</v>
      </c>
      <c r="AN31" s="21">
        <v>15</v>
      </c>
      <c r="AO31" s="21">
        <v>15.7</v>
      </c>
      <c r="AP31" s="23">
        <v>16.5</v>
      </c>
      <c r="AQ31" s="22">
        <v>18.600000000000001</v>
      </c>
      <c r="AR31" s="21">
        <v>16.8</v>
      </c>
      <c r="AS31" s="21">
        <v>15.1</v>
      </c>
      <c r="AT31" s="21">
        <v>15.9</v>
      </c>
      <c r="AU31" s="20">
        <v>16.399999999999999</v>
      </c>
    </row>
    <row r="32" spans="1:47" x14ac:dyDescent="0.25">
      <c r="A32" s="41" t="s">
        <v>31</v>
      </c>
      <c r="B32" s="40">
        <v>1</v>
      </c>
      <c r="C32" s="37">
        <v>2.7</v>
      </c>
      <c r="D32" s="36">
        <v>2.9</v>
      </c>
      <c r="E32" s="36">
        <v>3</v>
      </c>
      <c r="F32" s="36">
        <v>3</v>
      </c>
      <c r="G32" s="35">
        <v>2.2999999999999998</v>
      </c>
      <c r="H32" s="39">
        <v>4.3</v>
      </c>
      <c r="I32" s="36">
        <v>4.8</v>
      </c>
      <c r="J32" s="36">
        <v>5.2</v>
      </c>
      <c r="K32" s="36">
        <v>4.5</v>
      </c>
      <c r="L32" s="38">
        <v>3.3</v>
      </c>
      <c r="M32" s="37">
        <v>8.6</v>
      </c>
      <c r="N32" s="36">
        <v>9.1</v>
      </c>
      <c r="O32" s="36">
        <v>9.6</v>
      </c>
      <c r="P32" s="36">
        <v>8.1999999999999993</v>
      </c>
      <c r="Q32" s="35">
        <v>7</v>
      </c>
      <c r="R32" s="39">
        <v>11.8</v>
      </c>
      <c r="S32" s="36">
        <v>12.2</v>
      </c>
      <c r="T32" s="36">
        <v>13</v>
      </c>
      <c r="U32" s="36">
        <v>11</v>
      </c>
      <c r="V32" s="38">
        <v>10</v>
      </c>
      <c r="W32" s="37">
        <v>14.1</v>
      </c>
      <c r="X32" s="36">
        <v>14.9</v>
      </c>
      <c r="Y32" s="36">
        <v>15.4</v>
      </c>
      <c r="Z32" s="36">
        <v>15.7</v>
      </c>
      <c r="AA32" s="35">
        <v>13</v>
      </c>
      <c r="AB32" s="39">
        <v>15.4</v>
      </c>
      <c r="AC32" s="36">
        <v>15.2</v>
      </c>
      <c r="AD32" s="36">
        <v>15.2</v>
      </c>
      <c r="AE32" s="36">
        <v>15.7</v>
      </c>
      <c r="AF32" s="38">
        <v>15.4</v>
      </c>
      <c r="AG32" s="37">
        <v>17.2</v>
      </c>
      <c r="AH32" s="36">
        <v>15.5</v>
      </c>
      <c r="AI32" s="36">
        <v>16</v>
      </c>
      <c r="AJ32" s="36">
        <v>15.9</v>
      </c>
      <c r="AK32" s="35">
        <v>15.6</v>
      </c>
      <c r="AL32" s="39">
        <v>16.399999999999999</v>
      </c>
      <c r="AM32" s="36">
        <v>14.7</v>
      </c>
      <c r="AN32" s="36">
        <v>16</v>
      </c>
      <c r="AO32" s="36">
        <v>16.100000000000001</v>
      </c>
      <c r="AP32" s="38">
        <v>14.7</v>
      </c>
      <c r="AQ32" s="58">
        <v>16.5</v>
      </c>
      <c r="AR32" s="36">
        <v>16</v>
      </c>
      <c r="AS32" s="36">
        <v>16</v>
      </c>
      <c r="AT32" s="36">
        <v>16</v>
      </c>
      <c r="AU32" s="35">
        <v>16</v>
      </c>
    </row>
    <row r="33" spans="1:47" x14ac:dyDescent="0.25">
      <c r="A33" s="34"/>
      <c r="B33" s="33">
        <v>2</v>
      </c>
      <c r="C33" s="30">
        <v>4</v>
      </c>
      <c r="D33" s="29">
        <v>2.9</v>
      </c>
      <c r="E33" s="29">
        <v>3.1</v>
      </c>
      <c r="F33" s="29">
        <v>3</v>
      </c>
      <c r="G33" s="28">
        <v>3.2</v>
      </c>
      <c r="H33" s="32">
        <v>5.7</v>
      </c>
      <c r="I33" s="29">
        <v>4.7</v>
      </c>
      <c r="J33" s="29">
        <v>5</v>
      </c>
      <c r="K33" s="29">
        <v>4.9000000000000004</v>
      </c>
      <c r="L33" s="31">
        <v>5.5</v>
      </c>
      <c r="M33" s="30">
        <v>10.6</v>
      </c>
      <c r="N33" s="29">
        <v>9.1</v>
      </c>
      <c r="O33" s="29">
        <v>9.3000000000000007</v>
      </c>
      <c r="P33" s="29">
        <v>9</v>
      </c>
      <c r="Q33" s="28">
        <v>10</v>
      </c>
      <c r="R33" s="32">
        <v>14.3</v>
      </c>
      <c r="S33" s="29">
        <v>12.5</v>
      </c>
      <c r="T33" s="29">
        <v>13.2</v>
      </c>
      <c r="U33" s="29">
        <v>12.8</v>
      </c>
      <c r="V33" s="31">
        <v>12.9</v>
      </c>
      <c r="W33" s="30">
        <v>16.100000000000001</v>
      </c>
      <c r="X33" s="29">
        <v>15</v>
      </c>
      <c r="Y33" s="29">
        <v>13.8</v>
      </c>
      <c r="Z33" s="29">
        <v>14.8</v>
      </c>
      <c r="AA33" s="28">
        <v>15.2</v>
      </c>
      <c r="AB33" s="32">
        <v>16.7</v>
      </c>
      <c r="AC33" s="29">
        <v>16.399999999999999</v>
      </c>
      <c r="AD33" s="29">
        <v>17.600000000000001</v>
      </c>
      <c r="AE33" s="29">
        <v>15.8</v>
      </c>
      <c r="AF33" s="31">
        <v>15.8</v>
      </c>
      <c r="AG33" s="30">
        <v>15.9</v>
      </c>
      <c r="AH33" s="29">
        <v>15.3</v>
      </c>
      <c r="AI33" s="29">
        <v>15.5</v>
      </c>
      <c r="AJ33" s="29">
        <v>15.6</v>
      </c>
      <c r="AK33" s="28">
        <v>15.5</v>
      </c>
      <c r="AL33" s="32">
        <v>17.5</v>
      </c>
      <c r="AM33" s="29">
        <v>16.899999999999999</v>
      </c>
      <c r="AN33" s="29">
        <v>16.8</v>
      </c>
      <c r="AO33" s="29">
        <v>17</v>
      </c>
      <c r="AP33" s="31">
        <v>19.5</v>
      </c>
      <c r="AQ33" s="30">
        <v>17.100000000000001</v>
      </c>
      <c r="AR33" s="29">
        <v>16.7</v>
      </c>
      <c r="AS33" s="29">
        <v>19</v>
      </c>
      <c r="AT33" s="29">
        <v>16.5</v>
      </c>
      <c r="AU33" s="28">
        <v>16.5</v>
      </c>
    </row>
    <row r="34" spans="1:47" x14ac:dyDescent="0.25">
      <c r="A34" s="34"/>
      <c r="B34" s="33">
        <v>3</v>
      </c>
      <c r="C34" s="30">
        <v>2.4</v>
      </c>
      <c r="D34" s="29">
        <v>2.7</v>
      </c>
      <c r="E34" s="29">
        <v>3</v>
      </c>
      <c r="F34" s="29">
        <v>3.5</v>
      </c>
      <c r="G34" s="28">
        <v>3.1</v>
      </c>
      <c r="H34" s="32">
        <v>3.9</v>
      </c>
      <c r="I34" s="29">
        <v>4.3</v>
      </c>
      <c r="J34" s="29">
        <v>5.3</v>
      </c>
      <c r="K34" s="29">
        <v>5.2</v>
      </c>
      <c r="L34" s="31">
        <v>5.4</v>
      </c>
      <c r="M34" s="30">
        <v>7.7</v>
      </c>
      <c r="N34" s="29">
        <v>8.1</v>
      </c>
      <c r="O34" s="29">
        <v>9.1999999999999993</v>
      </c>
      <c r="P34" s="29">
        <v>9.5</v>
      </c>
      <c r="Q34" s="28">
        <v>9.6999999999999993</v>
      </c>
      <c r="R34" s="32">
        <v>11</v>
      </c>
      <c r="S34" s="29">
        <v>11.5</v>
      </c>
      <c r="T34" s="29">
        <v>12.5</v>
      </c>
      <c r="U34" s="29">
        <v>12.7</v>
      </c>
      <c r="V34" s="31">
        <v>13</v>
      </c>
      <c r="W34" s="30">
        <v>14.4</v>
      </c>
      <c r="X34" s="29">
        <v>13.9</v>
      </c>
      <c r="Y34" s="29">
        <v>15.5</v>
      </c>
      <c r="Z34" s="29">
        <v>15.2</v>
      </c>
      <c r="AA34" s="28">
        <v>15.6</v>
      </c>
      <c r="AB34" s="32">
        <v>14.7</v>
      </c>
      <c r="AC34" s="29">
        <v>14.6</v>
      </c>
      <c r="AD34" s="29">
        <v>15.4</v>
      </c>
      <c r="AE34" s="29">
        <v>15.2</v>
      </c>
      <c r="AF34" s="31">
        <v>16</v>
      </c>
      <c r="AG34" s="30">
        <v>17.2</v>
      </c>
      <c r="AH34" s="29">
        <v>16.8</v>
      </c>
      <c r="AI34" s="29">
        <v>19.100000000000001</v>
      </c>
      <c r="AJ34" s="29">
        <v>16.7</v>
      </c>
      <c r="AK34" s="28">
        <v>16.399999999999999</v>
      </c>
      <c r="AL34" s="32">
        <v>16</v>
      </c>
      <c r="AM34" s="29">
        <v>15.6</v>
      </c>
      <c r="AN34" s="29">
        <v>15.6</v>
      </c>
      <c r="AO34" s="29">
        <v>15.6</v>
      </c>
      <c r="AP34" s="31">
        <v>16</v>
      </c>
      <c r="AQ34" s="30">
        <v>16.3</v>
      </c>
      <c r="AR34" s="29">
        <v>15.5</v>
      </c>
      <c r="AS34" s="29">
        <v>17.100000000000001</v>
      </c>
      <c r="AT34" s="29">
        <v>16</v>
      </c>
      <c r="AU34" s="28">
        <v>15</v>
      </c>
    </row>
    <row r="35" spans="1:47" ht="15.75" thickBot="1" x14ac:dyDescent="0.3">
      <c r="A35" s="56"/>
      <c r="B35" s="55">
        <v>4</v>
      </c>
      <c r="C35" s="51">
        <v>3.1</v>
      </c>
      <c r="D35" s="50">
        <v>3.4</v>
      </c>
      <c r="E35" s="50">
        <v>2.9</v>
      </c>
      <c r="F35" s="50">
        <v>3.4</v>
      </c>
      <c r="G35" s="49">
        <v>3.2</v>
      </c>
      <c r="H35" s="53">
        <v>4.4000000000000004</v>
      </c>
      <c r="I35" s="50">
        <v>5.4</v>
      </c>
      <c r="J35" s="50">
        <v>4.5</v>
      </c>
      <c r="K35" s="50">
        <v>6.1</v>
      </c>
      <c r="L35" s="52">
        <v>5.3</v>
      </c>
      <c r="M35" s="51">
        <v>9.1</v>
      </c>
      <c r="N35" s="50">
        <v>10</v>
      </c>
      <c r="O35" s="50">
        <v>9.6999999999999993</v>
      </c>
      <c r="P35" s="50">
        <v>10.6</v>
      </c>
      <c r="Q35" s="49">
        <v>10.199999999999999</v>
      </c>
      <c r="R35" s="53">
        <v>11.8</v>
      </c>
      <c r="S35" s="50">
        <v>13</v>
      </c>
      <c r="T35" s="50">
        <v>13.1</v>
      </c>
      <c r="U35" s="50">
        <v>14</v>
      </c>
      <c r="V35" s="52">
        <v>13</v>
      </c>
      <c r="W35" s="51">
        <v>15.3</v>
      </c>
      <c r="X35" s="50">
        <v>14.1</v>
      </c>
      <c r="Y35" s="50">
        <v>15.4</v>
      </c>
      <c r="Z35" s="50">
        <v>15.3</v>
      </c>
      <c r="AA35" s="49">
        <v>15</v>
      </c>
      <c r="AB35" s="53">
        <v>16.399999999999999</v>
      </c>
      <c r="AC35" s="50">
        <v>16</v>
      </c>
      <c r="AD35" s="50">
        <v>15.7</v>
      </c>
      <c r="AE35" s="50">
        <v>16.100000000000001</v>
      </c>
      <c r="AF35" s="52">
        <v>16.600000000000001</v>
      </c>
      <c r="AG35" s="51">
        <v>17.2</v>
      </c>
      <c r="AH35" s="50">
        <v>16.100000000000001</v>
      </c>
      <c r="AI35" s="50">
        <v>14.8</v>
      </c>
      <c r="AJ35" s="50">
        <v>17.3</v>
      </c>
      <c r="AK35" s="49">
        <v>16.399999999999999</v>
      </c>
      <c r="AL35" s="53">
        <v>17</v>
      </c>
      <c r="AM35" s="50">
        <v>16.8</v>
      </c>
      <c r="AN35" s="50">
        <v>15.9</v>
      </c>
      <c r="AO35" s="50">
        <v>17.899999999999999</v>
      </c>
      <c r="AP35" s="52">
        <v>16.899999999999999</v>
      </c>
      <c r="AQ35" s="51">
        <v>16.899999999999999</v>
      </c>
      <c r="AR35" s="50">
        <v>17.100000000000001</v>
      </c>
      <c r="AS35" s="50">
        <v>15.2</v>
      </c>
      <c r="AT35" s="50">
        <v>18.5</v>
      </c>
      <c r="AU35" s="49">
        <v>16.7</v>
      </c>
    </row>
    <row r="36" spans="1:47" x14ac:dyDescent="0.25">
      <c r="A36" s="48" t="s">
        <v>32</v>
      </c>
      <c r="B36" s="47">
        <v>1</v>
      </c>
      <c r="C36" s="44">
        <v>2.9</v>
      </c>
      <c r="D36" s="43">
        <v>3.1</v>
      </c>
      <c r="E36" s="43">
        <v>3.1</v>
      </c>
      <c r="F36" s="43">
        <v>3.6</v>
      </c>
      <c r="G36" s="42">
        <v>2.5</v>
      </c>
      <c r="H36" s="46">
        <v>4.5</v>
      </c>
      <c r="I36" s="43">
        <v>4.7</v>
      </c>
      <c r="J36" s="43">
        <v>5.5</v>
      </c>
      <c r="K36" s="43">
        <v>5</v>
      </c>
      <c r="L36" s="45">
        <v>4.0999999999999996</v>
      </c>
      <c r="M36" s="44">
        <v>8.6</v>
      </c>
      <c r="N36" s="43">
        <v>8.6999999999999993</v>
      </c>
      <c r="O36" s="43">
        <v>10.3</v>
      </c>
      <c r="P36" s="43">
        <v>9.1999999999999993</v>
      </c>
      <c r="Q36" s="42">
        <v>8.9</v>
      </c>
      <c r="R36" s="46">
        <v>12</v>
      </c>
      <c r="S36" s="43">
        <v>11.4</v>
      </c>
      <c r="T36" s="43">
        <v>13</v>
      </c>
      <c r="U36" s="43">
        <v>13.6</v>
      </c>
      <c r="V36" s="45">
        <v>12</v>
      </c>
      <c r="W36" s="44">
        <v>18</v>
      </c>
      <c r="X36" s="43">
        <v>14.9</v>
      </c>
      <c r="Y36" s="43">
        <v>15.6</v>
      </c>
      <c r="Z36" s="43">
        <v>17.100000000000001</v>
      </c>
      <c r="AA36" s="42">
        <v>15</v>
      </c>
      <c r="AB36" s="46">
        <v>18.8</v>
      </c>
      <c r="AC36" s="43">
        <v>18</v>
      </c>
      <c r="AD36" s="43">
        <v>18.8</v>
      </c>
      <c r="AE36" s="43">
        <v>18.3</v>
      </c>
      <c r="AF36" s="45">
        <v>18</v>
      </c>
      <c r="AG36" s="44">
        <v>19.100000000000001</v>
      </c>
      <c r="AH36" s="43">
        <v>18.5</v>
      </c>
      <c r="AI36" s="43">
        <v>20.100000000000001</v>
      </c>
      <c r="AJ36" s="43">
        <v>18.399999999999999</v>
      </c>
      <c r="AK36" s="42">
        <v>19.600000000000001</v>
      </c>
      <c r="AL36" s="46">
        <v>18.8</v>
      </c>
      <c r="AM36" s="43">
        <v>18.899999999999999</v>
      </c>
      <c r="AN36" s="43">
        <v>20</v>
      </c>
      <c r="AO36" s="43">
        <v>18</v>
      </c>
      <c r="AP36" s="45">
        <v>19.5</v>
      </c>
      <c r="AQ36" s="44">
        <v>18.5</v>
      </c>
      <c r="AR36" s="43">
        <v>18.8</v>
      </c>
      <c r="AS36" s="43">
        <v>20</v>
      </c>
      <c r="AT36" s="43">
        <v>18.3</v>
      </c>
      <c r="AU36" s="42">
        <v>19.899999999999999</v>
      </c>
    </row>
    <row r="37" spans="1:47" x14ac:dyDescent="0.25">
      <c r="A37" s="34"/>
      <c r="B37" s="33">
        <v>2</v>
      </c>
      <c r="C37" s="30">
        <v>3.5</v>
      </c>
      <c r="D37" s="29">
        <v>2.7</v>
      </c>
      <c r="E37" s="29">
        <v>3</v>
      </c>
      <c r="F37" s="29">
        <v>3.4</v>
      </c>
      <c r="G37" s="28">
        <v>2.7</v>
      </c>
      <c r="H37" s="32">
        <v>5.4</v>
      </c>
      <c r="I37" s="29">
        <v>4.5999999999999996</v>
      </c>
      <c r="J37" s="29">
        <v>4.5999999999999996</v>
      </c>
      <c r="K37" s="29">
        <v>5.5</v>
      </c>
      <c r="L37" s="31">
        <v>4.8</v>
      </c>
      <c r="M37" s="30">
        <v>9.6</v>
      </c>
      <c r="N37" s="29">
        <v>8.6999999999999993</v>
      </c>
      <c r="O37" s="29">
        <v>8.1999999999999993</v>
      </c>
      <c r="P37" s="29">
        <v>9.8000000000000007</v>
      </c>
      <c r="Q37" s="28">
        <v>10</v>
      </c>
      <c r="R37" s="32">
        <v>12.1</v>
      </c>
      <c r="S37" s="29">
        <v>11.6</v>
      </c>
      <c r="T37" s="29">
        <v>11</v>
      </c>
      <c r="U37" s="29">
        <v>12.5</v>
      </c>
      <c r="V37" s="31">
        <v>12.6</v>
      </c>
      <c r="W37" s="30">
        <v>18.100000000000001</v>
      </c>
      <c r="X37" s="29">
        <v>14.5</v>
      </c>
      <c r="Y37" s="29">
        <v>13.9</v>
      </c>
      <c r="Z37" s="29">
        <v>15.4</v>
      </c>
      <c r="AA37" s="28">
        <v>15.5</v>
      </c>
      <c r="AB37" s="32">
        <v>17</v>
      </c>
      <c r="AC37" s="29">
        <v>15.4</v>
      </c>
      <c r="AD37" s="29">
        <v>15.7</v>
      </c>
      <c r="AE37" s="29">
        <v>16.5</v>
      </c>
      <c r="AF37" s="31">
        <v>18.8</v>
      </c>
      <c r="AG37" s="30">
        <v>18.5</v>
      </c>
      <c r="AH37" s="29">
        <v>16.5</v>
      </c>
      <c r="AI37" s="29">
        <v>17.100000000000001</v>
      </c>
      <c r="AJ37" s="29">
        <v>16.899999999999999</v>
      </c>
      <c r="AK37" s="28">
        <v>19.8</v>
      </c>
      <c r="AL37" s="32">
        <v>18.399999999999999</v>
      </c>
      <c r="AM37" s="29">
        <v>16.899999999999999</v>
      </c>
      <c r="AN37" s="29">
        <v>17.5</v>
      </c>
      <c r="AO37" s="29">
        <v>17.3</v>
      </c>
      <c r="AP37" s="31">
        <v>19.399999999999999</v>
      </c>
      <c r="AQ37" s="30">
        <v>18.5</v>
      </c>
      <c r="AR37" s="29">
        <v>16.899999999999999</v>
      </c>
      <c r="AS37" s="29">
        <v>17.7</v>
      </c>
      <c r="AT37" s="29">
        <v>17.5</v>
      </c>
      <c r="AU37" s="28">
        <v>20</v>
      </c>
    </row>
    <row r="38" spans="1:47" x14ac:dyDescent="0.25">
      <c r="A38" s="34"/>
      <c r="B38" s="33">
        <v>3</v>
      </c>
      <c r="C38" s="30">
        <v>3.7</v>
      </c>
      <c r="D38" s="29">
        <v>3.2</v>
      </c>
      <c r="E38" s="29">
        <v>2.6</v>
      </c>
      <c r="F38" s="29">
        <v>3</v>
      </c>
      <c r="G38" s="28">
        <v>3</v>
      </c>
      <c r="H38" s="32">
        <v>4.3</v>
      </c>
      <c r="I38" s="29">
        <v>5</v>
      </c>
      <c r="J38" s="29">
        <v>4</v>
      </c>
      <c r="K38" s="29">
        <v>5.2</v>
      </c>
      <c r="L38" s="31">
        <v>5</v>
      </c>
      <c r="M38" s="30">
        <v>8.5</v>
      </c>
      <c r="N38" s="29">
        <v>9.6</v>
      </c>
      <c r="O38" s="29">
        <v>7.8</v>
      </c>
      <c r="P38" s="29">
        <v>10</v>
      </c>
      <c r="Q38" s="28">
        <v>9.1</v>
      </c>
      <c r="R38" s="32">
        <v>11.6</v>
      </c>
      <c r="S38" s="29">
        <v>12.9</v>
      </c>
      <c r="T38" s="29">
        <v>10.5</v>
      </c>
      <c r="U38" s="29">
        <v>13</v>
      </c>
      <c r="V38" s="31">
        <v>12.1</v>
      </c>
      <c r="W38" s="30">
        <v>15</v>
      </c>
      <c r="X38" s="29">
        <v>15.6</v>
      </c>
      <c r="Y38" s="29">
        <v>14.3</v>
      </c>
      <c r="Z38" s="29">
        <v>15</v>
      </c>
      <c r="AA38" s="28">
        <v>14.1</v>
      </c>
      <c r="AB38" s="32">
        <v>17.3</v>
      </c>
      <c r="AC38" s="29">
        <v>18.399999999999999</v>
      </c>
      <c r="AD38" s="29">
        <v>17.7</v>
      </c>
      <c r="AE38" s="29">
        <v>16.899999999999999</v>
      </c>
      <c r="AF38" s="31">
        <v>17</v>
      </c>
      <c r="AG38" s="30">
        <v>18</v>
      </c>
      <c r="AH38" s="29">
        <v>19.899999999999999</v>
      </c>
      <c r="AI38" s="29">
        <v>18.600000000000001</v>
      </c>
      <c r="AJ38" s="29">
        <v>19.2</v>
      </c>
      <c r="AK38" s="28">
        <v>17.899999999999999</v>
      </c>
      <c r="AL38" s="32">
        <v>18.5</v>
      </c>
      <c r="AM38" s="29">
        <v>21.1</v>
      </c>
      <c r="AN38" s="29">
        <v>18.2</v>
      </c>
      <c r="AO38" s="29">
        <v>19.5</v>
      </c>
      <c r="AP38" s="31">
        <v>18.3</v>
      </c>
      <c r="AQ38" s="30">
        <v>18.5</v>
      </c>
      <c r="AR38" s="29">
        <v>21</v>
      </c>
      <c r="AS38" s="29">
        <v>19.5</v>
      </c>
      <c r="AT38" s="29">
        <v>21</v>
      </c>
      <c r="AU38" s="28">
        <v>19.5</v>
      </c>
    </row>
    <row r="39" spans="1:47" ht="15.75" thickBot="1" x14ac:dyDescent="0.3">
      <c r="A39" s="27"/>
      <c r="B39" s="26">
        <v>4</v>
      </c>
      <c r="C39" s="22">
        <v>3.1</v>
      </c>
      <c r="D39" s="21">
        <v>3.2</v>
      </c>
      <c r="E39" s="21">
        <v>3.5</v>
      </c>
      <c r="F39" s="21">
        <v>3</v>
      </c>
      <c r="G39" s="20">
        <v>3</v>
      </c>
      <c r="H39" s="24">
        <v>5.0999999999999996</v>
      </c>
      <c r="I39" s="21">
        <v>5.5</v>
      </c>
      <c r="J39" s="21">
        <v>5.2</v>
      </c>
      <c r="K39" s="21">
        <v>4.9000000000000004</v>
      </c>
      <c r="L39" s="23">
        <v>5</v>
      </c>
      <c r="M39" s="22">
        <v>9.1</v>
      </c>
      <c r="N39" s="21">
        <v>9.6</v>
      </c>
      <c r="O39" s="21">
        <v>10</v>
      </c>
      <c r="P39" s="21">
        <v>8.8000000000000007</v>
      </c>
      <c r="Q39" s="20">
        <v>10</v>
      </c>
      <c r="R39" s="24">
        <v>12</v>
      </c>
      <c r="S39" s="21">
        <v>13.5</v>
      </c>
      <c r="T39" s="21">
        <v>13.1</v>
      </c>
      <c r="U39" s="21">
        <v>12.5</v>
      </c>
      <c r="V39" s="23">
        <v>13.4</v>
      </c>
      <c r="W39" s="22">
        <v>16</v>
      </c>
      <c r="X39" s="21">
        <v>15.1</v>
      </c>
      <c r="Y39" s="21">
        <v>16</v>
      </c>
      <c r="Z39" s="21">
        <v>14.5</v>
      </c>
      <c r="AA39" s="20">
        <v>17</v>
      </c>
      <c r="AB39" s="24">
        <v>18.2</v>
      </c>
      <c r="AC39" s="21">
        <v>17.600000000000001</v>
      </c>
      <c r="AD39" s="21">
        <v>16.399999999999999</v>
      </c>
      <c r="AE39" s="21">
        <v>18.100000000000001</v>
      </c>
      <c r="AF39" s="23">
        <v>17.899999999999999</v>
      </c>
      <c r="AG39" s="22">
        <v>18.899999999999999</v>
      </c>
      <c r="AH39" s="21">
        <v>18.399999999999999</v>
      </c>
      <c r="AI39" s="21">
        <v>17.5</v>
      </c>
      <c r="AJ39" s="21">
        <v>18.7</v>
      </c>
      <c r="AK39" s="20">
        <v>19.7</v>
      </c>
      <c r="AL39" s="24">
        <v>19</v>
      </c>
      <c r="AM39" s="21">
        <v>18.8</v>
      </c>
      <c r="AN39" s="21">
        <v>17.899999999999999</v>
      </c>
      <c r="AO39" s="21">
        <v>20.6</v>
      </c>
      <c r="AP39" s="23">
        <v>18.600000000000001</v>
      </c>
      <c r="AQ39" s="22">
        <v>19.3</v>
      </c>
      <c r="AR39" s="21">
        <v>18.600000000000001</v>
      </c>
      <c r="AS39" s="21">
        <v>17.899999999999999</v>
      </c>
      <c r="AT39" s="21">
        <v>18.899999999999999</v>
      </c>
      <c r="AU39" s="20">
        <v>18.899999999999999</v>
      </c>
    </row>
    <row r="40" spans="1:47" x14ac:dyDescent="0.25">
      <c r="A40" s="41" t="s">
        <v>33</v>
      </c>
      <c r="B40" s="40">
        <v>1</v>
      </c>
      <c r="C40" s="37">
        <v>3.1</v>
      </c>
      <c r="D40" s="36">
        <v>2.8</v>
      </c>
      <c r="E40" s="36">
        <v>2.7</v>
      </c>
      <c r="F40" s="36">
        <v>3</v>
      </c>
      <c r="G40" s="35">
        <v>3.1</v>
      </c>
      <c r="H40" s="39">
        <v>5.2</v>
      </c>
      <c r="I40" s="36">
        <v>5</v>
      </c>
      <c r="J40" s="36">
        <v>4.5</v>
      </c>
      <c r="K40" s="36">
        <v>4.7</v>
      </c>
      <c r="L40" s="38">
        <v>5.5</v>
      </c>
      <c r="M40" s="37">
        <v>9.1</v>
      </c>
      <c r="N40" s="36">
        <v>9.5</v>
      </c>
      <c r="O40" s="36">
        <v>9</v>
      </c>
      <c r="P40" s="36">
        <v>9.1999999999999993</v>
      </c>
      <c r="Q40" s="35">
        <v>10.8</v>
      </c>
      <c r="R40" s="39">
        <v>12.2</v>
      </c>
      <c r="S40" s="36">
        <v>12.5</v>
      </c>
      <c r="T40" s="36">
        <v>11.5</v>
      </c>
      <c r="U40" s="36">
        <v>12.9</v>
      </c>
      <c r="V40" s="38">
        <v>13.9</v>
      </c>
      <c r="W40" s="37">
        <v>14.5</v>
      </c>
      <c r="X40" s="36">
        <v>15.5</v>
      </c>
      <c r="Y40" s="36">
        <v>14.6</v>
      </c>
      <c r="Z40" s="36">
        <v>16.100000000000001</v>
      </c>
      <c r="AA40" s="35">
        <v>17.8</v>
      </c>
      <c r="AB40" s="39">
        <v>17.899999999999999</v>
      </c>
      <c r="AC40" s="36">
        <v>18.399999999999999</v>
      </c>
      <c r="AD40" s="36">
        <v>17.2</v>
      </c>
      <c r="AE40" s="36">
        <v>18.399999999999999</v>
      </c>
      <c r="AF40" s="38">
        <v>18.899999999999999</v>
      </c>
      <c r="AG40" s="37">
        <v>18.100000000000001</v>
      </c>
      <c r="AH40" s="36">
        <v>20.100000000000001</v>
      </c>
      <c r="AI40" s="36">
        <v>18.2</v>
      </c>
      <c r="AJ40" s="36">
        <v>19.5</v>
      </c>
      <c r="AK40" s="35">
        <v>20.3</v>
      </c>
      <c r="AL40" s="57">
        <v>20</v>
      </c>
      <c r="AM40" s="36">
        <v>20.5</v>
      </c>
      <c r="AN40" s="36">
        <v>19.100000000000001</v>
      </c>
      <c r="AO40" s="36">
        <v>20.5</v>
      </c>
      <c r="AP40" s="38">
        <v>18.600000000000001</v>
      </c>
      <c r="AQ40" s="37">
        <v>19</v>
      </c>
      <c r="AR40" s="36">
        <v>20.5</v>
      </c>
      <c r="AS40" s="36">
        <v>18.5</v>
      </c>
      <c r="AT40" s="36">
        <v>19.7</v>
      </c>
      <c r="AU40" s="35">
        <v>18.3</v>
      </c>
    </row>
    <row r="41" spans="1:47" x14ac:dyDescent="0.25">
      <c r="A41" s="34"/>
      <c r="B41" s="33">
        <v>2</v>
      </c>
      <c r="C41" s="30">
        <v>3.5</v>
      </c>
      <c r="D41" s="29">
        <v>3.2</v>
      </c>
      <c r="E41" s="29">
        <v>3.3</v>
      </c>
      <c r="F41" s="29">
        <v>3.5</v>
      </c>
      <c r="G41" s="28">
        <v>3</v>
      </c>
      <c r="H41" s="32">
        <v>5.2</v>
      </c>
      <c r="I41" s="29">
        <v>4.7</v>
      </c>
      <c r="J41" s="29">
        <v>4.5999999999999996</v>
      </c>
      <c r="K41" s="29">
        <v>4.8</v>
      </c>
      <c r="L41" s="31">
        <v>5.2</v>
      </c>
      <c r="M41" s="30">
        <v>9.1999999999999993</v>
      </c>
      <c r="N41" s="29">
        <v>9.3000000000000007</v>
      </c>
      <c r="O41" s="29">
        <v>8.5</v>
      </c>
      <c r="P41" s="29">
        <v>8.6</v>
      </c>
      <c r="Q41" s="28">
        <v>9.9</v>
      </c>
      <c r="R41" s="32">
        <v>12</v>
      </c>
      <c r="S41" s="29">
        <v>12.5</v>
      </c>
      <c r="T41" s="29">
        <v>13.3</v>
      </c>
      <c r="U41" s="29">
        <v>12</v>
      </c>
      <c r="V41" s="31">
        <v>13</v>
      </c>
      <c r="W41" s="30">
        <v>15.4</v>
      </c>
      <c r="X41" s="29">
        <v>15.1</v>
      </c>
      <c r="Y41" s="29">
        <v>16.3</v>
      </c>
      <c r="Z41" s="29">
        <v>16.5</v>
      </c>
      <c r="AA41" s="28">
        <v>14.8</v>
      </c>
      <c r="AB41" s="32">
        <v>20.2</v>
      </c>
      <c r="AC41" s="29">
        <v>20.5</v>
      </c>
      <c r="AD41" s="29">
        <v>17.899999999999999</v>
      </c>
      <c r="AE41" s="29">
        <v>18.2</v>
      </c>
      <c r="AF41" s="31">
        <v>18.5</v>
      </c>
      <c r="AG41" s="30">
        <v>19.8</v>
      </c>
      <c r="AH41" s="29">
        <v>21</v>
      </c>
      <c r="AI41" s="29">
        <v>18.100000000000001</v>
      </c>
      <c r="AJ41" s="29">
        <v>18.2</v>
      </c>
      <c r="AK41" s="28">
        <v>18.899999999999999</v>
      </c>
      <c r="AL41" s="32">
        <v>20.8</v>
      </c>
      <c r="AM41" s="29">
        <v>21.2</v>
      </c>
      <c r="AN41" s="29">
        <v>18.5</v>
      </c>
      <c r="AO41" s="29">
        <v>19.899999999999999</v>
      </c>
      <c r="AP41" s="31">
        <v>19.5</v>
      </c>
      <c r="AQ41" s="30">
        <v>20.5</v>
      </c>
      <c r="AR41" s="29">
        <v>21</v>
      </c>
      <c r="AS41" s="29">
        <v>18.600000000000001</v>
      </c>
      <c r="AT41" s="29">
        <v>19.3</v>
      </c>
      <c r="AU41" s="28">
        <v>19</v>
      </c>
    </row>
    <row r="42" spans="1:47" x14ac:dyDescent="0.25">
      <c r="A42" s="34"/>
      <c r="B42" s="33">
        <v>3</v>
      </c>
      <c r="C42" s="30">
        <v>3.7</v>
      </c>
      <c r="D42" s="29">
        <v>2.5</v>
      </c>
      <c r="E42" s="29">
        <v>3.9</v>
      </c>
      <c r="F42" s="29">
        <v>3.1</v>
      </c>
      <c r="G42" s="28">
        <v>2.4</v>
      </c>
      <c r="H42" s="32">
        <v>5.4</v>
      </c>
      <c r="I42" s="29">
        <v>4</v>
      </c>
      <c r="J42" s="29">
        <v>5.9</v>
      </c>
      <c r="K42" s="29">
        <v>4.9000000000000004</v>
      </c>
      <c r="L42" s="31">
        <v>4.0999999999999996</v>
      </c>
      <c r="M42" s="30">
        <v>9.8000000000000007</v>
      </c>
      <c r="N42" s="29">
        <v>7.7</v>
      </c>
      <c r="O42" s="29">
        <v>9.8000000000000007</v>
      </c>
      <c r="P42" s="29">
        <v>9.3000000000000007</v>
      </c>
      <c r="Q42" s="28">
        <v>9.1</v>
      </c>
      <c r="R42" s="32">
        <v>12.9</v>
      </c>
      <c r="S42" s="29">
        <v>10.9</v>
      </c>
      <c r="T42" s="29">
        <v>13.3</v>
      </c>
      <c r="U42" s="29">
        <v>12.9</v>
      </c>
      <c r="V42" s="31">
        <v>13.2</v>
      </c>
      <c r="W42" s="30">
        <v>17.100000000000001</v>
      </c>
      <c r="X42" s="29">
        <v>14.1</v>
      </c>
      <c r="Y42" s="29">
        <v>18.2</v>
      </c>
      <c r="Z42" s="29">
        <v>17.100000000000001</v>
      </c>
      <c r="AA42" s="28">
        <v>15.5</v>
      </c>
      <c r="AB42" s="32">
        <v>19.600000000000001</v>
      </c>
      <c r="AC42" s="29">
        <v>17.899999999999999</v>
      </c>
      <c r="AD42" s="29">
        <v>18</v>
      </c>
      <c r="AE42" s="29">
        <v>19.100000000000001</v>
      </c>
      <c r="AF42" s="31">
        <v>18.100000000000001</v>
      </c>
      <c r="AG42" s="30">
        <v>19.7</v>
      </c>
      <c r="AH42" s="29">
        <v>18.899999999999999</v>
      </c>
      <c r="AI42" s="29">
        <v>18.3</v>
      </c>
      <c r="AJ42" s="29">
        <v>19.399999999999999</v>
      </c>
      <c r="AK42" s="28">
        <v>18.5</v>
      </c>
      <c r="AL42" s="32">
        <v>18.8</v>
      </c>
      <c r="AM42" s="29">
        <v>20.100000000000001</v>
      </c>
      <c r="AN42" s="29">
        <v>19</v>
      </c>
      <c r="AO42" s="29">
        <v>19.100000000000001</v>
      </c>
      <c r="AP42" s="31">
        <v>18.600000000000001</v>
      </c>
      <c r="AQ42" s="30">
        <v>20</v>
      </c>
      <c r="AR42" s="29">
        <v>18.8</v>
      </c>
      <c r="AS42" s="29">
        <v>19.600000000000001</v>
      </c>
      <c r="AT42" s="29">
        <v>19.5</v>
      </c>
      <c r="AU42" s="28">
        <v>19</v>
      </c>
    </row>
    <row r="43" spans="1:47" ht="15.75" thickBot="1" x14ac:dyDescent="0.3">
      <c r="A43" s="56"/>
      <c r="B43" s="55">
        <v>4</v>
      </c>
      <c r="C43" s="51">
        <v>3.1</v>
      </c>
      <c r="D43" s="50">
        <v>3.3</v>
      </c>
      <c r="E43" s="50">
        <v>2.8</v>
      </c>
      <c r="F43" s="50">
        <v>3.5</v>
      </c>
      <c r="G43" s="49">
        <v>3.5</v>
      </c>
      <c r="H43" s="53">
        <v>4.5</v>
      </c>
      <c r="I43" s="50">
        <v>5.2</v>
      </c>
      <c r="J43" s="50">
        <v>4.7</v>
      </c>
      <c r="K43" s="50">
        <v>5.7</v>
      </c>
      <c r="L43" s="52">
        <v>6</v>
      </c>
      <c r="M43" s="51">
        <v>8.4</v>
      </c>
      <c r="N43" s="50">
        <v>9.6999999999999993</v>
      </c>
      <c r="O43" s="50">
        <v>9.5</v>
      </c>
      <c r="P43" s="50">
        <v>10.3</v>
      </c>
      <c r="Q43" s="49">
        <v>10.199999999999999</v>
      </c>
      <c r="R43" s="53">
        <v>13</v>
      </c>
      <c r="S43" s="50">
        <v>12.5</v>
      </c>
      <c r="T43" s="50">
        <v>12.9</v>
      </c>
      <c r="U43" s="50">
        <v>13</v>
      </c>
      <c r="V43" s="52">
        <v>14.2</v>
      </c>
      <c r="W43" s="51">
        <v>16.899999999999999</v>
      </c>
      <c r="X43" s="50">
        <v>15.9</v>
      </c>
      <c r="Y43" s="50">
        <v>15.2</v>
      </c>
      <c r="Z43" s="50">
        <v>16</v>
      </c>
      <c r="AA43" s="49">
        <v>17.600000000000001</v>
      </c>
      <c r="AB43" s="54">
        <v>18.8</v>
      </c>
      <c r="AC43" s="50">
        <v>18.899999999999999</v>
      </c>
      <c r="AD43" s="50">
        <v>18.399999999999999</v>
      </c>
      <c r="AE43" s="50">
        <v>19</v>
      </c>
      <c r="AF43" s="52">
        <v>18.399999999999999</v>
      </c>
      <c r="AG43" s="51">
        <v>19.2</v>
      </c>
      <c r="AH43" s="50">
        <v>19</v>
      </c>
      <c r="AI43" s="50">
        <v>19.399999999999999</v>
      </c>
      <c r="AJ43" s="50">
        <v>20.399999999999999</v>
      </c>
      <c r="AK43" s="49">
        <v>19</v>
      </c>
      <c r="AL43" s="53">
        <v>18</v>
      </c>
      <c r="AM43" s="50">
        <v>19.600000000000001</v>
      </c>
      <c r="AN43" s="50">
        <v>19.5</v>
      </c>
      <c r="AO43" s="50">
        <v>20.2</v>
      </c>
      <c r="AP43" s="52">
        <v>19.600000000000001</v>
      </c>
      <c r="AQ43" s="51">
        <v>19.100000000000001</v>
      </c>
      <c r="AR43" s="50">
        <v>16.899999999999999</v>
      </c>
      <c r="AS43" s="50">
        <v>19.100000000000001</v>
      </c>
      <c r="AT43" s="50">
        <v>20.3</v>
      </c>
      <c r="AU43" s="49">
        <v>20.5</v>
      </c>
    </row>
    <row r="44" spans="1:47" x14ac:dyDescent="0.25">
      <c r="A44" s="48" t="s">
        <v>34</v>
      </c>
      <c r="B44" s="47">
        <v>1</v>
      </c>
      <c r="C44" s="44">
        <v>3</v>
      </c>
      <c r="D44" s="43">
        <v>2.6</v>
      </c>
      <c r="E44" s="43">
        <v>3.4</v>
      </c>
      <c r="F44" s="43">
        <v>3</v>
      </c>
      <c r="G44" s="42">
        <v>3.2</v>
      </c>
      <c r="H44" s="46">
        <v>4.9000000000000004</v>
      </c>
      <c r="I44" s="43">
        <v>4.5999999999999996</v>
      </c>
      <c r="J44" s="43">
        <v>6.5</v>
      </c>
      <c r="K44" s="43">
        <v>4.7</v>
      </c>
      <c r="L44" s="45">
        <v>5.2</v>
      </c>
      <c r="M44" s="44">
        <v>10.1</v>
      </c>
      <c r="N44" s="43">
        <v>8.8000000000000007</v>
      </c>
      <c r="O44" s="43">
        <v>9.3000000000000007</v>
      </c>
      <c r="P44" s="43">
        <v>9</v>
      </c>
      <c r="Q44" s="42">
        <v>9.6</v>
      </c>
      <c r="R44" s="46">
        <v>13.4</v>
      </c>
      <c r="S44" s="43">
        <v>12</v>
      </c>
      <c r="T44" s="43">
        <v>13</v>
      </c>
      <c r="U44" s="43">
        <v>13</v>
      </c>
      <c r="V44" s="45">
        <v>12.5</v>
      </c>
      <c r="W44" s="44">
        <v>15.1</v>
      </c>
      <c r="X44" s="43">
        <v>14.8</v>
      </c>
      <c r="Y44" s="43">
        <v>17</v>
      </c>
      <c r="Z44" s="43">
        <v>14.5</v>
      </c>
      <c r="AA44" s="42">
        <v>15.3</v>
      </c>
      <c r="AB44" s="46">
        <v>18.899999999999999</v>
      </c>
      <c r="AC44" s="43">
        <v>17.2</v>
      </c>
      <c r="AD44" s="43">
        <v>18.399999999999999</v>
      </c>
      <c r="AE44" s="43">
        <v>18.2</v>
      </c>
      <c r="AF44" s="45">
        <v>19.8</v>
      </c>
      <c r="AG44" s="44">
        <v>20.8</v>
      </c>
      <c r="AH44" s="43">
        <v>20.8</v>
      </c>
      <c r="AI44" s="43">
        <v>20.399999999999999</v>
      </c>
      <c r="AJ44" s="43">
        <v>20.6</v>
      </c>
      <c r="AK44" s="42">
        <v>21.1</v>
      </c>
      <c r="AL44" s="46">
        <v>21</v>
      </c>
      <c r="AM44" s="43">
        <v>21</v>
      </c>
      <c r="AN44" s="43">
        <v>20.3</v>
      </c>
      <c r="AO44" s="43">
        <v>21.5</v>
      </c>
      <c r="AP44" s="45">
        <v>21.4</v>
      </c>
      <c r="AQ44" s="44">
        <v>21</v>
      </c>
      <c r="AR44" s="43">
        <v>20.9</v>
      </c>
      <c r="AS44" s="43">
        <v>24</v>
      </c>
      <c r="AT44" s="43">
        <v>21.5</v>
      </c>
      <c r="AU44" s="42">
        <v>22</v>
      </c>
    </row>
    <row r="45" spans="1:47" x14ac:dyDescent="0.25">
      <c r="A45" s="34"/>
      <c r="B45" s="33">
        <v>2</v>
      </c>
      <c r="C45" s="30">
        <v>3.2</v>
      </c>
      <c r="D45" s="29">
        <v>2.1</v>
      </c>
      <c r="E45" s="29">
        <v>3.1</v>
      </c>
      <c r="F45" s="29">
        <v>3.6</v>
      </c>
      <c r="G45" s="28">
        <v>3.2</v>
      </c>
      <c r="H45" s="32">
        <v>4.8</v>
      </c>
      <c r="I45" s="29">
        <v>3.7</v>
      </c>
      <c r="J45" s="29">
        <v>4.9000000000000004</v>
      </c>
      <c r="K45" s="29">
        <v>4.9000000000000004</v>
      </c>
      <c r="L45" s="31">
        <v>5.0999999999999996</v>
      </c>
      <c r="M45" s="30">
        <v>8.1999999999999993</v>
      </c>
      <c r="N45" s="29">
        <v>8.3000000000000007</v>
      </c>
      <c r="O45" s="29">
        <v>9.1999999999999993</v>
      </c>
      <c r="P45" s="29">
        <v>8.8000000000000007</v>
      </c>
      <c r="Q45" s="28">
        <v>9.1</v>
      </c>
      <c r="R45" s="32">
        <v>12.5</v>
      </c>
      <c r="S45" s="29">
        <v>11.8</v>
      </c>
      <c r="T45" s="29">
        <v>12.2</v>
      </c>
      <c r="U45" s="29">
        <v>13</v>
      </c>
      <c r="V45" s="31">
        <v>11.5</v>
      </c>
      <c r="W45" s="30">
        <v>15.7</v>
      </c>
      <c r="X45" s="29">
        <v>13.3</v>
      </c>
      <c r="Y45" s="29">
        <v>15</v>
      </c>
      <c r="Z45" s="29">
        <v>15.1</v>
      </c>
      <c r="AA45" s="28">
        <v>17</v>
      </c>
      <c r="AB45" s="32">
        <v>18</v>
      </c>
      <c r="AC45" s="29">
        <v>15.2</v>
      </c>
      <c r="AD45" s="29">
        <v>17.399999999999999</v>
      </c>
      <c r="AE45" s="29">
        <v>16.100000000000001</v>
      </c>
      <c r="AF45" s="31">
        <v>19.5</v>
      </c>
      <c r="AG45" s="30">
        <v>19.399999999999999</v>
      </c>
      <c r="AH45" s="29">
        <v>19.899999999999999</v>
      </c>
      <c r="AI45" s="29">
        <v>20</v>
      </c>
      <c r="AJ45" s="29">
        <v>18.600000000000001</v>
      </c>
      <c r="AK45" s="28">
        <v>22.9</v>
      </c>
      <c r="AL45" s="32">
        <v>20.5</v>
      </c>
      <c r="AM45" s="29">
        <v>20</v>
      </c>
      <c r="AN45" s="29">
        <v>20.399999999999999</v>
      </c>
      <c r="AO45" s="29">
        <v>19.5</v>
      </c>
      <c r="AP45" s="31">
        <v>22.5</v>
      </c>
      <c r="AQ45" s="30">
        <v>19.8</v>
      </c>
      <c r="AR45" s="29">
        <v>20</v>
      </c>
      <c r="AS45" s="29">
        <v>19.7</v>
      </c>
      <c r="AT45" s="29">
        <v>19.600000000000001</v>
      </c>
      <c r="AU45" s="28">
        <v>22.5</v>
      </c>
    </row>
    <row r="46" spans="1:47" x14ac:dyDescent="0.25">
      <c r="A46" s="34"/>
      <c r="B46" s="33">
        <v>3</v>
      </c>
      <c r="C46" s="30">
        <v>2.6</v>
      </c>
      <c r="D46" s="29">
        <v>3</v>
      </c>
      <c r="E46" s="29">
        <v>3.2</v>
      </c>
      <c r="F46" s="29">
        <v>3.1</v>
      </c>
      <c r="G46" s="28">
        <v>3.5</v>
      </c>
      <c r="H46" s="32">
        <v>4.5</v>
      </c>
      <c r="I46" s="29">
        <v>4.7</v>
      </c>
      <c r="J46" s="29">
        <v>5</v>
      </c>
      <c r="K46" s="29">
        <v>4.9000000000000004</v>
      </c>
      <c r="L46" s="31">
        <v>5.3</v>
      </c>
      <c r="M46" s="30">
        <v>9.3000000000000007</v>
      </c>
      <c r="N46" s="29">
        <v>8.6999999999999993</v>
      </c>
      <c r="O46" s="29">
        <v>8.5</v>
      </c>
      <c r="P46" s="29">
        <v>8.8000000000000007</v>
      </c>
      <c r="Q46" s="28">
        <v>9</v>
      </c>
      <c r="R46" s="32">
        <v>12.8</v>
      </c>
      <c r="S46" s="29">
        <v>12.1</v>
      </c>
      <c r="T46" s="29">
        <v>11.3</v>
      </c>
      <c r="U46" s="29">
        <v>12.2</v>
      </c>
      <c r="V46" s="31">
        <v>12.2</v>
      </c>
      <c r="W46" s="30">
        <v>15.2</v>
      </c>
      <c r="X46" s="29">
        <v>16.100000000000001</v>
      </c>
      <c r="Y46" s="29">
        <v>17.100000000000001</v>
      </c>
      <c r="Z46" s="29">
        <v>15.7</v>
      </c>
      <c r="AA46" s="28">
        <v>16</v>
      </c>
      <c r="AB46" s="32">
        <v>18.399999999999999</v>
      </c>
      <c r="AC46" s="29">
        <v>19.3</v>
      </c>
      <c r="AD46" s="29">
        <v>19</v>
      </c>
      <c r="AE46" s="29">
        <v>18.3</v>
      </c>
      <c r="AF46" s="31">
        <v>17.600000000000001</v>
      </c>
      <c r="AG46" s="30">
        <v>22.8</v>
      </c>
      <c r="AH46" s="29">
        <v>20.3</v>
      </c>
      <c r="AI46" s="29">
        <v>19.899999999999999</v>
      </c>
      <c r="AJ46" s="29">
        <v>23.4</v>
      </c>
      <c r="AK46" s="28">
        <v>21.7</v>
      </c>
      <c r="AL46" s="32">
        <v>21.6</v>
      </c>
      <c r="AM46" s="29">
        <v>22</v>
      </c>
      <c r="AN46" s="29">
        <v>22</v>
      </c>
      <c r="AO46" s="29">
        <v>22.3</v>
      </c>
      <c r="AP46" s="31">
        <v>23</v>
      </c>
      <c r="AQ46" s="30">
        <v>24</v>
      </c>
      <c r="AR46" s="29">
        <v>23.8</v>
      </c>
      <c r="AS46" s="29">
        <v>22.2</v>
      </c>
      <c r="AT46" s="29">
        <v>22.4</v>
      </c>
      <c r="AU46" s="28">
        <v>23.1</v>
      </c>
    </row>
    <row r="47" spans="1:47" ht="15.75" thickBot="1" x14ac:dyDescent="0.3">
      <c r="A47" s="27"/>
      <c r="B47" s="26">
        <v>4</v>
      </c>
      <c r="C47" s="22">
        <v>3.5</v>
      </c>
      <c r="D47" s="21">
        <v>3.1</v>
      </c>
      <c r="E47" s="21">
        <v>3.5</v>
      </c>
      <c r="F47" s="21">
        <v>3.5</v>
      </c>
      <c r="G47" s="20">
        <v>3.6</v>
      </c>
      <c r="H47" s="24">
        <v>5.3</v>
      </c>
      <c r="I47" s="21">
        <v>4.7</v>
      </c>
      <c r="J47" s="21">
        <v>5.5</v>
      </c>
      <c r="K47" s="21">
        <v>5.3</v>
      </c>
      <c r="L47" s="23">
        <v>5.7</v>
      </c>
      <c r="M47" s="22">
        <v>9.1999999999999993</v>
      </c>
      <c r="N47" s="21">
        <v>8</v>
      </c>
      <c r="O47" s="21">
        <v>9.4</v>
      </c>
      <c r="P47" s="21">
        <v>8.9</v>
      </c>
      <c r="Q47" s="20">
        <v>10</v>
      </c>
      <c r="R47" s="24">
        <v>12</v>
      </c>
      <c r="S47" s="21">
        <v>11</v>
      </c>
      <c r="T47" s="21">
        <v>12.6</v>
      </c>
      <c r="U47" s="21">
        <v>12.4</v>
      </c>
      <c r="V47" s="23">
        <v>13.5</v>
      </c>
      <c r="W47" s="22">
        <v>13.6</v>
      </c>
      <c r="X47" s="21">
        <v>14.1</v>
      </c>
      <c r="Y47" s="21">
        <v>14.6</v>
      </c>
      <c r="Z47" s="21">
        <v>14.3</v>
      </c>
      <c r="AA47" s="20">
        <v>14.9</v>
      </c>
      <c r="AB47" s="24">
        <v>17.399999999999999</v>
      </c>
      <c r="AC47" s="21">
        <v>15.5</v>
      </c>
      <c r="AD47" s="21">
        <v>18</v>
      </c>
      <c r="AE47" s="21">
        <v>15.7</v>
      </c>
      <c r="AF47" s="23">
        <v>17.100000000000001</v>
      </c>
      <c r="AG47" s="22">
        <v>20</v>
      </c>
      <c r="AH47" s="21">
        <v>16.5</v>
      </c>
      <c r="AI47" s="21">
        <v>19.899999999999999</v>
      </c>
      <c r="AJ47" s="21">
        <v>16.399999999999999</v>
      </c>
      <c r="AK47" s="20">
        <v>20.100000000000001</v>
      </c>
      <c r="AL47" s="24">
        <v>19.5</v>
      </c>
      <c r="AM47" s="21">
        <v>17.399999999999999</v>
      </c>
      <c r="AN47" s="21">
        <v>20.5</v>
      </c>
      <c r="AO47" s="21">
        <v>17</v>
      </c>
      <c r="AP47" s="23">
        <v>20.100000000000001</v>
      </c>
      <c r="AQ47" s="22">
        <v>19.8</v>
      </c>
      <c r="AR47" s="21">
        <v>18</v>
      </c>
      <c r="AS47" s="21">
        <v>20.5</v>
      </c>
      <c r="AT47" s="21">
        <v>18</v>
      </c>
      <c r="AU47" s="20">
        <v>20.9</v>
      </c>
    </row>
    <row r="48" spans="1:47" x14ac:dyDescent="0.25">
      <c r="A48" s="48" t="s">
        <v>35</v>
      </c>
      <c r="B48" s="47">
        <v>1</v>
      </c>
      <c r="C48" s="44">
        <v>2.8</v>
      </c>
      <c r="D48" s="43">
        <v>2.9</v>
      </c>
      <c r="E48" s="43">
        <v>2.9</v>
      </c>
      <c r="F48" s="43">
        <v>2.8</v>
      </c>
      <c r="G48" s="42">
        <v>2.5</v>
      </c>
      <c r="H48" s="39">
        <v>4.5</v>
      </c>
      <c r="I48" s="36">
        <v>4.9000000000000004</v>
      </c>
      <c r="J48" s="36">
        <v>4.3</v>
      </c>
      <c r="K48" s="36">
        <v>4.5999999999999996</v>
      </c>
      <c r="L48" s="38">
        <v>4.3</v>
      </c>
      <c r="M48" s="37">
        <v>9.8000000000000007</v>
      </c>
      <c r="N48" s="36">
        <v>9.1999999999999993</v>
      </c>
      <c r="O48" s="36">
        <v>9.1</v>
      </c>
      <c r="P48" s="36">
        <v>9.1999999999999993</v>
      </c>
      <c r="Q48" s="35">
        <v>8.5</v>
      </c>
      <c r="R48" s="39">
        <v>12.9</v>
      </c>
      <c r="S48" s="36">
        <v>12</v>
      </c>
      <c r="T48" s="36">
        <v>11.8</v>
      </c>
      <c r="U48" s="36">
        <v>12.5</v>
      </c>
      <c r="V48" s="38">
        <v>12.2</v>
      </c>
      <c r="W48" s="37">
        <v>15.5</v>
      </c>
      <c r="X48" s="36">
        <v>13.6</v>
      </c>
      <c r="Y48" s="36">
        <v>14.9</v>
      </c>
      <c r="Z48" s="36">
        <v>15.7</v>
      </c>
      <c r="AA48" s="35">
        <v>15.6</v>
      </c>
      <c r="AB48" s="39">
        <v>17.5</v>
      </c>
      <c r="AC48" s="36">
        <v>18.5</v>
      </c>
      <c r="AD48" s="36">
        <v>17.600000000000001</v>
      </c>
      <c r="AE48" s="36">
        <v>19.5</v>
      </c>
      <c r="AF48" s="38">
        <v>18</v>
      </c>
      <c r="AG48" s="37">
        <v>20.399999999999999</v>
      </c>
      <c r="AH48" s="36">
        <v>20.7</v>
      </c>
      <c r="AI48" s="36">
        <v>23.6</v>
      </c>
      <c r="AJ48" s="36">
        <v>22.9</v>
      </c>
      <c r="AK48" s="35">
        <v>23</v>
      </c>
      <c r="AL48" s="39">
        <v>20.6</v>
      </c>
      <c r="AM48" s="36">
        <v>21.4</v>
      </c>
      <c r="AN48" s="36">
        <v>23.5</v>
      </c>
      <c r="AO48" s="36">
        <v>23.1</v>
      </c>
      <c r="AP48" s="38">
        <v>23</v>
      </c>
      <c r="AQ48" s="37">
        <v>21</v>
      </c>
      <c r="AR48" s="36">
        <v>21.2</v>
      </c>
      <c r="AS48" s="36">
        <v>23.9</v>
      </c>
      <c r="AT48" s="36">
        <v>23.5</v>
      </c>
      <c r="AU48" s="35">
        <v>22.7</v>
      </c>
    </row>
    <row r="49" spans="1:47" x14ac:dyDescent="0.25">
      <c r="A49" s="34"/>
      <c r="B49" s="33">
        <v>2</v>
      </c>
      <c r="C49" s="30">
        <v>3.1</v>
      </c>
      <c r="D49" s="29">
        <v>1.5</v>
      </c>
      <c r="E49" s="29">
        <v>1</v>
      </c>
      <c r="F49" s="29">
        <v>3.5</v>
      </c>
      <c r="G49" s="28">
        <v>3</v>
      </c>
      <c r="H49" s="32">
        <v>5</v>
      </c>
      <c r="I49" s="29" t="s">
        <v>18</v>
      </c>
      <c r="J49" s="29" t="s">
        <v>18</v>
      </c>
      <c r="K49" s="29">
        <v>4.9000000000000004</v>
      </c>
      <c r="L49" s="31">
        <v>4.5999999999999996</v>
      </c>
      <c r="M49" s="30">
        <v>8.5</v>
      </c>
      <c r="N49" s="29" t="s">
        <v>18</v>
      </c>
      <c r="O49" s="29" t="s">
        <v>18</v>
      </c>
      <c r="P49" s="29">
        <v>9.1</v>
      </c>
      <c r="Q49" s="28">
        <v>8.8000000000000007</v>
      </c>
      <c r="R49" s="32">
        <v>12.1</v>
      </c>
      <c r="S49" s="29" t="s">
        <v>18</v>
      </c>
      <c r="T49" s="29" t="s">
        <v>18</v>
      </c>
      <c r="U49" s="29">
        <v>12</v>
      </c>
      <c r="V49" s="31">
        <v>11</v>
      </c>
      <c r="W49" s="30">
        <v>16</v>
      </c>
      <c r="X49" s="29" t="s">
        <v>18</v>
      </c>
      <c r="Y49" s="29" t="s">
        <v>18</v>
      </c>
      <c r="Z49" s="29">
        <v>14.9</v>
      </c>
      <c r="AA49" s="28">
        <v>15.3</v>
      </c>
      <c r="AB49" s="32">
        <v>20.7</v>
      </c>
      <c r="AC49" s="29">
        <v>10.6</v>
      </c>
      <c r="AD49" s="29">
        <v>8</v>
      </c>
      <c r="AE49" s="29">
        <v>19.7</v>
      </c>
      <c r="AF49" s="31">
        <v>19.600000000000001</v>
      </c>
      <c r="AG49" s="30">
        <v>21.1</v>
      </c>
      <c r="AH49" s="29">
        <v>12.9</v>
      </c>
      <c r="AI49" s="29">
        <v>8.4</v>
      </c>
      <c r="AJ49" s="29">
        <v>20.5</v>
      </c>
      <c r="AK49" s="28">
        <v>21.7</v>
      </c>
      <c r="AL49" s="32">
        <v>22.9</v>
      </c>
      <c r="AM49" s="29">
        <v>13</v>
      </c>
      <c r="AN49" s="29" t="s">
        <v>18</v>
      </c>
      <c r="AO49" s="29">
        <v>22.5</v>
      </c>
      <c r="AP49" s="31">
        <v>23.5</v>
      </c>
      <c r="AQ49" s="30">
        <v>23</v>
      </c>
      <c r="AR49" s="29">
        <v>14.5</v>
      </c>
      <c r="AS49" s="29">
        <v>8.5</v>
      </c>
      <c r="AT49" s="29">
        <v>23.5</v>
      </c>
      <c r="AU49" s="28">
        <v>23.9</v>
      </c>
    </row>
    <row r="50" spans="1:47" x14ac:dyDescent="0.25">
      <c r="A50" s="34"/>
      <c r="B50" s="33">
        <v>3</v>
      </c>
      <c r="C50" s="30">
        <v>2.5</v>
      </c>
      <c r="D50" s="29">
        <v>3</v>
      </c>
      <c r="E50" s="29">
        <v>3.4</v>
      </c>
      <c r="F50" s="29">
        <v>2.7</v>
      </c>
      <c r="G50" s="28">
        <v>3</v>
      </c>
      <c r="H50" s="32">
        <v>3.7</v>
      </c>
      <c r="I50" s="29">
        <v>4.4000000000000004</v>
      </c>
      <c r="J50" s="29">
        <v>5.0999999999999996</v>
      </c>
      <c r="K50" s="29">
        <v>4.5</v>
      </c>
      <c r="L50" s="31">
        <v>4.4000000000000004</v>
      </c>
      <c r="M50" s="30">
        <v>7.1</v>
      </c>
      <c r="N50" s="29">
        <v>7.7</v>
      </c>
      <c r="O50" s="29">
        <v>8.8000000000000007</v>
      </c>
      <c r="P50" s="29">
        <v>9.1999999999999993</v>
      </c>
      <c r="Q50" s="28">
        <v>8.1999999999999993</v>
      </c>
      <c r="R50" s="32">
        <v>10.8</v>
      </c>
      <c r="S50" s="29">
        <v>11</v>
      </c>
      <c r="T50" s="29">
        <v>12.1</v>
      </c>
      <c r="U50" s="29">
        <v>13.1</v>
      </c>
      <c r="V50" s="31">
        <v>11.5</v>
      </c>
      <c r="W50" s="30">
        <v>14</v>
      </c>
      <c r="X50" s="29">
        <v>15.1</v>
      </c>
      <c r="Y50" s="29">
        <v>16.399999999999999</v>
      </c>
      <c r="Z50" s="29">
        <v>15.5</v>
      </c>
      <c r="AA50" s="28">
        <v>14.5</v>
      </c>
      <c r="AB50" s="32">
        <v>17.8</v>
      </c>
      <c r="AC50" s="29">
        <v>18</v>
      </c>
      <c r="AD50" s="29">
        <v>20.3</v>
      </c>
      <c r="AE50" s="29">
        <v>18</v>
      </c>
      <c r="AF50" s="31">
        <v>18.899999999999999</v>
      </c>
      <c r="AG50" s="30">
        <v>20.3</v>
      </c>
      <c r="AH50" s="29">
        <v>21.6</v>
      </c>
      <c r="AI50" s="29">
        <v>22.1</v>
      </c>
      <c r="AJ50" s="29">
        <v>23.5</v>
      </c>
      <c r="AK50" s="28">
        <v>22.2</v>
      </c>
      <c r="AL50" s="32">
        <v>20.6</v>
      </c>
      <c r="AM50" s="29">
        <v>22.5</v>
      </c>
      <c r="AN50" s="29">
        <v>22.2</v>
      </c>
      <c r="AO50" s="29">
        <v>23.2</v>
      </c>
      <c r="AP50" s="31">
        <v>22.7</v>
      </c>
      <c r="AQ50" s="30">
        <v>20.8</v>
      </c>
      <c r="AR50" s="29">
        <v>22.8</v>
      </c>
      <c r="AS50" s="29">
        <v>22.3</v>
      </c>
      <c r="AT50" s="29">
        <v>24</v>
      </c>
      <c r="AU50" s="28">
        <v>26.1</v>
      </c>
    </row>
    <row r="51" spans="1:47" ht="15.75" thickBot="1" x14ac:dyDescent="0.3">
      <c r="A51" s="27"/>
      <c r="B51" s="26">
        <v>4</v>
      </c>
      <c r="C51" s="22">
        <v>3</v>
      </c>
      <c r="D51" s="21">
        <v>3.6</v>
      </c>
      <c r="E51" s="21">
        <v>3.2</v>
      </c>
      <c r="F51" s="21">
        <v>3.4</v>
      </c>
      <c r="G51" s="20">
        <v>3.5</v>
      </c>
      <c r="H51" s="24">
        <v>4.5999999999999996</v>
      </c>
      <c r="I51" s="21">
        <v>4.8</v>
      </c>
      <c r="J51" s="21">
        <v>4.5999999999999996</v>
      </c>
      <c r="K51" s="21">
        <v>4.7</v>
      </c>
      <c r="L51" s="23">
        <v>5</v>
      </c>
      <c r="M51" s="22">
        <v>8.6</v>
      </c>
      <c r="N51" s="21">
        <v>9.1999999999999993</v>
      </c>
      <c r="O51" s="21">
        <v>9</v>
      </c>
      <c r="P51" s="21">
        <v>8.6</v>
      </c>
      <c r="Q51" s="20">
        <v>8.5</v>
      </c>
      <c r="R51" s="24">
        <v>12.1</v>
      </c>
      <c r="S51" s="21">
        <v>11.9</v>
      </c>
      <c r="T51" s="21">
        <v>12.1</v>
      </c>
      <c r="U51" s="21">
        <v>11.5</v>
      </c>
      <c r="V51" s="23">
        <v>12.9</v>
      </c>
      <c r="W51" s="22">
        <v>14</v>
      </c>
      <c r="X51" s="21">
        <v>12.5</v>
      </c>
      <c r="Y51" s="21">
        <v>15</v>
      </c>
      <c r="Z51" s="21">
        <v>15</v>
      </c>
      <c r="AA51" s="20">
        <v>16.2</v>
      </c>
      <c r="AB51" s="25">
        <v>19.100000000000001</v>
      </c>
      <c r="AC51" s="21">
        <v>16.8</v>
      </c>
      <c r="AD51" s="21">
        <v>20.399999999999999</v>
      </c>
      <c r="AE51" s="21">
        <v>18.100000000000001</v>
      </c>
      <c r="AF51" s="23">
        <v>20.2</v>
      </c>
      <c r="AG51" s="22">
        <v>17.5</v>
      </c>
      <c r="AH51" s="21">
        <v>18.899999999999999</v>
      </c>
      <c r="AI51" s="21">
        <v>22</v>
      </c>
      <c r="AJ51" s="21">
        <v>21.8</v>
      </c>
      <c r="AK51" s="20">
        <v>21.6</v>
      </c>
      <c r="AL51" s="24">
        <v>22.5</v>
      </c>
      <c r="AM51" s="21">
        <v>19.5</v>
      </c>
      <c r="AN51" s="21">
        <v>22.3</v>
      </c>
      <c r="AO51" s="21">
        <v>22</v>
      </c>
      <c r="AP51" s="23">
        <v>26</v>
      </c>
      <c r="AQ51" s="22">
        <v>24.1</v>
      </c>
      <c r="AR51" s="21">
        <v>21.6</v>
      </c>
      <c r="AS51" s="21">
        <v>23.5</v>
      </c>
      <c r="AT51" s="21">
        <v>22</v>
      </c>
      <c r="AU51" s="20">
        <v>27</v>
      </c>
    </row>
    <row r="52" spans="1:47" ht="15.75" thickBot="1" x14ac:dyDescent="0.3"/>
    <row r="53" spans="1:47" ht="15.75" thickBot="1" x14ac:dyDescent="0.3">
      <c r="A53" s="48"/>
      <c r="B53" s="47"/>
      <c r="C53" s="72">
        <v>44649</v>
      </c>
      <c r="D53" s="73"/>
      <c r="E53" s="73"/>
      <c r="F53" s="73"/>
      <c r="G53" s="74"/>
      <c r="H53" s="75">
        <v>44652</v>
      </c>
      <c r="I53" s="73"/>
      <c r="J53" s="73"/>
      <c r="K53" s="73"/>
      <c r="L53" s="76"/>
      <c r="M53" s="72">
        <v>44656</v>
      </c>
      <c r="N53" s="73"/>
      <c r="O53" s="73"/>
      <c r="P53" s="73"/>
      <c r="Q53" s="74"/>
      <c r="R53" s="75">
        <v>44659</v>
      </c>
      <c r="S53" s="73"/>
      <c r="T53" s="73"/>
      <c r="U53" s="73"/>
      <c r="V53" s="76"/>
      <c r="W53" s="72">
        <v>44662</v>
      </c>
      <c r="X53" s="73"/>
      <c r="Y53" s="73"/>
      <c r="Z53" s="73"/>
      <c r="AA53" s="74"/>
      <c r="AB53" s="75">
        <v>44665</v>
      </c>
      <c r="AC53" s="73"/>
      <c r="AD53" s="73"/>
      <c r="AE53" s="73"/>
      <c r="AF53" s="76"/>
      <c r="AG53" s="72">
        <v>44670</v>
      </c>
      <c r="AH53" s="73"/>
      <c r="AI53" s="73"/>
      <c r="AJ53" s="73"/>
      <c r="AK53" s="74"/>
      <c r="AL53" s="75">
        <v>44673</v>
      </c>
      <c r="AM53" s="73"/>
      <c r="AN53" s="73"/>
      <c r="AO53" s="73"/>
      <c r="AP53" s="76"/>
      <c r="AQ53" s="72">
        <v>44676</v>
      </c>
      <c r="AR53" s="73"/>
      <c r="AS53" s="73"/>
      <c r="AT53" s="73"/>
      <c r="AU53" s="74"/>
    </row>
    <row r="54" spans="1:47" ht="15.75" thickBot="1" x14ac:dyDescent="0.3">
      <c r="A54" s="56" t="s">
        <v>22</v>
      </c>
      <c r="B54" s="55" t="s">
        <v>23</v>
      </c>
      <c r="C54" s="19" t="s">
        <v>17</v>
      </c>
      <c r="D54" s="12"/>
      <c r="E54" s="12" t="s">
        <v>16</v>
      </c>
      <c r="F54" s="11" t="s">
        <v>15</v>
      </c>
      <c r="H54" s="19" t="s">
        <v>17</v>
      </c>
      <c r="I54" s="12"/>
      <c r="J54" s="12" t="s">
        <v>16</v>
      </c>
      <c r="K54" s="11" t="s">
        <v>15</v>
      </c>
      <c r="M54" s="19" t="s">
        <v>17</v>
      </c>
      <c r="N54" s="12"/>
      <c r="O54" s="12" t="s">
        <v>16</v>
      </c>
      <c r="P54" s="11" t="s">
        <v>15</v>
      </c>
      <c r="R54" s="19" t="s">
        <v>17</v>
      </c>
      <c r="S54" s="12"/>
      <c r="T54" s="12" t="s">
        <v>16</v>
      </c>
      <c r="U54" s="11" t="s">
        <v>15</v>
      </c>
      <c r="W54" s="19" t="s">
        <v>17</v>
      </c>
      <c r="X54" s="12"/>
      <c r="Y54" s="12" t="s">
        <v>16</v>
      </c>
      <c r="Z54" s="11" t="s">
        <v>15</v>
      </c>
      <c r="AB54" s="19" t="s">
        <v>17</v>
      </c>
      <c r="AC54" s="12"/>
      <c r="AD54" s="12" t="s">
        <v>16</v>
      </c>
      <c r="AE54" s="11" t="s">
        <v>15</v>
      </c>
      <c r="AG54" s="19" t="s">
        <v>17</v>
      </c>
      <c r="AH54" s="12"/>
      <c r="AI54" s="12" t="s">
        <v>16</v>
      </c>
      <c r="AJ54" s="11" t="s">
        <v>15</v>
      </c>
      <c r="AL54" s="19" t="s">
        <v>17</v>
      </c>
      <c r="AM54" s="12"/>
      <c r="AN54" s="12" t="s">
        <v>16</v>
      </c>
      <c r="AO54" s="11" t="s">
        <v>15</v>
      </c>
      <c r="AQ54" s="19" t="s">
        <v>17</v>
      </c>
      <c r="AR54" s="12"/>
      <c r="AS54" s="12" t="s">
        <v>16</v>
      </c>
      <c r="AT54" s="11" t="s">
        <v>15</v>
      </c>
    </row>
    <row r="55" spans="1:47" x14ac:dyDescent="0.25">
      <c r="A55" s="48" t="s">
        <v>24</v>
      </c>
      <c r="B55" s="47">
        <v>1</v>
      </c>
      <c r="C55" s="10">
        <f t="shared" ref="C55:C102" si="0">AVERAGE(C4:G4)</f>
        <v>4.5</v>
      </c>
      <c r="E55">
        <f>AVERAGE(C4:G7)</f>
        <v>4.67</v>
      </c>
      <c r="F55" s="6">
        <f>_xlfn.STDEV.P(C55:C58)</f>
        <v>0.28442925306655797</v>
      </c>
      <c r="H55" s="10">
        <f t="shared" ref="H55:H102" si="1">AVERAGE(H4:L4)</f>
        <v>6.419999999999999</v>
      </c>
      <c r="J55">
        <f>AVERAGE(H4:L7)</f>
        <v>7.0699999999999985</v>
      </c>
      <c r="K55" s="6">
        <f>_xlfn.STDEV.P(H55:H58)</f>
        <v>0.44011362169330837</v>
      </c>
      <c r="M55" s="10">
        <f t="shared" ref="M55:M102" si="2">AVERAGE(M4:Q4)</f>
        <v>12.14</v>
      </c>
      <c r="O55">
        <f>AVERAGE(M4:Q7)</f>
        <v>11.989999999999998</v>
      </c>
      <c r="P55" s="6">
        <f>_xlfn.STDEV.P(M55:M58)</f>
        <v>0.30149626863362683</v>
      </c>
      <c r="R55" s="10">
        <f t="shared" ref="R55:R102" si="3">AVERAGE(R4:V4)</f>
        <v>14.6</v>
      </c>
      <c r="T55">
        <f>AVERAGE(R4:V7)</f>
        <v>14.769999999999996</v>
      </c>
      <c r="U55" s="6">
        <f>_xlfn.STDEV.P(R55:R58)</f>
        <v>0.64845971347493847</v>
      </c>
      <c r="W55" s="10">
        <f t="shared" ref="W55:W102" si="4">AVERAGE(W4:AA4)</f>
        <v>16.399999999999999</v>
      </c>
      <c r="Y55">
        <f>AVERAGE(W4:AA7)</f>
        <v>16.559999999999999</v>
      </c>
      <c r="Z55" s="6">
        <f>_xlfn.STDEV.P(W55:W58)</f>
        <v>0.51088159097779273</v>
      </c>
      <c r="AB55" s="10">
        <f t="shared" ref="AB55:AB102" si="5">AVERAGE(AB4:AF4)</f>
        <v>16.86</v>
      </c>
      <c r="AD55">
        <f>AVERAGE(AB4:AF7)</f>
        <v>16.97</v>
      </c>
      <c r="AE55" s="6">
        <f>_xlfn.STDEV.P(AB55:AB58)</f>
        <v>0.26551836094703468</v>
      </c>
      <c r="AG55" s="10">
        <f t="shared" ref="AG55:AG102" si="6">AVERAGE(AG4:AK4)</f>
        <v>17.119999999999997</v>
      </c>
      <c r="AI55">
        <f>AVERAGE(AG4:AK7)</f>
        <v>17.225000000000001</v>
      </c>
      <c r="AJ55" s="6">
        <f>_xlfn.STDEV.P(AG55:AG58)</f>
        <v>0.42293616539614987</v>
      </c>
      <c r="AL55" s="10">
        <f t="shared" ref="AL55:AL102" si="7">AVERAGE(AL4:AP4)</f>
        <v>16.899999999999999</v>
      </c>
      <c r="AN55">
        <f>AVERAGE(AL4:AP7)</f>
        <v>17.400000000000002</v>
      </c>
      <c r="AO55" s="6">
        <f>_xlfn.STDEV.P(AL55:AL58)</f>
        <v>0.5651548460377932</v>
      </c>
      <c r="AQ55" s="10">
        <f t="shared" ref="AQ55:AQ102" si="8">AVERAGE(AQ4:AU4)</f>
        <v>17.3</v>
      </c>
      <c r="AS55">
        <f>AVERAGE(AQ4:AU7)</f>
        <v>17.420000000000002</v>
      </c>
      <c r="AT55" s="6">
        <f>_xlfn.STDEV.P(AQ55:AQ58)</f>
        <v>0.48394214530251423</v>
      </c>
    </row>
    <row r="56" spans="1:47" x14ac:dyDescent="0.25">
      <c r="A56" s="34"/>
      <c r="B56" s="33">
        <v>2</v>
      </c>
      <c r="C56" s="10">
        <f t="shared" si="0"/>
        <v>5.1400000000000006</v>
      </c>
      <c r="E56" s="9"/>
      <c r="F56" s="6"/>
      <c r="H56" s="10">
        <f t="shared" si="1"/>
        <v>7.5400000000000009</v>
      </c>
      <c r="J56" s="9"/>
      <c r="K56" s="6"/>
      <c r="M56" s="10">
        <f t="shared" si="2"/>
        <v>12.079999999999998</v>
      </c>
      <c r="O56" s="9"/>
      <c r="P56" s="6"/>
      <c r="R56" s="10">
        <f t="shared" si="3"/>
        <v>15.36</v>
      </c>
      <c r="T56" s="9"/>
      <c r="U56" s="6"/>
      <c r="W56" s="10">
        <f t="shared" si="4"/>
        <v>17.34</v>
      </c>
      <c r="Y56" s="9"/>
      <c r="Z56" s="6"/>
      <c r="AB56" s="10">
        <f t="shared" si="5"/>
        <v>17.399999999999999</v>
      </c>
      <c r="AD56" s="9"/>
      <c r="AE56" s="6"/>
      <c r="AG56" s="10">
        <f t="shared" si="6"/>
        <v>17.54</v>
      </c>
      <c r="AI56" s="9"/>
      <c r="AJ56" s="6"/>
      <c r="AL56" s="10">
        <f t="shared" si="7"/>
        <v>18.360000000000003</v>
      </c>
      <c r="AN56" s="9"/>
      <c r="AO56" s="6"/>
      <c r="AQ56" s="10">
        <f t="shared" si="8"/>
        <v>18.239999999999998</v>
      </c>
      <c r="AS56" s="9"/>
      <c r="AT56" s="6"/>
    </row>
    <row r="57" spans="1:47" x14ac:dyDescent="0.25">
      <c r="A57" s="34"/>
      <c r="B57" s="33">
        <v>3</v>
      </c>
      <c r="C57" s="10">
        <f t="shared" si="0"/>
        <v>4.6400000000000006</v>
      </c>
      <c r="F57" s="6"/>
      <c r="H57" s="10">
        <f t="shared" si="1"/>
        <v>7.4</v>
      </c>
      <c r="K57" s="6"/>
      <c r="M57" s="10">
        <f t="shared" si="2"/>
        <v>12.260000000000002</v>
      </c>
      <c r="P57" s="6"/>
      <c r="R57" s="10">
        <f t="shared" si="3"/>
        <v>15.34</v>
      </c>
      <c r="U57" s="6"/>
      <c r="W57" s="10">
        <f t="shared" si="4"/>
        <v>16.580000000000002</v>
      </c>
      <c r="Z57" s="6"/>
      <c r="AB57" s="10">
        <f t="shared" si="5"/>
        <v>16.939999999999998</v>
      </c>
      <c r="AE57" s="6"/>
      <c r="AG57" s="10">
        <f t="shared" si="6"/>
        <v>17.66</v>
      </c>
      <c r="AJ57" s="6"/>
      <c r="AL57" s="10">
        <f t="shared" si="7"/>
        <v>17.16</v>
      </c>
      <c r="AO57" s="6"/>
      <c r="AQ57" s="10">
        <f t="shared" si="8"/>
        <v>17.119999999999997</v>
      </c>
      <c r="AT57" s="6"/>
    </row>
    <row r="58" spans="1:47" ht="15.75" thickBot="1" x14ac:dyDescent="0.3">
      <c r="A58" s="27"/>
      <c r="B58" s="26">
        <v>4</v>
      </c>
      <c r="C58" s="10">
        <f t="shared" si="0"/>
        <v>4.4000000000000004</v>
      </c>
      <c r="F58" s="6"/>
      <c r="H58" s="10">
        <f t="shared" si="1"/>
        <v>6.92</v>
      </c>
      <c r="K58" s="6"/>
      <c r="M58" s="10">
        <f t="shared" si="2"/>
        <v>11.48</v>
      </c>
      <c r="P58" s="6"/>
      <c r="R58" s="10">
        <f t="shared" si="3"/>
        <v>13.780000000000001</v>
      </c>
      <c r="U58" s="6"/>
      <c r="W58" s="10">
        <f t="shared" si="4"/>
        <v>15.919999999999998</v>
      </c>
      <c r="Z58" s="6"/>
      <c r="AB58" s="10">
        <f t="shared" si="5"/>
        <v>16.68</v>
      </c>
      <c r="AE58" s="6"/>
      <c r="AG58" s="10">
        <f t="shared" si="6"/>
        <v>16.580000000000002</v>
      </c>
      <c r="AJ58" s="6"/>
      <c r="AL58" s="10">
        <f t="shared" si="7"/>
        <v>17.18</v>
      </c>
      <c r="AO58" s="6"/>
      <c r="AQ58" s="10">
        <f t="shared" si="8"/>
        <v>17.02</v>
      </c>
      <c r="AT58" s="6"/>
    </row>
    <row r="59" spans="1:47" x14ac:dyDescent="0.25">
      <c r="A59" s="41" t="s">
        <v>25</v>
      </c>
      <c r="B59" s="40">
        <v>1</v>
      </c>
      <c r="C59" s="10">
        <f t="shared" si="0"/>
        <v>4.0999999999999996</v>
      </c>
      <c r="E59">
        <f>AVERAGE(C8:G11)</f>
        <v>4.33</v>
      </c>
      <c r="F59" s="6">
        <f>_xlfn.STDEV.P(C59:C62)</f>
        <v>0.25787593916455281</v>
      </c>
      <c r="H59" s="10">
        <f t="shared" si="1"/>
        <v>6.28</v>
      </c>
      <c r="J59">
        <f>AVERAGE(H8:L11)</f>
        <v>6.7350000000000012</v>
      </c>
      <c r="K59" s="6">
        <f>_xlfn.STDEV.P(H59:H62)</f>
        <v>0.33745370052793916</v>
      </c>
      <c r="M59" s="10">
        <f t="shared" si="2"/>
        <v>10.76</v>
      </c>
      <c r="O59">
        <f>AVERAGE(M8:Q11)</f>
        <v>11.549999999999999</v>
      </c>
      <c r="P59" s="6">
        <f>_xlfn.STDEV.P(M59:M62)</f>
        <v>0.49183330509431816</v>
      </c>
      <c r="R59" s="10">
        <f t="shared" si="3"/>
        <v>13.060000000000002</v>
      </c>
      <c r="T59">
        <f>AVERAGE(R8:V11)</f>
        <v>14.120000000000001</v>
      </c>
      <c r="U59" s="6">
        <f>_xlfn.STDEV.P(R59:R62)</f>
        <v>0.72842295405897239</v>
      </c>
      <c r="W59" s="10">
        <f t="shared" si="4"/>
        <v>15.460000000000003</v>
      </c>
      <c r="Y59">
        <f>AVERAGE(W8:AA11)</f>
        <v>16.035000000000004</v>
      </c>
      <c r="Z59" s="6">
        <f>_xlfn.STDEV.P(W59:W62)</f>
        <v>0.44348055199749076</v>
      </c>
      <c r="AB59" s="10">
        <f t="shared" si="5"/>
        <v>16.600000000000001</v>
      </c>
      <c r="AD59">
        <f>AVERAGE(AB8:AF11)</f>
        <v>17.270000000000003</v>
      </c>
      <c r="AE59" s="6">
        <f>_xlfn.STDEV.P(AB59:AB62)</f>
        <v>0.44777226354476285</v>
      </c>
      <c r="AG59" s="10">
        <f t="shared" si="6"/>
        <v>16.52</v>
      </c>
      <c r="AI59">
        <f>AVERAGE(AG8:AK11)</f>
        <v>17.419999999999995</v>
      </c>
      <c r="AJ59" s="6">
        <f>_xlfn.STDEV.P(AG59:AG62)</f>
        <v>0.54018515344278029</v>
      </c>
      <c r="AL59" s="10">
        <f t="shared" si="7"/>
        <v>16.32</v>
      </c>
      <c r="AN59">
        <f>AVERAGE(AL8:AP11)</f>
        <v>17.68</v>
      </c>
      <c r="AO59" s="6">
        <f>_xlfn.STDEV.P(AL59:AL62)</f>
        <v>0.81338797630651027</v>
      </c>
      <c r="AQ59" s="10">
        <f t="shared" si="8"/>
        <v>16.46</v>
      </c>
      <c r="AS59">
        <f>AVERAGE(AQ8:AU11)</f>
        <v>17.515000000000001</v>
      </c>
      <c r="AT59" s="6">
        <f>_xlfn.STDEV.P(AQ59:AQ62)</f>
        <v>0.64519376934375217</v>
      </c>
    </row>
    <row r="60" spans="1:47" x14ac:dyDescent="0.25">
      <c r="A60" s="34"/>
      <c r="B60" s="33">
        <v>2</v>
      </c>
      <c r="C60" s="10">
        <f t="shared" si="0"/>
        <v>4.1199999999999992</v>
      </c>
      <c r="E60" s="9"/>
      <c r="F60" s="6"/>
      <c r="H60" s="10">
        <f t="shared" si="1"/>
        <v>6.6400000000000006</v>
      </c>
      <c r="J60" s="9"/>
      <c r="K60" s="6"/>
      <c r="M60" s="10">
        <f t="shared" si="2"/>
        <v>11.56</v>
      </c>
      <c r="O60" s="9"/>
      <c r="P60" s="6"/>
      <c r="R60" s="10">
        <f t="shared" si="3"/>
        <v>14.36</v>
      </c>
      <c r="T60" s="9"/>
      <c r="U60" s="6"/>
      <c r="W60" s="10">
        <f t="shared" si="4"/>
        <v>16.059999999999999</v>
      </c>
      <c r="Y60" s="9"/>
      <c r="Z60" s="6"/>
      <c r="AB60" s="10">
        <f t="shared" si="5"/>
        <v>17.340000000000003</v>
      </c>
      <c r="AD60" s="9"/>
      <c r="AE60" s="6"/>
      <c r="AG60" s="10">
        <f t="shared" si="6"/>
        <v>17.82</v>
      </c>
      <c r="AI60" s="9"/>
      <c r="AJ60" s="6"/>
      <c r="AL60" s="10">
        <f t="shared" si="7"/>
        <v>17.96</v>
      </c>
      <c r="AN60" s="9"/>
      <c r="AO60" s="6"/>
      <c r="AQ60" s="10">
        <f t="shared" si="8"/>
        <v>18.18</v>
      </c>
      <c r="AS60" s="9"/>
      <c r="AT60" s="6"/>
    </row>
    <row r="61" spans="1:47" x14ac:dyDescent="0.25">
      <c r="A61" s="34"/>
      <c r="B61" s="33">
        <v>3</v>
      </c>
      <c r="C61" s="10">
        <f t="shared" si="0"/>
        <v>4.74</v>
      </c>
      <c r="F61" s="6"/>
      <c r="H61" s="10">
        <f t="shared" si="1"/>
        <v>7.2200000000000006</v>
      </c>
      <c r="K61" s="6"/>
      <c r="M61" s="10">
        <f t="shared" si="2"/>
        <v>12.080000000000002</v>
      </c>
      <c r="P61" s="6"/>
      <c r="R61" s="10">
        <f t="shared" si="3"/>
        <v>13.979999999999999</v>
      </c>
      <c r="U61" s="6"/>
      <c r="W61" s="10">
        <f t="shared" si="4"/>
        <v>16.7</v>
      </c>
      <c r="Z61" s="6"/>
      <c r="AB61" s="10">
        <f t="shared" si="5"/>
        <v>17.860000000000003</v>
      </c>
      <c r="AE61" s="6"/>
      <c r="AG61" s="10">
        <f t="shared" si="6"/>
        <v>17.48</v>
      </c>
      <c r="AJ61" s="6"/>
      <c r="AL61" s="10">
        <f t="shared" si="7"/>
        <v>17.96</v>
      </c>
      <c r="AO61" s="6"/>
      <c r="AQ61" s="10">
        <f t="shared" si="8"/>
        <v>17.580000000000002</v>
      </c>
      <c r="AT61" s="6"/>
    </row>
    <row r="62" spans="1:47" ht="15.75" thickBot="1" x14ac:dyDescent="0.3">
      <c r="A62" s="56"/>
      <c r="B62" s="55">
        <v>4</v>
      </c>
      <c r="C62" s="10">
        <f t="shared" si="0"/>
        <v>4.3599999999999994</v>
      </c>
      <c r="F62" s="6"/>
      <c r="H62" s="10">
        <f t="shared" si="1"/>
        <v>6.8</v>
      </c>
      <c r="K62" s="6"/>
      <c r="M62" s="10">
        <f t="shared" si="2"/>
        <v>11.8</v>
      </c>
      <c r="P62" s="6"/>
      <c r="R62" s="10">
        <f t="shared" si="3"/>
        <v>15.080000000000002</v>
      </c>
      <c r="U62" s="6"/>
      <c r="W62" s="10">
        <f t="shared" si="4"/>
        <v>15.919999999999998</v>
      </c>
      <c r="Z62" s="6"/>
      <c r="AB62" s="10">
        <f t="shared" si="5"/>
        <v>17.28</v>
      </c>
      <c r="AE62" s="6"/>
      <c r="AG62" s="10">
        <f t="shared" si="6"/>
        <v>17.86</v>
      </c>
      <c r="AJ62" s="6"/>
      <c r="AL62" s="10">
        <f t="shared" si="7"/>
        <v>18.48</v>
      </c>
      <c r="AO62" s="6"/>
      <c r="AQ62" s="10">
        <f t="shared" si="8"/>
        <v>17.839999999999996</v>
      </c>
      <c r="AT62" s="6"/>
    </row>
    <row r="63" spans="1:47" x14ac:dyDescent="0.25">
      <c r="A63" s="48" t="s">
        <v>26</v>
      </c>
      <c r="B63" s="47">
        <v>1</v>
      </c>
      <c r="C63" s="10">
        <f t="shared" si="0"/>
        <v>4.74</v>
      </c>
      <c r="E63">
        <f>AVERAGE(C12:G15)</f>
        <v>4.63</v>
      </c>
      <c r="F63" s="6">
        <f>_xlfn.STDEV.P(C63:C66)</f>
        <v>0.36455452267116356</v>
      </c>
      <c r="H63" s="10">
        <f t="shared" si="1"/>
        <v>7.3800000000000008</v>
      </c>
      <c r="J63">
        <f>AVERAGE(H12:L15)</f>
        <v>7.3150000000000004</v>
      </c>
      <c r="K63" s="6">
        <f>_xlfn.STDEV.P(H63:H66)</f>
        <v>0.15708278072405016</v>
      </c>
      <c r="M63" s="10">
        <f t="shared" si="2"/>
        <v>12.040000000000001</v>
      </c>
      <c r="O63">
        <f>AVERAGE(M12:Q15)</f>
        <v>12.145</v>
      </c>
      <c r="P63" s="6">
        <f>_xlfn.STDEV.P(M63:M66)</f>
        <v>0.13738631664034126</v>
      </c>
      <c r="R63" s="10">
        <f t="shared" si="3"/>
        <v>15.319999999999999</v>
      </c>
      <c r="T63">
        <f>AVERAGE(R12:V15)</f>
        <v>14.944999999999999</v>
      </c>
      <c r="U63" s="6">
        <f>_xlfn.STDEV.P(R63:R66)</f>
        <v>0.38919789310837682</v>
      </c>
      <c r="W63" s="10">
        <f t="shared" si="4"/>
        <v>18.100000000000001</v>
      </c>
      <c r="Y63">
        <f>AVERAGE(W12:AA15)</f>
        <v>18.324999999999999</v>
      </c>
      <c r="Z63" s="6">
        <f>_xlfn.STDEV.P(W63:W66)</f>
        <v>0.43620522692879271</v>
      </c>
      <c r="AB63" s="10">
        <f t="shared" si="5"/>
        <v>19.119999999999997</v>
      </c>
      <c r="AD63">
        <f>AVERAGE(AB12:AF15)</f>
        <v>19.074999999999999</v>
      </c>
      <c r="AE63" s="6">
        <f>_xlfn.STDEV.P(AB63:AB66)</f>
        <v>0.54247119739208294</v>
      </c>
      <c r="AG63" s="10">
        <f t="shared" si="6"/>
        <v>20.34</v>
      </c>
      <c r="AI63">
        <f>AVERAGE(AG12:AK15)</f>
        <v>19.834999999999997</v>
      </c>
      <c r="AJ63" s="6">
        <f>_xlfn.STDEV.P(AG63:AG66)</f>
        <v>0.84063963741903169</v>
      </c>
      <c r="AL63" s="10">
        <f t="shared" si="7"/>
        <v>20.059999999999999</v>
      </c>
      <c r="AN63">
        <f>AVERAGE(AL12:AP15)</f>
        <v>19.610000000000003</v>
      </c>
      <c r="AO63" s="6">
        <f>_xlfn.STDEV.P(AL63:AL66)</f>
        <v>1.0261091559868289</v>
      </c>
      <c r="AQ63" s="10">
        <f t="shared" si="8"/>
        <v>20.3</v>
      </c>
      <c r="AS63">
        <f>AVERAGE(AQ12:AU15)</f>
        <v>19.919999999999998</v>
      </c>
      <c r="AT63" s="6">
        <f>_xlfn.STDEV.P(AQ63:AQ66)</f>
        <v>0.71860976892886752</v>
      </c>
    </row>
    <row r="64" spans="1:47" x14ac:dyDescent="0.25">
      <c r="A64" s="34"/>
      <c r="B64" s="33">
        <v>2</v>
      </c>
      <c r="C64" s="10">
        <f t="shared" si="0"/>
        <v>4.18</v>
      </c>
      <c r="E64" s="9"/>
      <c r="F64" s="6"/>
      <c r="H64" s="10">
        <f t="shared" si="1"/>
        <v>7.2</v>
      </c>
      <c r="J64" s="9"/>
      <c r="K64" s="6"/>
      <c r="M64" s="10">
        <f t="shared" si="2"/>
        <v>12.1</v>
      </c>
      <c r="O64" s="9"/>
      <c r="P64" s="6"/>
      <c r="R64" s="10">
        <f t="shared" si="3"/>
        <v>14.48</v>
      </c>
      <c r="T64" s="9"/>
      <c r="U64" s="6"/>
      <c r="W64" s="10">
        <f t="shared" si="4"/>
        <v>18.739999999999998</v>
      </c>
      <c r="Y64" s="9"/>
      <c r="Z64" s="6"/>
      <c r="AB64" s="10">
        <f t="shared" si="5"/>
        <v>19.419999999999998</v>
      </c>
      <c r="AD64" s="9"/>
      <c r="AE64" s="6"/>
      <c r="AG64" s="10">
        <f t="shared" si="6"/>
        <v>20.100000000000001</v>
      </c>
      <c r="AI64" s="9"/>
      <c r="AJ64" s="6"/>
      <c r="AL64" s="10">
        <f t="shared" si="7"/>
        <v>20.22</v>
      </c>
      <c r="AN64" s="9"/>
      <c r="AO64" s="6"/>
      <c r="AQ64" s="10">
        <f t="shared" si="8"/>
        <v>20.14</v>
      </c>
      <c r="AS64" s="9"/>
      <c r="AT64" s="6"/>
    </row>
    <row r="65" spans="1:46" x14ac:dyDescent="0.25">
      <c r="A65" s="34"/>
      <c r="B65" s="33">
        <v>3</v>
      </c>
      <c r="C65" s="10">
        <f t="shared" si="0"/>
        <v>4.4399999999999995</v>
      </c>
      <c r="F65" s="6"/>
      <c r="H65" s="10">
        <f t="shared" si="1"/>
        <v>7.1399999999999988</v>
      </c>
      <c r="K65" s="6"/>
      <c r="M65" s="10">
        <f t="shared" si="2"/>
        <v>12.059999999999999</v>
      </c>
      <c r="P65" s="6"/>
      <c r="R65" s="10">
        <f t="shared" si="3"/>
        <v>15.34</v>
      </c>
      <c r="U65" s="6"/>
      <c r="W65" s="10">
        <f t="shared" si="4"/>
        <v>17.72</v>
      </c>
      <c r="Z65" s="6"/>
      <c r="AB65" s="10">
        <f t="shared" si="5"/>
        <v>18.18</v>
      </c>
      <c r="AE65" s="6"/>
      <c r="AG65" s="10">
        <f t="shared" si="6"/>
        <v>18.399999999999999</v>
      </c>
      <c r="AJ65" s="6"/>
      <c r="AL65" s="10">
        <f t="shared" si="7"/>
        <v>17.839999999999996</v>
      </c>
      <c r="AO65" s="6"/>
      <c r="AQ65" s="10">
        <f t="shared" si="8"/>
        <v>18.7</v>
      </c>
      <c r="AT65" s="6"/>
    </row>
    <row r="66" spans="1:46" ht="15.75" thickBot="1" x14ac:dyDescent="0.3">
      <c r="A66" s="27"/>
      <c r="B66" s="26">
        <v>4</v>
      </c>
      <c r="C66" s="10">
        <f t="shared" si="0"/>
        <v>5.1599999999999993</v>
      </c>
      <c r="F66" s="6"/>
      <c r="H66" s="10">
        <f t="shared" si="1"/>
        <v>7.5399999999999991</v>
      </c>
      <c r="K66" s="6"/>
      <c r="M66" s="10">
        <f t="shared" si="2"/>
        <v>12.38</v>
      </c>
      <c r="P66" s="6"/>
      <c r="R66" s="10">
        <f t="shared" si="3"/>
        <v>14.64</v>
      </c>
      <c r="U66" s="6"/>
      <c r="W66" s="10">
        <f t="shared" si="4"/>
        <v>18.739999999999998</v>
      </c>
      <c r="Z66" s="6"/>
      <c r="AB66" s="10">
        <f t="shared" si="5"/>
        <v>19.580000000000002</v>
      </c>
      <c r="AE66" s="6"/>
      <c r="AG66" s="10">
        <f t="shared" si="6"/>
        <v>20.5</v>
      </c>
      <c r="AJ66" s="6"/>
      <c r="AL66" s="10">
        <f t="shared" si="7"/>
        <v>20.32</v>
      </c>
      <c r="AO66" s="6"/>
      <c r="AQ66" s="10">
        <f t="shared" si="8"/>
        <v>20.54</v>
      </c>
      <c r="AT66" s="6"/>
    </row>
    <row r="67" spans="1:46" x14ac:dyDescent="0.25">
      <c r="A67" s="41" t="s">
        <v>27</v>
      </c>
      <c r="B67" s="40">
        <v>1</v>
      </c>
      <c r="C67" s="10">
        <f t="shared" si="0"/>
        <v>3.96</v>
      </c>
      <c r="E67">
        <f>AVERAGE(C16:G19)</f>
        <v>4.2999999999999989</v>
      </c>
      <c r="F67" s="6">
        <f>_xlfn.STDEV.P(C67:C70)</f>
        <v>0.22934689882359444</v>
      </c>
      <c r="H67" s="10">
        <f t="shared" si="1"/>
        <v>6.4799999999999995</v>
      </c>
      <c r="J67">
        <f>AVERAGE(H16:L19)</f>
        <v>6.9</v>
      </c>
      <c r="K67" s="6">
        <f>_xlfn.STDEV.P(H67:H70)</f>
        <v>0.25099800796022281</v>
      </c>
      <c r="M67" s="10">
        <f t="shared" si="2"/>
        <v>11.5</v>
      </c>
      <c r="O67">
        <f>AVERAGE(M16:Q19)</f>
        <v>11.934999999999999</v>
      </c>
      <c r="P67" s="6">
        <f>_xlfn.STDEV.P(M67:M70)</f>
        <v>0.26167728216259067</v>
      </c>
      <c r="R67" s="10">
        <f t="shared" si="3"/>
        <v>13.419999999999998</v>
      </c>
      <c r="T67">
        <f>AVERAGE(R16:V19)</f>
        <v>14.465</v>
      </c>
      <c r="U67" s="6">
        <f>_xlfn.STDEV.P(R67:R70)</f>
        <v>0.76241392956844733</v>
      </c>
      <c r="W67" s="10">
        <f t="shared" si="4"/>
        <v>17.8</v>
      </c>
      <c r="Y67">
        <f>AVERAGE(W16:AA19)</f>
        <v>18.600000000000001</v>
      </c>
      <c r="Z67" s="6">
        <f>_xlfn.STDEV.P(W67:W70)</f>
        <v>0.46216880033165358</v>
      </c>
      <c r="AB67" s="10">
        <f t="shared" si="5"/>
        <v>19.04</v>
      </c>
      <c r="AD67">
        <f>AVERAGE(AB16:AF19)</f>
        <v>19.585000000000001</v>
      </c>
      <c r="AE67" s="6">
        <f>_xlfn.STDEV.P(AB67:AB70)</f>
        <v>0.3739986630992157</v>
      </c>
      <c r="AG67" s="10">
        <f t="shared" si="6"/>
        <v>19.72</v>
      </c>
      <c r="AI67">
        <f>AVERAGE(AG16:AK19)</f>
        <v>20.279999999999998</v>
      </c>
      <c r="AJ67" s="6">
        <f>_xlfn.STDEV.P(AG67:AG70)</f>
        <v>0.38678159211627416</v>
      </c>
      <c r="AL67" s="10">
        <f t="shared" si="7"/>
        <v>19.899999999999999</v>
      </c>
      <c r="AN67">
        <f>AVERAGE(AL16:AP19)</f>
        <v>20.190000000000001</v>
      </c>
      <c r="AO67" s="6">
        <f>_xlfn.STDEV.P(AL67:AL70)</f>
        <v>0.49588305072869704</v>
      </c>
      <c r="AQ67" s="10">
        <f t="shared" si="8"/>
        <v>20.639999999999997</v>
      </c>
      <c r="AS67">
        <f>AVERAGE(AQ16:AU19)</f>
        <v>20.25</v>
      </c>
      <c r="AT67" s="6">
        <f>_xlfn.STDEV.P(AQ67:AQ70)</f>
        <v>0.41629316592997134</v>
      </c>
    </row>
    <row r="68" spans="1:46" x14ac:dyDescent="0.25">
      <c r="A68" s="34"/>
      <c r="B68" s="33">
        <v>2</v>
      </c>
      <c r="C68" s="10">
        <f t="shared" si="0"/>
        <v>4.22</v>
      </c>
      <c r="E68" s="9"/>
      <c r="F68" s="6"/>
      <c r="H68" s="10">
        <f t="shared" si="1"/>
        <v>6.94</v>
      </c>
      <c r="J68" s="9"/>
      <c r="K68" s="6"/>
      <c r="M68" s="10">
        <f t="shared" si="2"/>
        <v>12.14</v>
      </c>
      <c r="O68" s="9"/>
      <c r="P68" s="6"/>
      <c r="R68" s="10">
        <f t="shared" si="3"/>
        <v>15.4</v>
      </c>
      <c r="T68" s="9"/>
      <c r="U68" s="6"/>
      <c r="W68" s="10">
        <f t="shared" si="4"/>
        <v>18.84</v>
      </c>
      <c r="Y68" s="9"/>
      <c r="Z68" s="6"/>
      <c r="AB68" s="10">
        <f t="shared" si="5"/>
        <v>20.080000000000002</v>
      </c>
      <c r="AD68" s="9"/>
      <c r="AE68" s="6"/>
      <c r="AG68" s="10">
        <f t="shared" si="6"/>
        <v>20.759999999999998</v>
      </c>
      <c r="AI68" s="9"/>
      <c r="AJ68" s="6"/>
      <c r="AL68" s="10">
        <f t="shared" si="7"/>
        <v>21.02</v>
      </c>
      <c r="AN68" s="9"/>
      <c r="AO68" s="6"/>
      <c r="AQ68" s="10">
        <f t="shared" si="8"/>
        <v>20.5</v>
      </c>
      <c r="AS68" s="9"/>
      <c r="AT68" s="6"/>
    </row>
    <row r="69" spans="1:46" x14ac:dyDescent="0.25">
      <c r="A69" s="34"/>
      <c r="B69" s="33">
        <v>3</v>
      </c>
      <c r="C69" s="10">
        <f t="shared" si="0"/>
        <v>4.5</v>
      </c>
      <c r="F69" s="6"/>
      <c r="H69" s="10">
        <f t="shared" si="1"/>
        <v>7.12</v>
      </c>
      <c r="K69" s="6"/>
      <c r="M69" s="10">
        <f t="shared" si="2"/>
        <v>11.959999999999999</v>
      </c>
      <c r="P69" s="6"/>
      <c r="R69" s="10">
        <f t="shared" si="3"/>
        <v>14.1</v>
      </c>
      <c r="U69" s="6"/>
      <c r="W69" s="10">
        <f t="shared" si="4"/>
        <v>18.88</v>
      </c>
      <c r="Z69" s="6"/>
      <c r="AB69" s="10">
        <f t="shared" si="5"/>
        <v>19.7</v>
      </c>
      <c r="AE69" s="6"/>
      <c r="AG69" s="10">
        <f t="shared" si="6"/>
        <v>20.16</v>
      </c>
      <c r="AJ69" s="6"/>
      <c r="AL69" s="10">
        <f t="shared" si="7"/>
        <v>19.740000000000002</v>
      </c>
      <c r="AO69" s="6"/>
      <c r="AQ69" s="10">
        <f t="shared" si="8"/>
        <v>19.560000000000002</v>
      </c>
      <c r="AT69" s="6"/>
    </row>
    <row r="70" spans="1:46" ht="15.75" thickBot="1" x14ac:dyDescent="0.3">
      <c r="A70" s="56"/>
      <c r="B70" s="55">
        <v>4</v>
      </c>
      <c r="C70" s="10">
        <f t="shared" si="0"/>
        <v>4.5200000000000005</v>
      </c>
      <c r="F70" s="6"/>
      <c r="H70" s="10">
        <f t="shared" si="1"/>
        <v>7.06</v>
      </c>
      <c r="K70" s="6"/>
      <c r="M70" s="10">
        <f t="shared" si="2"/>
        <v>12.14</v>
      </c>
      <c r="P70" s="6"/>
      <c r="R70" s="10">
        <f t="shared" si="3"/>
        <v>14.940000000000001</v>
      </c>
      <c r="U70" s="6"/>
      <c r="W70" s="10">
        <f t="shared" si="4"/>
        <v>18.880000000000003</v>
      </c>
      <c r="Z70" s="6"/>
      <c r="AB70" s="10">
        <f t="shared" si="5"/>
        <v>19.52</v>
      </c>
      <c r="AE70" s="6"/>
      <c r="AG70" s="10">
        <f t="shared" si="6"/>
        <v>20.48</v>
      </c>
      <c r="AJ70" s="6"/>
      <c r="AL70" s="10">
        <f t="shared" si="7"/>
        <v>20.100000000000001</v>
      </c>
      <c r="AO70" s="6"/>
      <c r="AQ70" s="10">
        <f t="shared" si="8"/>
        <v>20.3</v>
      </c>
      <c r="AT70" s="6"/>
    </row>
    <row r="71" spans="1:46" x14ac:dyDescent="0.25">
      <c r="A71" s="48" t="s">
        <v>28</v>
      </c>
      <c r="B71" s="47">
        <v>1</v>
      </c>
      <c r="C71" s="10">
        <f t="shared" si="0"/>
        <v>4.24</v>
      </c>
      <c r="E71">
        <f>AVERAGE(C20:G23)</f>
        <v>4.3250000000000011</v>
      </c>
      <c r="F71" s="6">
        <f>_xlfn.STDEV.P(C71:C74)</f>
        <v>0.18350749303502559</v>
      </c>
      <c r="H71" s="10">
        <f t="shared" si="1"/>
        <v>6.62</v>
      </c>
      <c r="J71">
        <f>AVERAGE(H20:L23)</f>
        <v>6.6149999999999993</v>
      </c>
      <c r="K71" s="6">
        <f>_xlfn.STDEV.P(H71:H74)</f>
        <v>9.0967026993301114E-2</v>
      </c>
      <c r="M71" s="10">
        <f t="shared" si="2"/>
        <v>11.2</v>
      </c>
      <c r="O71">
        <f>AVERAGE(M20:Q23)</f>
        <v>11.215</v>
      </c>
      <c r="P71" s="6">
        <f>_xlfn.STDEV.P(M71:M74)</f>
        <v>0.26205915362757309</v>
      </c>
      <c r="R71" s="10">
        <f t="shared" si="3"/>
        <v>14.48</v>
      </c>
      <c r="T71">
        <f>AVERAGE(R20:V23)</f>
        <v>14</v>
      </c>
      <c r="U71" s="6">
        <f>_xlfn.STDEV.P(R71:R74)</f>
        <v>0.8135109095765094</v>
      </c>
      <c r="W71" s="10">
        <f t="shared" si="4"/>
        <v>16.799999999999997</v>
      </c>
      <c r="Y71">
        <f>AVERAGE(W20:AA23)</f>
        <v>17.285</v>
      </c>
      <c r="Z71" s="6">
        <f>_xlfn.STDEV.P(W71:W74)</f>
        <v>0.6562583332804246</v>
      </c>
      <c r="AB71" s="10">
        <f t="shared" si="5"/>
        <v>19.12</v>
      </c>
      <c r="AD71">
        <f>AVERAGE(AB20:AF23)</f>
        <v>19.200000000000003</v>
      </c>
      <c r="AE71" s="6">
        <f>_xlfn.STDEV.P(AB71:AB74)</f>
        <v>0.37496666518505406</v>
      </c>
      <c r="AG71" s="10">
        <f t="shared" si="6"/>
        <v>20.52</v>
      </c>
      <c r="AI71">
        <f>AVERAGE(AG20:AK23)</f>
        <v>19.695</v>
      </c>
      <c r="AJ71" s="6">
        <f>_xlfn.STDEV.P(AG71:AG74)</f>
        <v>0.74744565019805975</v>
      </c>
      <c r="AL71" s="10">
        <f t="shared" si="7"/>
        <v>21.660000000000004</v>
      </c>
      <c r="AN71">
        <f>AVERAGE(AL20:AP23)</f>
        <v>20.88</v>
      </c>
      <c r="AO71" s="6">
        <f>_xlfn.STDEV.P(AL71:AL74)</f>
        <v>0.86336550776597643</v>
      </c>
      <c r="AQ71" s="10">
        <f t="shared" si="8"/>
        <v>21.86</v>
      </c>
      <c r="AS71">
        <f>AVERAGE(AQ20:AU23)</f>
        <v>21.315000000000001</v>
      </c>
      <c r="AT71" s="6">
        <f>_xlfn.STDEV.P(AQ71:AQ74)</f>
        <v>0.65717197140474481</v>
      </c>
    </row>
    <row r="72" spans="1:46" x14ac:dyDescent="0.25">
      <c r="A72" s="34"/>
      <c r="B72" s="33">
        <v>2</v>
      </c>
      <c r="C72" s="10">
        <f t="shared" si="0"/>
        <v>4.3599999999999994</v>
      </c>
      <c r="E72" s="9"/>
      <c r="F72" s="6"/>
      <c r="H72" s="10">
        <f t="shared" si="1"/>
        <v>6.76</v>
      </c>
      <c r="J72" s="9"/>
      <c r="K72" s="6"/>
      <c r="M72" s="10">
        <f t="shared" si="2"/>
        <v>11.5</v>
      </c>
      <c r="O72" s="9"/>
      <c r="P72" s="6"/>
      <c r="R72" s="10">
        <f t="shared" si="3"/>
        <v>13.540000000000001</v>
      </c>
      <c r="T72" s="9"/>
      <c r="U72" s="6"/>
      <c r="W72" s="10">
        <f t="shared" si="4"/>
        <v>17.739999999999998</v>
      </c>
      <c r="Y72" s="9"/>
      <c r="Z72" s="6"/>
      <c r="AB72" s="10">
        <f t="shared" si="5"/>
        <v>19.5</v>
      </c>
      <c r="AD72" s="9"/>
      <c r="AE72" s="6"/>
      <c r="AG72" s="10">
        <f t="shared" si="6"/>
        <v>20.18</v>
      </c>
      <c r="AI72" s="9"/>
      <c r="AJ72" s="6"/>
      <c r="AL72" s="10">
        <f t="shared" si="7"/>
        <v>20.440000000000001</v>
      </c>
      <c r="AN72" s="9"/>
      <c r="AO72" s="6"/>
      <c r="AQ72" s="10">
        <f t="shared" si="8"/>
        <v>21.02</v>
      </c>
      <c r="AS72" s="9"/>
      <c r="AT72" s="6"/>
    </row>
    <row r="73" spans="1:46" x14ac:dyDescent="0.25">
      <c r="A73" s="34"/>
      <c r="B73" s="33">
        <v>3</v>
      </c>
      <c r="C73" s="10">
        <f t="shared" si="0"/>
        <v>4.0999999999999996</v>
      </c>
      <c r="F73" s="6"/>
      <c r="H73" s="10">
        <f t="shared" si="1"/>
        <v>6.56</v>
      </c>
      <c r="K73" s="6"/>
      <c r="M73" s="10">
        <f t="shared" si="2"/>
        <v>11.360000000000001</v>
      </c>
      <c r="P73" s="6"/>
      <c r="R73" s="10">
        <f t="shared" si="3"/>
        <v>15.040000000000001</v>
      </c>
      <c r="U73" s="6"/>
      <c r="W73" s="10">
        <f t="shared" si="4"/>
        <v>18.100000000000001</v>
      </c>
      <c r="Z73" s="6"/>
      <c r="AB73" s="10">
        <f t="shared" si="5"/>
        <v>19.559999999999999</v>
      </c>
      <c r="AE73" s="6"/>
      <c r="AG73" s="10">
        <f t="shared" si="6"/>
        <v>19.520000000000003</v>
      </c>
      <c r="AJ73" s="6"/>
      <c r="AL73" s="10">
        <f t="shared" si="7"/>
        <v>21.740000000000002</v>
      </c>
      <c r="AO73" s="6"/>
      <c r="AQ73" s="10">
        <f t="shared" si="8"/>
        <v>22</v>
      </c>
      <c r="AT73" s="6"/>
    </row>
    <row r="74" spans="1:46" ht="15.75" thickBot="1" x14ac:dyDescent="0.3">
      <c r="A74" s="27"/>
      <c r="B74" s="26">
        <v>4</v>
      </c>
      <c r="C74" s="10">
        <f t="shared" si="0"/>
        <v>4.5999999999999996</v>
      </c>
      <c r="F74" s="6"/>
      <c r="H74" s="10">
        <f t="shared" si="1"/>
        <v>6.5200000000000005</v>
      </c>
      <c r="K74" s="6"/>
      <c r="M74" s="10">
        <f t="shared" si="2"/>
        <v>10.8</v>
      </c>
      <c r="P74" s="6"/>
      <c r="R74" s="10">
        <f t="shared" si="3"/>
        <v>12.940000000000001</v>
      </c>
      <c r="U74" s="6"/>
      <c r="W74" s="10">
        <f t="shared" si="4"/>
        <v>16.5</v>
      </c>
      <c r="Z74" s="6"/>
      <c r="AB74" s="10">
        <f t="shared" si="5"/>
        <v>18.619999999999997</v>
      </c>
      <c r="AE74" s="6"/>
      <c r="AG74" s="10">
        <f t="shared" si="6"/>
        <v>18.559999999999999</v>
      </c>
      <c r="AJ74" s="6"/>
      <c r="AL74" s="10">
        <f t="shared" si="7"/>
        <v>19.68</v>
      </c>
      <c r="AO74" s="6"/>
      <c r="AQ74" s="10">
        <f t="shared" si="8"/>
        <v>20.380000000000003</v>
      </c>
      <c r="AT74" s="6"/>
    </row>
    <row r="75" spans="1:46" x14ac:dyDescent="0.25">
      <c r="A75" s="41" t="s">
        <v>29</v>
      </c>
      <c r="B75" s="40">
        <v>1</v>
      </c>
      <c r="C75" s="10">
        <f t="shared" si="0"/>
        <v>4.0200000000000005</v>
      </c>
      <c r="E75">
        <f>AVERAGE(C24:G27)</f>
        <v>3.915</v>
      </c>
      <c r="F75" s="6">
        <f>_xlfn.STDEV.P(C75:C78)</f>
        <v>0.22242976419535226</v>
      </c>
      <c r="H75" s="10">
        <f t="shared" si="1"/>
        <v>5.7799999999999994</v>
      </c>
      <c r="J75">
        <f>AVERAGE(H24:L27)</f>
        <v>6.1249999999999991</v>
      </c>
      <c r="K75" s="6">
        <f>_xlfn.STDEV.P(H75:H78)</f>
        <v>0.39984371947049541</v>
      </c>
      <c r="M75" s="10">
        <f t="shared" si="2"/>
        <v>10.559999999999999</v>
      </c>
      <c r="O75">
        <f>AVERAGE(M24:Q27)</f>
        <v>10.85</v>
      </c>
      <c r="P75" s="6">
        <f>_xlfn.STDEV.P(M75:M78)</f>
        <v>0.42720018726587733</v>
      </c>
      <c r="R75" s="10">
        <f t="shared" si="3"/>
        <v>13.24</v>
      </c>
      <c r="T75">
        <f>AVERAGE(R24:V27)</f>
        <v>13.565000000000001</v>
      </c>
      <c r="U75" s="6">
        <f>_xlfn.STDEV.P(R75:R78)</f>
        <v>0.7663386979658533</v>
      </c>
      <c r="W75" s="10">
        <f t="shared" si="4"/>
        <v>17.760000000000002</v>
      </c>
      <c r="Y75">
        <f>AVERAGE(W24:AA27)</f>
        <v>17.715000000000003</v>
      </c>
      <c r="Z75" s="6">
        <f>_xlfn.STDEV.P(W75:W78)</f>
        <v>0.65519081190138806</v>
      </c>
      <c r="AB75" s="10">
        <f t="shared" si="5"/>
        <v>20.48</v>
      </c>
      <c r="AD75">
        <f>AVERAGE(AB24:AF27)</f>
        <v>19.96</v>
      </c>
      <c r="AE75" s="6">
        <f>_xlfn.STDEV.P(AB75:AB78)</f>
        <v>0.62241465278381825</v>
      </c>
      <c r="AG75" s="10">
        <f t="shared" si="6"/>
        <v>21.22</v>
      </c>
      <c r="AI75">
        <f>AVERAGE(AG24:AK27)</f>
        <v>21.24</v>
      </c>
      <c r="AJ75" s="6">
        <f>_xlfn.STDEV.P(AG75:AG78)</f>
        <v>0.56480084985771795</v>
      </c>
      <c r="AL75" s="10">
        <f t="shared" si="7"/>
        <v>22.659999999999997</v>
      </c>
      <c r="AN75">
        <f>AVERAGE(AL24:AP27)</f>
        <v>22.07</v>
      </c>
      <c r="AO75" s="6">
        <f>_xlfn.STDEV.P(AL75:AL78)</f>
        <v>0.77427385336197263</v>
      </c>
      <c r="AQ75" s="10">
        <f t="shared" si="8"/>
        <v>23.3</v>
      </c>
      <c r="AS75">
        <f>AVERAGE(AQ24:AU27)</f>
        <v>23.37</v>
      </c>
      <c r="AT75" s="6">
        <f>_xlfn.STDEV.P(AQ75:AQ78)</f>
        <v>0.6526101439603893</v>
      </c>
    </row>
    <row r="76" spans="1:46" x14ac:dyDescent="0.25">
      <c r="A76" s="34"/>
      <c r="B76" s="33">
        <v>2</v>
      </c>
      <c r="C76" s="10">
        <f t="shared" si="0"/>
        <v>4.12</v>
      </c>
      <c r="E76" s="9"/>
      <c r="F76" s="6"/>
      <c r="H76" s="10">
        <f t="shared" si="1"/>
        <v>6.7200000000000006</v>
      </c>
      <c r="J76" s="9"/>
      <c r="K76" s="6"/>
      <c r="M76" s="10">
        <f t="shared" si="2"/>
        <v>11.580000000000002</v>
      </c>
      <c r="O76" s="9"/>
      <c r="P76" s="6"/>
      <c r="R76" s="10">
        <f t="shared" si="3"/>
        <v>14.88</v>
      </c>
      <c r="T76" s="9"/>
      <c r="U76" s="6"/>
      <c r="W76" s="10">
        <f t="shared" si="4"/>
        <v>18.559999999999999</v>
      </c>
      <c r="Y76" s="9"/>
      <c r="Z76" s="6"/>
      <c r="AB76" s="10">
        <f t="shared" si="5"/>
        <v>20.16</v>
      </c>
      <c r="AD76" s="9"/>
      <c r="AE76" s="6"/>
      <c r="AG76" s="10">
        <f t="shared" si="6"/>
        <v>22.16</v>
      </c>
      <c r="AI76" s="9"/>
      <c r="AJ76" s="6"/>
      <c r="AL76" s="10">
        <f t="shared" si="7"/>
        <v>22.9</v>
      </c>
      <c r="AN76" s="9"/>
      <c r="AO76" s="6"/>
      <c r="AQ76" s="10">
        <f t="shared" si="8"/>
        <v>24.34</v>
      </c>
      <c r="AS76" s="9"/>
      <c r="AT76" s="6"/>
    </row>
    <row r="77" spans="1:46" x14ac:dyDescent="0.25">
      <c r="A77" s="34"/>
      <c r="B77" s="33">
        <v>3</v>
      </c>
      <c r="C77" s="10">
        <f t="shared" si="0"/>
        <v>3.9799999999999995</v>
      </c>
      <c r="F77" s="6"/>
      <c r="H77" s="10">
        <f t="shared" si="1"/>
        <v>6.26</v>
      </c>
      <c r="K77" s="6"/>
      <c r="M77" s="10">
        <f t="shared" si="2"/>
        <v>10.72</v>
      </c>
      <c r="P77" s="6"/>
      <c r="R77" s="10">
        <f t="shared" si="3"/>
        <v>12.960000000000003</v>
      </c>
      <c r="U77" s="6"/>
      <c r="W77" s="10">
        <f t="shared" si="4"/>
        <v>17.82</v>
      </c>
      <c r="Z77" s="6"/>
      <c r="AB77" s="10">
        <f t="shared" si="5"/>
        <v>20.3</v>
      </c>
      <c r="AE77" s="6"/>
      <c r="AG77" s="10">
        <f t="shared" si="6"/>
        <v>20.9</v>
      </c>
      <c r="AJ77" s="6"/>
      <c r="AL77" s="10">
        <f t="shared" si="7"/>
        <v>20.94</v>
      </c>
      <c r="AO77" s="6"/>
      <c r="AQ77" s="10">
        <f t="shared" si="8"/>
        <v>23.339999999999996</v>
      </c>
      <c r="AT77" s="6"/>
    </row>
    <row r="78" spans="1:46" ht="15.75" thickBot="1" x14ac:dyDescent="0.3">
      <c r="A78" s="56"/>
      <c r="B78" s="55">
        <v>4</v>
      </c>
      <c r="C78" s="10">
        <f t="shared" si="0"/>
        <v>3.54</v>
      </c>
      <c r="F78" s="6"/>
      <c r="H78" s="10">
        <f t="shared" si="1"/>
        <v>5.74</v>
      </c>
      <c r="K78" s="6"/>
      <c r="M78" s="10">
        <f t="shared" si="2"/>
        <v>10.540000000000001</v>
      </c>
      <c r="P78" s="6"/>
      <c r="R78" s="10">
        <f t="shared" si="3"/>
        <v>13.180000000000001</v>
      </c>
      <c r="U78" s="6"/>
      <c r="W78" s="10">
        <f t="shared" si="4"/>
        <v>16.72</v>
      </c>
      <c r="Z78" s="6"/>
      <c r="AB78" s="10">
        <f t="shared" si="5"/>
        <v>18.899999999999999</v>
      </c>
      <c r="AE78" s="6"/>
      <c r="AG78" s="10">
        <f t="shared" si="6"/>
        <v>20.68</v>
      </c>
      <c r="AJ78" s="6"/>
      <c r="AL78" s="10">
        <f t="shared" si="7"/>
        <v>21.78</v>
      </c>
      <c r="AO78" s="6"/>
      <c r="AQ78" s="10">
        <f t="shared" si="8"/>
        <v>22.5</v>
      </c>
      <c r="AT78" s="6"/>
    </row>
    <row r="79" spans="1:46" x14ac:dyDescent="0.25">
      <c r="A79" s="48" t="s">
        <v>30</v>
      </c>
      <c r="B79" s="47">
        <v>1</v>
      </c>
      <c r="C79" s="10">
        <f t="shared" si="0"/>
        <v>2.92</v>
      </c>
      <c r="E79">
        <f>AVERAGE(C28:G31)</f>
        <v>3.0250000000000004</v>
      </c>
      <c r="F79" s="6">
        <f>_xlfn.STDEV.P(C79:C82)</f>
        <v>9.3139680050985829E-2</v>
      </c>
      <c r="H79" s="10">
        <f t="shared" si="1"/>
        <v>4.8800000000000008</v>
      </c>
      <c r="J79">
        <f>AVERAGE(H28:L31)</f>
        <v>5.125</v>
      </c>
      <c r="K79" s="6">
        <f>_xlfn.STDEV.P(H79:H82)</f>
        <v>0.15321553446044525</v>
      </c>
      <c r="M79" s="10">
        <f t="shared" si="2"/>
        <v>8.4200000000000017</v>
      </c>
      <c r="O79">
        <f>AVERAGE(M28:Q31)</f>
        <v>9.2249999999999996</v>
      </c>
      <c r="P79" s="6">
        <f>_xlfn.STDEV.P(M79:M82)</f>
        <v>0.47840882098891047</v>
      </c>
      <c r="R79" s="10">
        <f t="shared" si="3"/>
        <v>11.280000000000001</v>
      </c>
      <c r="T79">
        <f>AVERAGE(R28:V31)</f>
        <v>12.25</v>
      </c>
      <c r="U79" s="6">
        <f>_xlfn.STDEV.P(R79:R82)</f>
        <v>0.57593402399927685</v>
      </c>
      <c r="W79" s="10">
        <f t="shared" si="4"/>
        <v>13.52</v>
      </c>
      <c r="Y79">
        <f>AVERAGE(W28:AA31)</f>
        <v>14.375</v>
      </c>
      <c r="Z79" s="6">
        <f>_xlfn.STDEV.P(W79:W82)</f>
        <v>0.53129558627942663</v>
      </c>
      <c r="AB79" s="10">
        <f t="shared" si="5"/>
        <v>14.719999999999999</v>
      </c>
      <c r="AD79">
        <f>AVERAGE(AB28:AF31)</f>
        <v>15.225</v>
      </c>
      <c r="AE79" s="6">
        <f>_xlfn.STDEV.P(AB79:AB82)</f>
        <v>0.29979159427842594</v>
      </c>
      <c r="AG79" s="10">
        <f t="shared" si="6"/>
        <v>15.220000000000002</v>
      </c>
      <c r="AI79">
        <f>AVERAGE(AG28:AK31)</f>
        <v>15.665000000000001</v>
      </c>
      <c r="AJ79" s="6">
        <f>_xlfn.STDEV.P(AG79:AG82)</f>
        <v>0.34186985827943267</v>
      </c>
      <c r="AL79" s="10">
        <f t="shared" si="7"/>
        <v>15.360000000000003</v>
      </c>
      <c r="AN79">
        <f>AVERAGE(AL28:AP31)</f>
        <v>16.07</v>
      </c>
      <c r="AO79" s="6">
        <f>_xlfn.STDEV.P(AL79:AL82)</f>
        <v>0.44328320518602937</v>
      </c>
      <c r="AQ79" s="10">
        <f t="shared" si="8"/>
        <v>15.38</v>
      </c>
      <c r="AS79">
        <f>AVERAGE(AQ28:AU31)</f>
        <v>16.255000000000003</v>
      </c>
      <c r="AT79" s="6">
        <f>_xlfn.STDEV.P(AQ79:AQ82)</f>
        <v>0.52865395108709856</v>
      </c>
    </row>
    <row r="80" spans="1:46" x14ac:dyDescent="0.25">
      <c r="A80" s="34"/>
      <c r="B80" s="33">
        <v>2</v>
      </c>
      <c r="C80" s="10">
        <f t="shared" si="0"/>
        <v>3.16</v>
      </c>
      <c r="E80" s="9"/>
      <c r="F80" s="6"/>
      <c r="H80" s="10">
        <f t="shared" si="1"/>
        <v>5.3</v>
      </c>
      <c r="J80" s="9"/>
      <c r="K80" s="6"/>
      <c r="M80" s="10">
        <f t="shared" si="2"/>
        <v>9.66</v>
      </c>
      <c r="O80" s="9"/>
      <c r="P80" s="6"/>
      <c r="R80" s="10">
        <f t="shared" si="3"/>
        <v>12.580000000000002</v>
      </c>
      <c r="T80" s="9"/>
      <c r="U80" s="6"/>
      <c r="W80" s="10">
        <f t="shared" si="4"/>
        <v>14.979999999999999</v>
      </c>
      <c r="Y80" s="9"/>
      <c r="Z80" s="6"/>
      <c r="AB80" s="10">
        <f t="shared" si="5"/>
        <v>15.280000000000001</v>
      </c>
      <c r="AD80" s="9"/>
      <c r="AE80" s="6"/>
      <c r="AG80" s="10">
        <f t="shared" si="6"/>
        <v>15.6</v>
      </c>
      <c r="AI80" s="9"/>
      <c r="AJ80" s="6"/>
      <c r="AL80" s="10">
        <f t="shared" si="7"/>
        <v>16.14</v>
      </c>
      <c r="AN80" s="9"/>
      <c r="AO80" s="6"/>
      <c r="AQ80" s="10">
        <f t="shared" si="8"/>
        <v>16.760000000000002</v>
      </c>
      <c r="AS80" s="9"/>
      <c r="AT80" s="6"/>
    </row>
    <row r="81" spans="1:46" x14ac:dyDescent="0.25">
      <c r="A81" s="34"/>
      <c r="B81" s="33">
        <v>3</v>
      </c>
      <c r="C81" s="10">
        <f t="shared" si="0"/>
        <v>2.96</v>
      </c>
      <c r="F81" s="6"/>
      <c r="H81" s="10">
        <f t="shared" si="1"/>
        <v>5.18</v>
      </c>
      <c r="K81" s="6"/>
      <c r="M81" s="10">
        <f t="shared" si="2"/>
        <v>9.34</v>
      </c>
      <c r="P81" s="6"/>
      <c r="R81" s="10">
        <f t="shared" si="3"/>
        <v>12.76</v>
      </c>
      <c r="U81" s="6"/>
      <c r="W81" s="10">
        <f t="shared" si="4"/>
        <v>14.48</v>
      </c>
      <c r="Z81" s="6"/>
      <c r="AB81" s="10">
        <f t="shared" si="5"/>
        <v>15.459999999999999</v>
      </c>
      <c r="AE81" s="6"/>
      <c r="AG81" s="10">
        <f t="shared" si="6"/>
        <v>15.66</v>
      </c>
      <c r="AJ81" s="6"/>
      <c r="AL81" s="10">
        <f t="shared" si="7"/>
        <v>16.2</v>
      </c>
      <c r="AO81" s="6"/>
      <c r="AQ81" s="10">
        <f t="shared" si="8"/>
        <v>16.32</v>
      </c>
      <c r="AT81" s="6"/>
    </row>
    <row r="82" spans="1:46" ht="15.75" thickBot="1" x14ac:dyDescent="0.3">
      <c r="A82" s="27"/>
      <c r="B82" s="26">
        <v>4</v>
      </c>
      <c r="C82" s="10">
        <f t="shared" si="0"/>
        <v>3.0599999999999996</v>
      </c>
      <c r="F82" s="6"/>
      <c r="H82" s="10">
        <f t="shared" si="1"/>
        <v>5.1400000000000006</v>
      </c>
      <c r="K82" s="6"/>
      <c r="M82" s="10">
        <f t="shared" si="2"/>
        <v>9.48</v>
      </c>
      <c r="P82" s="6"/>
      <c r="R82" s="10">
        <f t="shared" si="3"/>
        <v>12.379999999999999</v>
      </c>
      <c r="U82" s="6"/>
      <c r="W82" s="10">
        <f t="shared" si="4"/>
        <v>14.52</v>
      </c>
      <c r="Z82" s="6"/>
      <c r="AB82" s="10">
        <f t="shared" si="5"/>
        <v>15.440000000000001</v>
      </c>
      <c r="AE82" s="6"/>
      <c r="AG82" s="10">
        <f t="shared" si="6"/>
        <v>16.18</v>
      </c>
      <c r="AJ82" s="6"/>
      <c r="AL82" s="10">
        <f t="shared" si="7"/>
        <v>16.580000000000002</v>
      </c>
      <c r="AO82" s="6"/>
      <c r="AQ82" s="10">
        <f t="shared" si="8"/>
        <v>16.560000000000002</v>
      </c>
      <c r="AT82" s="6"/>
    </row>
    <row r="83" spans="1:46" x14ac:dyDescent="0.25">
      <c r="A83" s="41" t="s">
        <v>31</v>
      </c>
      <c r="B83" s="40">
        <v>1</v>
      </c>
      <c r="C83" s="10">
        <f t="shared" si="0"/>
        <v>2.78</v>
      </c>
      <c r="E83">
        <f>AVERAGE(C32:G35)</f>
        <v>3.04</v>
      </c>
      <c r="F83" s="6">
        <f>_xlfn.STDEV.P(C83:C86)</f>
        <v>0.18920887928424507</v>
      </c>
      <c r="H83" s="10">
        <f t="shared" si="1"/>
        <v>4.42</v>
      </c>
      <c r="J83">
        <f>AVERAGE(H32:L35)</f>
        <v>4.8849999999999998</v>
      </c>
      <c r="K83" s="6">
        <f>_xlfn.STDEV.P(H83:H86)</f>
        <v>0.30045798375147226</v>
      </c>
      <c r="M83" s="10">
        <f t="shared" si="2"/>
        <v>8.5</v>
      </c>
      <c r="O83">
        <f>AVERAGE(M32:Q35)</f>
        <v>9.2149999999999981</v>
      </c>
      <c r="P83" s="6">
        <f>_xlfn.STDEV.P(M83:M86)</f>
        <v>0.56945149047131249</v>
      </c>
      <c r="R83" s="10">
        <f t="shared" si="3"/>
        <v>11.6</v>
      </c>
      <c r="T83">
        <f>AVERAGE(R32:V35)</f>
        <v>12.465</v>
      </c>
      <c r="U83" s="6">
        <f>_xlfn.STDEV.P(R83:R86)</f>
        <v>0.62743525562403679</v>
      </c>
      <c r="W83" s="10">
        <f t="shared" si="4"/>
        <v>14.62</v>
      </c>
      <c r="Y83">
        <f>AVERAGE(W32:AA35)</f>
        <v>14.885</v>
      </c>
      <c r="Z83" s="6">
        <f>_xlfn.STDEV.P(W83:W86)</f>
        <v>0.15708278072405027</v>
      </c>
      <c r="AB83" s="10">
        <f t="shared" si="5"/>
        <v>15.38</v>
      </c>
      <c r="AD83">
        <f>AVERAGE(AB32:AF35)</f>
        <v>15.795000000000002</v>
      </c>
      <c r="AE83" s="6">
        <f>_xlfn.STDEV.P(AB83:AB86)</f>
        <v>0.53054217551482197</v>
      </c>
      <c r="AG83" s="10">
        <f t="shared" si="6"/>
        <v>16.04</v>
      </c>
      <c r="AI83">
        <f>AVERAGE(AG32:AK35)</f>
        <v>16.3</v>
      </c>
      <c r="AJ83" s="6">
        <f>_xlfn.STDEV.P(AG83:AG86)</f>
        <v>0.61286213784178112</v>
      </c>
      <c r="AL83" s="10">
        <f t="shared" si="7"/>
        <v>15.579999999999998</v>
      </c>
      <c r="AN83">
        <f>AVERAGE(AL32:AP35)</f>
        <v>16.444999999999997</v>
      </c>
      <c r="AO83" s="6">
        <f>_xlfn.STDEV.P(AL83:AL86)</f>
        <v>0.809861099201585</v>
      </c>
      <c r="AQ83" s="10">
        <f t="shared" si="8"/>
        <v>16.100000000000001</v>
      </c>
      <c r="AS83">
        <f>AVERAGE(AQ32:AU35)</f>
        <v>16.53</v>
      </c>
      <c r="AT83" s="6">
        <f>_xlfn.STDEV.P(AQ83:AQ86)</f>
        <v>0.50169711978443732</v>
      </c>
    </row>
    <row r="84" spans="1:46" x14ac:dyDescent="0.25">
      <c r="A84" s="34"/>
      <c r="B84" s="33">
        <v>2</v>
      </c>
      <c r="C84" s="10">
        <f t="shared" si="0"/>
        <v>3.2399999999999998</v>
      </c>
      <c r="E84" s="9"/>
      <c r="F84" s="6"/>
      <c r="H84" s="10">
        <f t="shared" si="1"/>
        <v>5.16</v>
      </c>
      <c r="J84" s="9"/>
      <c r="K84" s="6"/>
      <c r="M84" s="10">
        <f t="shared" si="2"/>
        <v>9.6</v>
      </c>
      <c r="O84" s="9"/>
      <c r="P84" s="6"/>
      <c r="R84" s="10">
        <f t="shared" si="3"/>
        <v>13.14</v>
      </c>
      <c r="T84" s="9"/>
      <c r="U84" s="6"/>
      <c r="W84" s="10">
        <f t="shared" si="4"/>
        <v>14.98</v>
      </c>
      <c r="Y84" s="9"/>
      <c r="Z84" s="6"/>
      <c r="AB84" s="10">
        <f t="shared" si="5"/>
        <v>16.46</v>
      </c>
      <c r="AD84" s="9"/>
      <c r="AE84" s="6"/>
      <c r="AG84" s="10">
        <f t="shared" si="6"/>
        <v>15.560000000000002</v>
      </c>
      <c r="AI84" s="9"/>
      <c r="AJ84" s="6"/>
      <c r="AL84" s="10">
        <f t="shared" si="7"/>
        <v>17.54</v>
      </c>
      <c r="AN84" s="9"/>
      <c r="AO84" s="6"/>
      <c r="AQ84" s="10">
        <f t="shared" si="8"/>
        <v>17.16</v>
      </c>
      <c r="AS84" s="9"/>
      <c r="AT84" s="6"/>
    </row>
    <row r="85" spans="1:46" x14ac:dyDescent="0.25">
      <c r="A85" s="34"/>
      <c r="B85" s="33">
        <v>3</v>
      </c>
      <c r="C85" s="10">
        <f t="shared" si="0"/>
        <v>2.94</v>
      </c>
      <c r="F85" s="6"/>
      <c r="H85" s="10">
        <f t="shared" si="1"/>
        <v>4.82</v>
      </c>
      <c r="K85" s="6"/>
      <c r="M85" s="10">
        <f t="shared" si="2"/>
        <v>8.84</v>
      </c>
      <c r="P85" s="6"/>
      <c r="R85" s="10">
        <f t="shared" si="3"/>
        <v>12.14</v>
      </c>
      <c r="U85" s="6"/>
      <c r="W85" s="10">
        <f t="shared" si="4"/>
        <v>14.919999999999998</v>
      </c>
      <c r="Z85" s="6"/>
      <c r="AB85" s="10">
        <f t="shared" si="5"/>
        <v>15.179999999999998</v>
      </c>
      <c r="AE85" s="6"/>
      <c r="AG85" s="10">
        <f t="shared" si="6"/>
        <v>17.239999999999998</v>
      </c>
      <c r="AJ85" s="6"/>
      <c r="AL85" s="10">
        <f t="shared" si="7"/>
        <v>15.760000000000002</v>
      </c>
      <c r="AO85" s="6"/>
      <c r="AQ85" s="10">
        <f t="shared" si="8"/>
        <v>15.98</v>
      </c>
      <c r="AT85" s="6"/>
    </row>
    <row r="86" spans="1:46" ht="15.75" thickBot="1" x14ac:dyDescent="0.3">
      <c r="A86" s="56"/>
      <c r="B86" s="55">
        <v>4</v>
      </c>
      <c r="C86" s="10">
        <f t="shared" si="0"/>
        <v>3.2</v>
      </c>
      <c r="F86" s="6"/>
      <c r="H86" s="10">
        <f t="shared" si="1"/>
        <v>5.14</v>
      </c>
      <c r="K86" s="6"/>
      <c r="M86" s="10">
        <f t="shared" si="2"/>
        <v>9.9199999999999982</v>
      </c>
      <c r="P86" s="6"/>
      <c r="R86" s="10">
        <f t="shared" si="3"/>
        <v>12.98</v>
      </c>
      <c r="U86" s="6"/>
      <c r="W86" s="10">
        <f t="shared" si="4"/>
        <v>15.02</v>
      </c>
      <c r="Z86" s="6"/>
      <c r="AB86" s="10">
        <f t="shared" si="5"/>
        <v>16.159999999999997</v>
      </c>
      <c r="AE86" s="6"/>
      <c r="AG86" s="10">
        <f t="shared" si="6"/>
        <v>16.359999999999996</v>
      </c>
      <c r="AJ86" s="6"/>
      <c r="AL86" s="10">
        <f t="shared" si="7"/>
        <v>16.899999999999999</v>
      </c>
      <c r="AO86" s="6"/>
      <c r="AQ86" s="10">
        <f t="shared" si="8"/>
        <v>16.880000000000003</v>
      </c>
      <c r="AT86" s="6"/>
    </row>
    <row r="87" spans="1:46" x14ac:dyDescent="0.25">
      <c r="A87" s="48" t="s">
        <v>32</v>
      </c>
      <c r="B87" s="47">
        <v>1</v>
      </c>
      <c r="C87" s="10">
        <f t="shared" si="0"/>
        <v>3.04</v>
      </c>
      <c r="E87">
        <f>AVERAGE(C36:G39)</f>
        <v>3.0900000000000003</v>
      </c>
      <c r="F87" s="6">
        <f>_xlfn.STDEV.P(C87:C90)</f>
        <v>4.5825756949558441E-2</v>
      </c>
      <c r="H87" s="10">
        <f t="shared" si="1"/>
        <v>4.76</v>
      </c>
      <c r="J87">
        <f>AVERAGE(H36:L39)</f>
        <v>4.8949999999999996</v>
      </c>
      <c r="K87" s="6">
        <f>_xlfn.STDEV.P(H87:H90)</f>
        <v>0.17571283390805603</v>
      </c>
      <c r="M87" s="10">
        <f t="shared" si="2"/>
        <v>9.1399999999999988</v>
      </c>
      <c r="O87">
        <f>AVERAGE(M36:Q39)</f>
        <v>9.2249999999999996</v>
      </c>
      <c r="P87" s="6">
        <f>_xlfn.STDEV.P(M87:M90)</f>
        <v>0.18350749303502525</v>
      </c>
      <c r="R87" s="10">
        <f t="shared" si="3"/>
        <v>12.4</v>
      </c>
      <c r="T87">
        <f>AVERAGE(R36:V39)</f>
        <v>12.319999999999999</v>
      </c>
      <c r="U87" s="6">
        <f>_xlfn.STDEV.P(R87:R90)</f>
        <v>0.3749666651850535</v>
      </c>
      <c r="W87" s="10">
        <f t="shared" si="4"/>
        <v>16.119999999999997</v>
      </c>
      <c r="Y87">
        <f>AVERAGE(W36:AA39)</f>
        <v>15.530000000000001</v>
      </c>
      <c r="Z87" s="6">
        <f>_xlfn.STDEV.P(W87:W90)</f>
        <v>0.4794788837894729</v>
      </c>
      <c r="AB87" s="10">
        <f t="shared" si="5"/>
        <v>18.38</v>
      </c>
      <c r="AD87">
        <f>AVERAGE(AB36:AF39)</f>
        <v>17.54</v>
      </c>
      <c r="AE87" s="6">
        <f>_xlfn.STDEV.P(AB87:AB90)</f>
        <v>0.6044832503882962</v>
      </c>
      <c r="AG87" s="10">
        <f t="shared" si="6"/>
        <v>19.139999999999997</v>
      </c>
      <c r="AI87">
        <f>AVERAGE(AG36:AK39)</f>
        <v>18.564999999999994</v>
      </c>
      <c r="AJ87" s="6">
        <f>_xlfn.STDEV.P(AG87:AG90)</f>
        <v>0.50207071215118682</v>
      </c>
      <c r="AL87" s="10">
        <f t="shared" si="7"/>
        <v>19.04</v>
      </c>
      <c r="AN87">
        <f>AVERAGE(AL36:AP39)</f>
        <v>18.760000000000002</v>
      </c>
      <c r="AO87" s="6">
        <f>_xlfn.STDEV.P(AL87:AL90)</f>
        <v>0.49899899799498604</v>
      </c>
      <c r="AQ87" s="10">
        <f t="shared" si="8"/>
        <v>19.100000000000001</v>
      </c>
      <c r="AS87">
        <f>AVERAGE(AQ36:AU39)</f>
        <v>18.96</v>
      </c>
      <c r="AT87" s="6">
        <f>_xlfn.STDEV.P(AQ87:AQ90)</f>
        <v>0.64544558252419748</v>
      </c>
    </row>
    <row r="88" spans="1:46" x14ac:dyDescent="0.25">
      <c r="A88" s="34"/>
      <c r="B88" s="33">
        <v>2</v>
      </c>
      <c r="C88" s="10">
        <f t="shared" si="0"/>
        <v>3.06</v>
      </c>
      <c r="E88" s="9"/>
      <c r="F88" s="6"/>
      <c r="H88" s="10">
        <f t="shared" si="1"/>
        <v>4.9800000000000004</v>
      </c>
      <c r="J88" s="9"/>
      <c r="K88" s="6"/>
      <c r="M88" s="10">
        <f t="shared" si="2"/>
        <v>9.26</v>
      </c>
      <c r="O88" s="9"/>
      <c r="P88" s="6"/>
      <c r="R88" s="10">
        <f t="shared" si="3"/>
        <v>11.96</v>
      </c>
      <c r="T88" s="9"/>
      <c r="U88" s="6"/>
      <c r="W88" s="10">
        <f t="shared" si="4"/>
        <v>15.48</v>
      </c>
      <c r="Y88" s="9"/>
      <c r="Z88" s="6"/>
      <c r="AB88" s="10">
        <f t="shared" si="5"/>
        <v>16.68</v>
      </c>
      <c r="AD88" s="9"/>
      <c r="AE88" s="6"/>
      <c r="AG88" s="10">
        <f t="shared" si="6"/>
        <v>17.759999999999998</v>
      </c>
      <c r="AI88" s="9"/>
      <c r="AJ88" s="6"/>
      <c r="AL88" s="10">
        <f t="shared" si="7"/>
        <v>17.899999999999999</v>
      </c>
      <c r="AN88" s="9"/>
      <c r="AO88" s="6"/>
      <c r="AQ88" s="10">
        <f t="shared" si="8"/>
        <v>18.119999999999997</v>
      </c>
      <c r="AS88" s="9"/>
      <c r="AT88" s="6"/>
    </row>
    <row r="89" spans="1:46" x14ac:dyDescent="0.25">
      <c r="A89" s="34"/>
      <c r="B89" s="33">
        <v>3</v>
      </c>
      <c r="C89" s="10">
        <f t="shared" si="0"/>
        <v>3.1</v>
      </c>
      <c r="F89" s="6"/>
      <c r="H89" s="10">
        <f t="shared" si="1"/>
        <v>4.7</v>
      </c>
      <c r="K89" s="6"/>
      <c r="M89" s="10">
        <f t="shared" si="2"/>
        <v>9.0000000000000018</v>
      </c>
      <c r="P89" s="6"/>
      <c r="R89" s="10">
        <f t="shared" si="3"/>
        <v>12.02</v>
      </c>
      <c r="U89" s="6"/>
      <c r="W89" s="10">
        <f t="shared" si="4"/>
        <v>14.8</v>
      </c>
      <c r="Z89" s="6"/>
      <c r="AB89" s="10">
        <f t="shared" si="5"/>
        <v>17.46</v>
      </c>
      <c r="AE89" s="6"/>
      <c r="AG89" s="10">
        <f t="shared" si="6"/>
        <v>18.72</v>
      </c>
      <c r="AJ89" s="6"/>
      <c r="AL89" s="10">
        <f t="shared" si="7"/>
        <v>19.119999999999997</v>
      </c>
      <c r="AO89" s="6"/>
      <c r="AQ89" s="10">
        <f t="shared" si="8"/>
        <v>19.899999999999999</v>
      </c>
      <c r="AT89" s="6"/>
    </row>
    <row r="90" spans="1:46" ht="15.75" thickBot="1" x14ac:dyDescent="0.3">
      <c r="A90" s="27"/>
      <c r="B90" s="26">
        <v>4</v>
      </c>
      <c r="C90" s="10">
        <f t="shared" si="0"/>
        <v>3.16</v>
      </c>
      <c r="F90" s="6"/>
      <c r="H90" s="10">
        <f t="shared" si="1"/>
        <v>5.1400000000000006</v>
      </c>
      <c r="K90" s="6"/>
      <c r="M90" s="10">
        <f t="shared" si="2"/>
        <v>9.5</v>
      </c>
      <c r="P90" s="6"/>
      <c r="R90" s="10">
        <f t="shared" si="3"/>
        <v>12.9</v>
      </c>
      <c r="U90" s="6"/>
      <c r="W90" s="10">
        <f t="shared" si="4"/>
        <v>15.719999999999999</v>
      </c>
      <c r="Z90" s="6"/>
      <c r="AB90" s="10">
        <f t="shared" si="5"/>
        <v>17.639999999999997</v>
      </c>
      <c r="AE90" s="6"/>
      <c r="AG90" s="10">
        <f t="shared" si="6"/>
        <v>18.64</v>
      </c>
      <c r="AJ90" s="6"/>
      <c r="AL90" s="10">
        <f t="shared" si="7"/>
        <v>18.98</v>
      </c>
      <c r="AO90" s="6"/>
      <c r="AQ90" s="10">
        <f t="shared" si="8"/>
        <v>18.72</v>
      </c>
      <c r="AT90" s="6"/>
    </row>
    <row r="91" spans="1:46" x14ac:dyDescent="0.25">
      <c r="A91" s="41" t="s">
        <v>33</v>
      </c>
      <c r="B91" s="40">
        <v>1</v>
      </c>
      <c r="C91" s="10">
        <f t="shared" si="0"/>
        <v>2.9400000000000004</v>
      </c>
      <c r="E91">
        <f>AVERAGE(C40:G43)</f>
        <v>3.15</v>
      </c>
      <c r="F91" s="6">
        <f>_xlfn.STDEV.P(C91:C94)</f>
        <v>0.13747727084867495</v>
      </c>
      <c r="H91" s="10">
        <f t="shared" si="1"/>
        <v>4.9799999999999995</v>
      </c>
      <c r="J91">
        <f>AVERAGE(H40:L43)</f>
        <v>4.99</v>
      </c>
      <c r="K91" s="6">
        <f>_xlfn.STDEV.P(H91:H94)</f>
        <v>0.13964240043768897</v>
      </c>
      <c r="M91" s="10">
        <f t="shared" si="2"/>
        <v>9.52</v>
      </c>
      <c r="O91">
        <f>AVERAGE(M40:Q43)</f>
        <v>9.3449999999999989</v>
      </c>
      <c r="P91" s="6">
        <f>_xlfn.STDEV.P(M91:M94)</f>
        <v>0.2281994741448807</v>
      </c>
      <c r="R91" s="10">
        <f t="shared" si="3"/>
        <v>12.6</v>
      </c>
      <c r="T91">
        <f>AVERAGE(R40:V43)</f>
        <v>12.73</v>
      </c>
      <c r="U91" s="6">
        <f>_xlfn.STDEV.P(R91:R94)</f>
        <v>0.22693611435820424</v>
      </c>
      <c r="W91" s="10">
        <f t="shared" si="4"/>
        <v>15.7</v>
      </c>
      <c r="Y91">
        <f>AVERAGE(W40:AA43)</f>
        <v>16.009999999999998</v>
      </c>
      <c r="Z91" s="6">
        <f>_xlfn.STDEV.P(W91:W94)</f>
        <v>0.35227829907617081</v>
      </c>
      <c r="AB91" s="10">
        <f t="shared" si="5"/>
        <v>18.160000000000004</v>
      </c>
      <c r="AD91">
        <f>AVERAGE(AB40:AF43)</f>
        <v>18.614999999999998</v>
      </c>
      <c r="AE91" s="6">
        <f>_xlfn.STDEV.P(AB91:AB94)</f>
        <v>0.32322592717787796</v>
      </c>
      <c r="AG91" s="10">
        <f t="shared" si="6"/>
        <v>19.240000000000002</v>
      </c>
      <c r="AI91">
        <f>AVERAGE(AG40:AK43)</f>
        <v>19.199999999999996</v>
      </c>
      <c r="AJ91" s="6">
        <f>_xlfn.STDEV.P(AG91:AG94)</f>
        <v>0.15748015748023694</v>
      </c>
      <c r="AL91" s="10">
        <f t="shared" si="7"/>
        <v>19.739999999999998</v>
      </c>
      <c r="AN91">
        <f>AVERAGE(AL40:AP43)</f>
        <v>19.555000000000003</v>
      </c>
      <c r="AO91" s="6">
        <f>_xlfn.STDEV.P(AL91:AL94)</f>
        <v>0.32965891463753905</v>
      </c>
      <c r="AQ91" s="10">
        <f t="shared" si="8"/>
        <v>19.2</v>
      </c>
      <c r="AS91">
        <f>AVERAGE(AQ40:AU43)</f>
        <v>19.360000000000003</v>
      </c>
      <c r="AT91" s="6">
        <f>_xlfn.STDEV.P(AQ91:AQ94)</f>
        <v>0.20049937655763436</v>
      </c>
    </row>
    <row r="92" spans="1:46" x14ac:dyDescent="0.25">
      <c r="A92" s="34"/>
      <c r="B92" s="33">
        <v>2</v>
      </c>
      <c r="C92" s="10">
        <f t="shared" si="0"/>
        <v>3.3</v>
      </c>
      <c r="E92" s="9"/>
      <c r="F92" s="6"/>
      <c r="H92" s="10">
        <f t="shared" si="1"/>
        <v>4.9000000000000004</v>
      </c>
      <c r="J92" s="9"/>
      <c r="K92" s="6"/>
      <c r="M92" s="10">
        <f t="shared" si="2"/>
        <v>9.1</v>
      </c>
      <c r="O92" s="9"/>
      <c r="P92" s="6"/>
      <c r="R92" s="10">
        <f t="shared" si="3"/>
        <v>12.559999999999999</v>
      </c>
      <c r="T92" s="9"/>
      <c r="U92" s="6"/>
      <c r="W92" s="10">
        <f t="shared" si="4"/>
        <v>15.62</v>
      </c>
      <c r="Y92" s="9"/>
      <c r="Z92" s="6"/>
      <c r="AB92" s="10">
        <f t="shared" si="5"/>
        <v>19.059999999999999</v>
      </c>
      <c r="AD92" s="9"/>
      <c r="AE92" s="6"/>
      <c r="AG92" s="10">
        <f t="shared" si="6"/>
        <v>19.2</v>
      </c>
      <c r="AI92" s="9"/>
      <c r="AJ92" s="6"/>
      <c r="AL92" s="10">
        <f t="shared" si="7"/>
        <v>19.98</v>
      </c>
      <c r="AN92" s="9"/>
      <c r="AO92" s="6"/>
      <c r="AQ92" s="10">
        <f t="shared" si="8"/>
        <v>19.68</v>
      </c>
      <c r="AS92" s="9"/>
      <c r="AT92" s="6"/>
    </row>
    <row r="93" spans="1:46" x14ac:dyDescent="0.25">
      <c r="A93" s="34"/>
      <c r="B93" s="33">
        <v>3</v>
      </c>
      <c r="C93" s="10">
        <f t="shared" si="0"/>
        <v>3.12</v>
      </c>
      <c r="F93" s="6"/>
      <c r="H93" s="10">
        <f t="shared" si="1"/>
        <v>4.8600000000000012</v>
      </c>
      <c r="K93" s="6"/>
      <c r="M93" s="10">
        <f t="shared" si="2"/>
        <v>9.14</v>
      </c>
      <c r="P93" s="6"/>
      <c r="R93" s="10">
        <f t="shared" si="3"/>
        <v>12.64</v>
      </c>
      <c r="U93" s="6"/>
      <c r="W93" s="10">
        <f t="shared" si="4"/>
        <v>16.399999999999999</v>
      </c>
      <c r="Z93" s="6"/>
      <c r="AB93" s="10">
        <f t="shared" si="5"/>
        <v>18.54</v>
      </c>
      <c r="AE93" s="6"/>
      <c r="AG93" s="10">
        <f t="shared" si="6"/>
        <v>18.959999999999997</v>
      </c>
      <c r="AJ93" s="6"/>
      <c r="AL93" s="10">
        <f t="shared" si="7"/>
        <v>19.119999999999997</v>
      </c>
      <c r="AO93" s="6"/>
      <c r="AQ93" s="10">
        <f t="shared" si="8"/>
        <v>19.380000000000003</v>
      </c>
      <c r="AT93" s="6"/>
    </row>
    <row r="94" spans="1:46" ht="15.75" thickBot="1" x14ac:dyDescent="0.3">
      <c r="A94" s="56"/>
      <c r="B94" s="55">
        <v>4</v>
      </c>
      <c r="C94" s="10">
        <f t="shared" si="0"/>
        <v>3.2399999999999998</v>
      </c>
      <c r="F94" s="6"/>
      <c r="H94" s="10">
        <f t="shared" si="1"/>
        <v>5.22</v>
      </c>
      <c r="K94" s="6"/>
      <c r="M94" s="10">
        <f t="shared" si="2"/>
        <v>9.620000000000001</v>
      </c>
      <c r="P94" s="6"/>
      <c r="R94" s="10">
        <f t="shared" si="3"/>
        <v>13.12</v>
      </c>
      <c r="U94" s="6"/>
      <c r="W94" s="10">
        <f t="shared" si="4"/>
        <v>16.32</v>
      </c>
      <c r="Z94" s="6"/>
      <c r="AB94" s="10">
        <f t="shared" si="5"/>
        <v>18.7</v>
      </c>
      <c r="AE94" s="6"/>
      <c r="AG94" s="10">
        <f t="shared" si="6"/>
        <v>19.399999999999999</v>
      </c>
      <c r="AJ94" s="6"/>
      <c r="AL94" s="10">
        <f t="shared" si="7"/>
        <v>19.380000000000003</v>
      </c>
      <c r="AO94" s="6"/>
      <c r="AQ94" s="10">
        <f t="shared" si="8"/>
        <v>19.18</v>
      </c>
      <c r="AT94" s="6"/>
    </row>
    <row r="95" spans="1:46" x14ac:dyDescent="0.25">
      <c r="A95" s="48" t="s">
        <v>34</v>
      </c>
      <c r="B95" s="47">
        <v>1</v>
      </c>
      <c r="C95" s="10">
        <f t="shared" si="0"/>
        <v>3.04</v>
      </c>
      <c r="E95">
        <f>AVERAGE(C44:G47)</f>
        <v>3.1500000000000004</v>
      </c>
      <c r="F95" s="6">
        <f>_xlfn.STDEV.P(C95:C98)</f>
        <v>0.16822603841260717</v>
      </c>
      <c r="H95" s="10">
        <f t="shared" si="1"/>
        <v>5.18</v>
      </c>
      <c r="J95">
        <f>AVERAGE(H44:L47)</f>
        <v>5.01</v>
      </c>
      <c r="K95" s="6">
        <f>_xlfn.STDEV.P(H95:H98)</f>
        <v>0.24433583445741222</v>
      </c>
      <c r="M95" s="10">
        <f t="shared" si="2"/>
        <v>9.3600000000000012</v>
      </c>
      <c r="O95">
        <f>AVERAGE(M44:Q47)</f>
        <v>9.01</v>
      </c>
      <c r="P95" s="6">
        <f>_xlfn.STDEV.P(M95:M98)</f>
        <v>0.24351591323771871</v>
      </c>
      <c r="R95" s="10">
        <f t="shared" si="3"/>
        <v>12.78</v>
      </c>
      <c r="T95">
        <f>AVERAGE(R44:V47)</f>
        <v>12.35</v>
      </c>
      <c r="U95" s="6">
        <f>_xlfn.STDEV.P(R95:R98)</f>
        <v>0.25632011235952551</v>
      </c>
      <c r="W95" s="10">
        <f t="shared" si="4"/>
        <v>15.34</v>
      </c>
      <c r="Y95">
        <f>AVERAGE(W44:AA47)</f>
        <v>15.219999999999999</v>
      </c>
      <c r="Z95" s="6">
        <f>_xlfn.STDEV.P(W95:W98)</f>
        <v>0.61253571324454292</v>
      </c>
      <c r="AB95" s="10">
        <f t="shared" si="5"/>
        <v>18.499999999999996</v>
      </c>
      <c r="AD95">
        <f>AVERAGE(AB44:AF47)</f>
        <v>17.75</v>
      </c>
      <c r="AE95" s="6">
        <f>_xlfn.STDEV.P(AB95:AB98)</f>
        <v>0.78032044699597547</v>
      </c>
      <c r="AG95" s="10">
        <f t="shared" si="6"/>
        <v>20.74</v>
      </c>
      <c r="AI95">
        <f>AVERAGE(AG44:AK47)</f>
        <v>20.274999999999999</v>
      </c>
      <c r="AJ95" s="6">
        <f>_xlfn.STDEV.P(AG95:AG98)</f>
        <v>1.1080952125156027</v>
      </c>
      <c r="AL95" s="10">
        <f t="shared" si="7"/>
        <v>21.04</v>
      </c>
      <c r="AN95">
        <f>AVERAGE(AL44:AP47)</f>
        <v>20.675000000000001</v>
      </c>
      <c r="AO95" s="6">
        <f>_xlfn.STDEV.P(AL95:AL98)</f>
        <v>1.1787599416335799</v>
      </c>
      <c r="AQ95" s="10">
        <f t="shared" si="8"/>
        <v>21.880000000000003</v>
      </c>
      <c r="AS95">
        <f>AVERAGE(AQ44:AU47)</f>
        <v>21.184999999999999</v>
      </c>
      <c r="AT95" s="6">
        <f>_xlfn.STDEV.P(AQ95:AQ98)</f>
        <v>1.4092107720280895</v>
      </c>
    </row>
    <row r="96" spans="1:46" x14ac:dyDescent="0.25">
      <c r="A96" s="34"/>
      <c r="B96" s="33">
        <v>2</v>
      </c>
      <c r="C96" s="10">
        <f t="shared" si="0"/>
        <v>3.04</v>
      </c>
      <c r="E96" s="9"/>
      <c r="F96" s="6"/>
      <c r="H96" s="10">
        <f t="shared" si="1"/>
        <v>4.68</v>
      </c>
      <c r="J96" s="9"/>
      <c r="K96" s="6"/>
      <c r="M96" s="10">
        <f t="shared" si="2"/>
        <v>8.7200000000000006</v>
      </c>
      <c r="O96" s="9"/>
      <c r="P96" s="6"/>
      <c r="R96" s="10">
        <f t="shared" si="3"/>
        <v>12.2</v>
      </c>
      <c r="T96" s="9"/>
      <c r="U96" s="6"/>
      <c r="W96" s="10">
        <f t="shared" si="4"/>
        <v>15.219999999999999</v>
      </c>
      <c r="Y96" s="9"/>
      <c r="Z96" s="6"/>
      <c r="AB96" s="10">
        <f t="shared" si="5"/>
        <v>17.240000000000002</v>
      </c>
      <c r="AD96" s="9"/>
      <c r="AE96" s="6"/>
      <c r="AG96" s="10">
        <f t="shared" si="6"/>
        <v>20.160000000000004</v>
      </c>
      <c r="AI96" s="9"/>
      <c r="AJ96" s="6"/>
      <c r="AL96" s="10">
        <f t="shared" si="7"/>
        <v>20.580000000000002</v>
      </c>
      <c r="AN96" s="9"/>
      <c r="AO96" s="6"/>
      <c r="AQ96" s="10">
        <f t="shared" si="8"/>
        <v>20.32</v>
      </c>
      <c r="AS96" s="9"/>
      <c r="AT96" s="6"/>
    </row>
    <row r="97" spans="1:46" x14ac:dyDescent="0.25">
      <c r="A97" s="34"/>
      <c r="B97" s="33">
        <v>3</v>
      </c>
      <c r="C97" s="10">
        <f t="shared" si="0"/>
        <v>3.08</v>
      </c>
      <c r="F97" s="6"/>
      <c r="H97" s="10">
        <f t="shared" si="1"/>
        <v>4.8800000000000008</v>
      </c>
      <c r="K97" s="6"/>
      <c r="M97" s="10">
        <f t="shared" si="2"/>
        <v>8.86</v>
      </c>
      <c r="P97" s="6"/>
      <c r="R97" s="10">
        <f t="shared" si="3"/>
        <v>12.120000000000001</v>
      </c>
      <c r="U97" s="6"/>
      <c r="W97" s="10">
        <f t="shared" si="4"/>
        <v>16.020000000000003</v>
      </c>
      <c r="Z97" s="6"/>
      <c r="AB97" s="10">
        <f t="shared" si="5"/>
        <v>18.52</v>
      </c>
      <c r="AE97" s="6"/>
      <c r="AG97" s="10">
        <f t="shared" si="6"/>
        <v>21.62</v>
      </c>
      <c r="AJ97" s="6"/>
      <c r="AL97" s="10">
        <f t="shared" si="7"/>
        <v>22.18</v>
      </c>
      <c r="AO97" s="6"/>
      <c r="AQ97" s="10">
        <f t="shared" si="8"/>
        <v>23.1</v>
      </c>
      <c r="AT97" s="6"/>
    </row>
    <row r="98" spans="1:46" ht="15.75" thickBot="1" x14ac:dyDescent="0.3">
      <c r="A98" s="27"/>
      <c r="B98" s="26">
        <v>4</v>
      </c>
      <c r="C98" s="10">
        <f t="shared" si="0"/>
        <v>3.44</v>
      </c>
      <c r="F98" s="6"/>
      <c r="H98" s="10">
        <f t="shared" si="1"/>
        <v>5.3</v>
      </c>
      <c r="K98" s="6"/>
      <c r="M98" s="10">
        <f t="shared" si="2"/>
        <v>9.1</v>
      </c>
      <c r="P98" s="6"/>
      <c r="R98" s="10">
        <f t="shared" si="3"/>
        <v>12.3</v>
      </c>
      <c r="U98" s="6"/>
      <c r="W98" s="10">
        <f t="shared" si="4"/>
        <v>14.3</v>
      </c>
      <c r="Z98" s="6"/>
      <c r="AB98" s="10">
        <f t="shared" si="5"/>
        <v>16.739999999999998</v>
      </c>
      <c r="AE98" s="6"/>
      <c r="AG98" s="10">
        <f t="shared" si="6"/>
        <v>18.580000000000002</v>
      </c>
      <c r="AJ98" s="6"/>
      <c r="AL98" s="10">
        <f t="shared" si="7"/>
        <v>18.899999999999999</v>
      </c>
      <c r="AO98" s="6"/>
      <c r="AQ98" s="10">
        <f t="shared" si="8"/>
        <v>19.439999999999998</v>
      </c>
      <c r="AT98" s="6"/>
    </row>
    <row r="99" spans="1:46" x14ac:dyDescent="0.25">
      <c r="A99" s="48" t="s">
        <v>35</v>
      </c>
      <c r="B99" s="47">
        <v>1</v>
      </c>
      <c r="C99" s="10">
        <f t="shared" si="0"/>
        <v>2.78</v>
      </c>
      <c r="E99">
        <f>AVERAGE(C48:G51)</f>
        <v>2.8650000000000002</v>
      </c>
      <c r="F99" s="6">
        <f>_xlfn.STDEV.P(C99:C102)</f>
        <v>0.3293554311074896</v>
      </c>
      <c r="H99" s="10">
        <f t="shared" si="1"/>
        <v>4.5199999999999996</v>
      </c>
      <c r="J99">
        <f>AVERAGE(H48:L51)</f>
        <v>4.6055555555555561</v>
      </c>
      <c r="K99" s="6">
        <f>_xlfn.STDEV.P(H99:H102)</f>
        <v>0.16555462341273752</v>
      </c>
      <c r="M99" s="10">
        <f t="shared" si="2"/>
        <v>9.16</v>
      </c>
      <c r="O99">
        <f>AVERAGE(M48:Q51)</f>
        <v>8.7277777777777779</v>
      </c>
      <c r="P99" s="6">
        <f>_xlfn.STDEV.P(M99:M102)</f>
        <v>0.34391132578035322</v>
      </c>
      <c r="R99" s="10">
        <f t="shared" si="3"/>
        <v>12.280000000000001</v>
      </c>
      <c r="T99">
        <f>AVERAGE(R48:V51)</f>
        <v>11.972222222222221</v>
      </c>
      <c r="U99" s="6">
        <f>_xlfn.STDEV.P(R99:R102)</f>
        <v>0.25313040117694302</v>
      </c>
      <c r="W99" s="10">
        <f t="shared" si="4"/>
        <v>15.059999999999999</v>
      </c>
      <c r="Y99">
        <f>AVERAGE(W48:AA51)</f>
        <v>14.983333333333333</v>
      </c>
      <c r="Z99" s="6">
        <f>_xlfn.STDEV.P(W99:W102)</f>
        <v>0.30931375656443055</v>
      </c>
      <c r="AB99" s="10">
        <f t="shared" si="5"/>
        <v>18.22</v>
      </c>
      <c r="AD99">
        <f>AVERAGE(AB48:AF51)</f>
        <v>17.865000000000002</v>
      </c>
      <c r="AE99" s="6">
        <f>_xlfn.STDEV.P(AB99:AB102)</f>
        <v>1.2629627864668074</v>
      </c>
      <c r="AG99" s="10">
        <f t="shared" si="6"/>
        <v>22.119999999999997</v>
      </c>
      <c r="AI99">
        <f>AVERAGE(AG48:AK51)</f>
        <v>20.335000000000001</v>
      </c>
      <c r="AJ99" s="6">
        <f>_xlfn.STDEV.P(AG99:AG102)</f>
        <v>2.087169135455988</v>
      </c>
      <c r="AL99" s="10">
        <f t="shared" si="7"/>
        <v>22.32</v>
      </c>
      <c r="AN99">
        <f>AVERAGE(AL48:AP51)</f>
        <v>21.94736842105263</v>
      </c>
      <c r="AO99" s="6">
        <f>_xlfn.STDEV.P(AL99:AL102)</f>
        <v>0.81139829153135368</v>
      </c>
      <c r="AQ99" s="10">
        <f t="shared" si="8"/>
        <v>22.46</v>
      </c>
      <c r="AS99">
        <f>AVERAGE(AQ48:AU51)</f>
        <v>21.995000000000005</v>
      </c>
      <c r="AT99" s="6">
        <f>_xlfn.STDEV.P(AQ99:AQ102)</f>
        <v>1.9598150422935325</v>
      </c>
    </row>
    <row r="100" spans="1:46" x14ac:dyDescent="0.25">
      <c r="A100" s="34"/>
      <c r="B100" s="33">
        <v>2</v>
      </c>
      <c r="C100" s="10">
        <f t="shared" si="0"/>
        <v>2.42</v>
      </c>
      <c r="E100" s="9"/>
      <c r="F100" s="6"/>
      <c r="H100" s="10">
        <f t="shared" si="1"/>
        <v>4.833333333333333</v>
      </c>
      <c r="J100" s="9"/>
      <c r="K100" s="6"/>
      <c r="M100" s="10">
        <f t="shared" si="2"/>
        <v>8.8000000000000007</v>
      </c>
      <c r="O100" s="9"/>
      <c r="P100" s="6"/>
      <c r="R100" s="10">
        <f t="shared" si="3"/>
        <v>11.700000000000001</v>
      </c>
      <c r="T100" s="9"/>
      <c r="U100" s="6"/>
      <c r="W100" s="10">
        <f t="shared" si="4"/>
        <v>15.4</v>
      </c>
      <c r="Y100" s="9"/>
      <c r="Z100" s="6"/>
      <c r="AB100" s="10">
        <f t="shared" si="5"/>
        <v>15.719999999999999</v>
      </c>
      <c r="AD100" s="9"/>
      <c r="AE100" s="6"/>
      <c r="AG100" s="10">
        <f t="shared" si="6"/>
        <v>16.919999999999998</v>
      </c>
      <c r="AI100" s="9"/>
      <c r="AJ100" s="6"/>
      <c r="AL100" s="10">
        <f t="shared" si="7"/>
        <v>20.475000000000001</v>
      </c>
      <c r="AN100" s="9"/>
      <c r="AO100" s="6"/>
      <c r="AQ100" s="10">
        <f t="shared" si="8"/>
        <v>18.68</v>
      </c>
      <c r="AS100" s="9"/>
      <c r="AT100" s="6"/>
    </row>
    <row r="101" spans="1:46" x14ac:dyDescent="0.25">
      <c r="A101" s="34"/>
      <c r="B101" s="33">
        <v>3</v>
      </c>
      <c r="C101" s="10">
        <f t="shared" si="0"/>
        <v>2.9200000000000004</v>
      </c>
      <c r="F101" s="6"/>
      <c r="H101" s="10">
        <f t="shared" si="1"/>
        <v>4.42</v>
      </c>
      <c r="K101" s="6"/>
      <c r="M101" s="10">
        <f t="shared" si="2"/>
        <v>8.1999999999999993</v>
      </c>
      <c r="P101" s="6"/>
      <c r="R101" s="10">
        <f t="shared" si="3"/>
        <v>11.7</v>
      </c>
      <c r="U101" s="6"/>
      <c r="W101" s="10">
        <f t="shared" si="4"/>
        <v>15.1</v>
      </c>
      <c r="Z101" s="6"/>
      <c r="AB101" s="10">
        <f t="shared" si="5"/>
        <v>18.600000000000001</v>
      </c>
      <c r="AE101" s="6"/>
      <c r="AG101" s="10">
        <f t="shared" si="6"/>
        <v>21.94</v>
      </c>
      <c r="AJ101" s="6"/>
      <c r="AL101" s="10">
        <f t="shared" si="7"/>
        <v>22.240000000000002</v>
      </c>
      <c r="AO101" s="6"/>
      <c r="AQ101" s="10">
        <f t="shared" si="8"/>
        <v>23.2</v>
      </c>
      <c r="AT101" s="6"/>
    </row>
    <row r="102" spans="1:46" ht="15.75" thickBot="1" x14ac:dyDescent="0.3">
      <c r="A102" s="27"/>
      <c r="B102" s="26">
        <v>4</v>
      </c>
      <c r="C102" s="18">
        <f t="shared" si="0"/>
        <v>3.3400000000000007</v>
      </c>
      <c r="D102" s="3"/>
      <c r="E102" s="3"/>
      <c r="F102" s="2"/>
      <c r="H102" s="18">
        <f t="shared" si="1"/>
        <v>4.74</v>
      </c>
      <c r="I102" s="3"/>
      <c r="J102" s="3"/>
      <c r="K102" s="2"/>
      <c r="M102" s="18">
        <f t="shared" si="2"/>
        <v>8.7799999999999994</v>
      </c>
      <c r="N102" s="3"/>
      <c r="O102" s="3"/>
      <c r="P102" s="2"/>
      <c r="R102" s="18">
        <f t="shared" si="3"/>
        <v>12.1</v>
      </c>
      <c r="S102" s="3"/>
      <c r="T102" s="3"/>
      <c r="U102" s="2"/>
      <c r="W102" s="18">
        <f t="shared" si="4"/>
        <v>14.540000000000001</v>
      </c>
      <c r="X102" s="3"/>
      <c r="Y102" s="3"/>
      <c r="Z102" s="2"/>
      <c r="AB102" s="18">
        <f t="shared" si="5"/>
        <v>18.920000000000002</v>
      </c>
      <c r="AC102" s="3"/>
      <c r="AD102" s="3"/>
      <c r="AE102" s="2"/>
      <c r="AG102" s="18">
        <f t="shared" si="6"/>
        <v>20.360000000000003</v>
      </c>
      <c r="AH102" s="3"/>
      <c r="AI102" s="3"/>
      <c r="AJ102" s="2"/>
      <c r="AL102" s="18">
        <f t="shared" si="7"/>
        <v>22.46</v>
      </c>
      <c r="AM102" s="3"/>
      <c r="AN102" s="3"/>
      <c r="AO102" s="2"/>
      <c r="AQ102" s="18">
        <f t="shared" si="8"/>
        <v>23.64</v>
      </c>
      <c r="AR102" s="3"/>
      <c r="AS102" s="3"/>
      <c r="AT102" s="2"/>
    </row>
    <row r="105" spans="1:46" ht="21" x14ac:dyDescent="0.35">
      <c r="A105" s="17" t="s">
        <v>14</v>
      </c>
    </row>
    <row r="106" spans="1:46" ht="15.75" thickBot="1" x14ac:dyDescent="0.3"/>
    <row r="107" spans="1:46" ht="15.75" thickBot="1" x14ac:dyDescent="0.3">
      <c r="A107" s="69">
        <v>44649</v>
      </c>
      <c r="B107" s="70"/>
      <c r="C107" s="71"/>
      <c r="D107" s="66">
        <v>44652</v>
      </c>
      <c r="E107" s="67"/>
      <c r="F107" s="68"/>
      <c r="G107" s="66">
        <v>44656</v>
      </c>
      <c r="H107" s="67"/>
      <c r="I107" s="68"/>
      <c r="J107" s="66">
        <v>44659</v>
      </c>
      <c r="K107" s="67"/>
      <c r="L107" s="68"/>
      <c r="M107" s="66">
        <v>44662</v>
      </c>
      <c r="N107" s="67"/>
      <c r="O107" s="68"/>
      <c r="P107" s="66">
        <v>44665</v>
      </c>
      <c r="Q107" s="67"/>
      <c r="R107" s="68"/>
      <c r="S107" s="66">
        <v>44670</v>
      </c>
      <c r="T107" s="67"/>
      <c r="U107" s="68"/>
      <c r="V107" s="66">
        <v>44673</v>
      </c>
      <c r="W107" s="67"/>
      <c r="X107" s="68"/>
      <c r="Y107" s="66">
        <v>44676</v>
      </c>
      <c r="Z107" s="67"/>
      <c r="AA107" s="68"/>
      <c r="AC107" s="16" t="s">
        <v>13</v>
      </c>
      <c r="AD107" s="14"/>
      <c r="AE107" s="15" t="s">
        <v>12</v>
      </c>
      <c r="AF107" s="14"/>
    </row>
    <row r="108" spans="1:46" x14ac:dyDescent="0.25">
      <c r="A108" s="13">
        <v>1</v>
      </c>
      <c r="B108" s="12">
        <f>E55</f>
        <v>4.67</v>
      </c>
      <c r="C108" s="11"/>
      <c r="E108">
        <f>J55-E55</f>
        <v>2.3999999999999986</v>
      </c>
      <c r="G108" s="7"/>
      <c r="H108">
        <f>O55-J55</f>
        <v>4.92</v>
      </c>
      <c r="I108" s="6"/>
      <c r="K108">
        <f>T55-O55</f>
        <v>2.7799999999999976</v>
      </c>
      <c r="M108" s="7"/>
      <c r="N108">
        <f>Y55-T55</f>
        <v>1.7900000000000027</v>
      </c>
      <c r="O108" s="6"/>
      <c r="P108" s="7"/>
      <c r="Q108">
        <f>AD55-Y55</f>
        <v>0.41000000000000014</v>
      </c>
      <c r="R108" s="6"/>
      <c r="T108">
        <f>AI55-AD55</f>
        <v>0.25500000000000256</v>
      </c>
      <c r="V108" s="7"/>
      <c r="W108">
        <f>AN55-AI55</f>
        <v>0.17500000000000071</v>
      </c>
      <c r="X108" s="6"/>
      <c r="Y108" s="7"/>
      <c r="Z108">
        <f>AS55-AN55</f>
        <v>1.9999999999999574E-2</v>
      </c>
      <c r="AA108" s="6"/>
      <c r="AC108" s="7">
        <f>SUM(B108,E108,H108,K108,N108,Q108,T108,W108,Z108)</f>
        <v>17.420000000000002</v>
      </c>
      <c r="AD108" s="6" t="s">
        <v>11</v>
      </c>
      <c r="AE108">
        <f>AS55</f>
        <v>17.420000000000002</v>
      </c>
      <c r="AF108" s="6" t="s">
        <v>11</v>
      </c>
    </row>
    <row r="109" spans="1:46" x14ac:dyDescent="0.25">
      <c r="A109" s="8"/>
      <c r="B109">
        <f>100/$AS$55*B108</f>
        <v>26.808266360505165</v>
      </c>
      <c r="C109" s="6" t="s">
        <v>10</v>
      </c>
      <c r="E109">
        <f>100/$AS$55*E108</f>
        <v>13.777267508610782</v>
      </c>
      <c r="F109" t="s">
        <v>10</v>
      </c>
      <c r="G109" s="7"/>
      <c r="H109">
        <f>100/$AS$55*H108</f>
        <v>28.243398392652121</v>
      </c>
      <c r="I109" s="6" t="s">
        <v>10</v>
      </c>
      <c r="K109">
        <f>100/$AS$55*K108</f>
        <v>15.958668197474152</v>
      </c>
      <c r="L109" t="s">
        <v>10</v>
      </c>
      <c r="M109" s="7"/>
      <c r="N109">
        <f>100/$AS$55*N108</f>
        <v>10.27554535017223</v>
      </c>
      <c r="O109" s="6" t="s">
        <v>10</v>
      </c>
      <c r="P109" s="7"/>
      <c r="Q109">
        <f>100/$AS$55*Q108</f>
        <v>2.353616532721011</v>
      </c>
      <c r="R109" s="6" t="s">
        <v>10</v>
      </c>
      <c r="T109">
        <f>100/$AS$55*T108</f>
        <v>1.4638346727899112</v>
      </c>
      <c r="U109" t="s">
        <v>10</v>
      </c>
      <c r="V109" s="7"/>
      <c r="W109">
        <f>100/$AS$55*W108</f>
        <v>1.0045924225028742</v>
      </c>
      <c r="X109" s="6" t="s">
        <v>10</v>
      </c>
      <c r="Y109" s="7"/>
      <c r="Z109">
        <f>100/$AS$55*Z108</f>
        <v>0.11481056257175415</v>
      </c>
      <c r="AA109" s="6" t="s">
        <v>10</v>
      </c>
      <c r="AC109" s="7">
        <f>SUM(B109,E109,H109,K109,N109,Q109,T109,W109,Z109)</f>
        <v>100.00000000000001</v>
      </c>
      <c r="AD109" s="6" t="s">
        <v>10</v>
      </c>
      <c r="AF109" s="6"/>
    </row>
    <row r="110" spans="1:46" x14ac:dyDescent="0.25">
      <c r="A110" s="8"/>
      <c r="C110" s="6"/>
      <c r="G110" s="7"/>
      <c r="I110" s="6"/>
      <c r="M110" s="7"/>
      <c r="O110" s="6"/>
      <c r="P110" s="7"/>
      <c r="R110" s="6"/>
      <c r="V110" s="7"/>
      <c r="X110" s="6"/>
      <c r="Y110" s="7"/>
      <c r="AA110" s="6"/>
      <c r="AC110" s="7"/>
      <c r="AD110" s="6"/>
      <c r="AF110" s="6"/>
    </row>
    <row r="111" spans="1:46" x14ac:dyDescent="0.25">
      <c r="A111" s="8"/>
      <c r="C111" s="6"/>
      <c r="G111" s="7"/>
      <c r="I111" s="6"/>
      <c r="M111" s="7"/>
      <c r="O111" s="6"/>
      <c r="P111" s="7"/>
      <c r="R111" s="6"/>
      <c r="V111" s="7"/>
      <c r="X111" s="6"/>
      <c r="Y111" s="7"/>
      <c r="AA111" s="6"/>
      <c r="AC111" s="7"/>
      <c r="AD111" s="6"/>
      <c r="AF111" s="6"/>
    </row>
    <row r="112" spans="1:46" x14ac:dyDescent="0.25">
      <c r="A112" s="8">
        <v>2</v>
      </c>
      <c r="B112">
        <f>E59</f>
        <v>4.33</v>
      </c>
      <c r="C112" s="6"/>
      <c r="E112">
        <f>J59-E59</f>
        <v>2.4050000000000011</v>
      </c>
      <c r="G112" s="7"/>
      <c r="H112">
        <f>O59-J59</f>
        <v>4.8149999999999977</v>
      </c>
      <c r="I112" s="6"/>
      <c r="K112">
        <f>T59-O59</f>
        <v>2.5700000000000021</v>
      </c>
      <c r="M112" s="7"/>
      <c r="N112">
        <f>Y59-T59</f>
        <v>1.9150000000000027</v>
      </c>
      <c r="O112" s="6"/>
      <c r="P112" s="7"/>
      <c r="Q112">
        <f>AD59-Y59</f>
        <v>1.2349999999999994</v>
      </c>
      <c r="R112" s="6"/>
      <c r="T112">
        <f>AI59-AD59</f>
        <v>0.14999999999999147</v>
      </c>
      <c r="V112" s="7"/>
      <c r="W112">
        <f>AN59-AI59</f>
        <v>0.26000000000000512</v>
      </c>
      <c r="X112" s="6"/>
      <c r="Y112" s="7"/>
      <c r="Z112">
        <f>AS59-AN59</f>
        <v>-0.16499999999999915</v>
      </c>
      <c r="AA112" s="6"/>
      <c r="AC112" s="10">
        <f>SUM(B112,E112,H112,K112,N112,Q112,T112,W112,Z112)</f>
        <v>17.515000000000001</v>
      </c>
      <c r="AD112" s="6" t="s">
        <v>11</v>
      </c>
      <c r="AE112" s="9">
        <f>AS59</f>
        <v>17.515000000000001</v>
      </c>
      <c r="AF112" s="6" t="s">
        <v>11</v>
      </c>
    </row>
    <row r="113" spans="1:32" x14ac:dyDescent="0.25">
      <c r="A113" s="8"/>
      <c r="B113">
        <f>100/$AS$59*B112</f>
        <v>24.721667142449331</v>
      </c>
      <c r="C113" s="6" t="s">
        <v>10</v>
      </c>
      <c r="E113">
        <f>100/$AS$59*E112</f>
        <v>13.731087639166436</v>
      </c>
      <c r="F113" t="s">
        <v>10</v>
      </c>
      <c r="G113" s="7"/>
      <c r="H113">
        <f>100/$AS$59*H112</f>
        <v>27.490722238081634</v>
      </c>
      <c r="I113" s="6" t="s">
        <v>10</v>
      </c>
      <c r="K113">
        <f>100/$AS$59*K112</f>
        <v>14.673137310876404</v>
      </c>
      <c r="L113" t="s">
        <v>10</v>
      </c>
      <c r="M113" s="7"/>
      <c r="N113">
        <f>100/$AS$59*N112</f>
        <v>10.933485583785343</v>
      </c>
      <c r="O113" s="6" t="s">
        <v>10</v>
      </c>
      <c r="P113" s="7"/>
      <c r="Q113">
        <f>100/$AS$59*Q112</f>
        <v>7.0510990579503252</v>
      </c>
      <c r="R113" s="6" t="s">
        <v>10</v>
      </c>
      <c r="T113">
        <f>100/$AS$59*T112</f>
        <v>0.85640879246355395</v>
      </c>
      <c r="U113" t="s">
        <v>10</v>
      </c>
      <c r="V113" s="7"/>
      <c r="W113">
        <f>100/$AS$59*W112</f>
        <v>1.4844419069369406</v>
      </c>
      <c r="X113" s="6" t="s">
        <v>10</v>
      </c>
      <c r="Y113" s="7"/>
      <c r="Z113">
        <f>100/$AS$59*Z112</f>
        <v>-0.94204967170995801</v>
      </c>
      <c r="AA113" s="6" t="s">
        <v>10</v>
      </c>
      <c r="AC113" s="7">
        <f>SUM(B113,E113,H113,K113,N113,Q113,T113,W113,Z113)</f>
        <v>100</v>
      </c>
      <c r="AD113" s="6" t="s">
        <v>10</v>
      </c>
      <c r="AF113" s="6"/>
    </row>
    <row r="114" spans="1:32" x14ac:dyDescent="0.25">
      <c r="A114" s="8"/>
      <c r="C114" s="6"/>
      <c r="G114" s="7"/>
      <c r="I114" s="6"/>
      <c r="M114" s="7"/>
      <c r="O114" s="6"/>
      <c r="P114" s="7"/>
      <c r="R114" s="6"/>
      <c r="V114" s="7"/>
      <c r="X114" s="6"/>
      <c r="Y114" s="7"/>
      <c r="AA114" s="6"/>
      <c r="AC114" s="7"/>
      <c r="AD114" s="6"/>
      <c r="AF114" s="6"/>
    </row>
    <row r="115" spans="1:32" x14ac:dyDescent="0.25">
      <c r="A115" s="8"/>
      <c r="C115" s="6"/>
      <c r="G115" s="7"/>
      <c r="I115" s="6"/>
      <c r="M115" s="7"/>
      <c r="O115" s="6"/>
      <c r="P115" s="7"/>
      <c r="R115" s="6"/>
      <c r="V115" s="7"/>
      <c r="X115" s="6"/>
      <c r="Y115" s="7"/>
      <c r="AA115" s="6"/>
      <c r="AC115" s="7"/>
      <c r="AD115" s="6"/>
      <c r="AF115" s="6"/>
    </row>
    <row r="116" spans="1:32" x14ac:dyDescent="0.25">
      <c r="A116" s="8">
        <v>3</v>
      </c>
      <c r="B116">
        <f>E63</f>
        <v>4.63</v>
      </c>
      <c r="C116" s="6"/>
      <c r="E116">
        <f>J63-E63</f>
        <v>2.6850000000000005</v>
      </c>
      <c r="G116" s="7"/>
      <c r="H116">
        <f>O63-J63</f>
        <v>4.8299999999999992</v>
      </c>
      <c r="I116" s="6"/>
      <c r="K116">
        <f>T63-O63</f>
        <v>2.7999999999999989</v>
      </c>
      <c r="M116" s="7"/>
      <c r="N116">
        <f>Y63-T63</f>
        <v>3.3800000000000008</v>
      </c>
      <c r="O116" s="6"/>
      <c r="P116" s="7"/>
      <c r="Q116">
        <f>AD63-Y63</f>
        <v>0.75</v>
      </c>
      <c r="R116" s="6"/>
      <c r="T116">
        <f>AI63-AD63</f>
        <v>0.75999999999999801</v>
      </c>
      <c r="V116" s="7"/>
      <c r="W116">
        <f>AN63-AI63</f>
        <v>-0.22499999999999432</v>
      </c>
      <c r="X116" s="6"/>
      <c r="Y116" s="7"/>
      <c r="Z116">
        <f>AS63-AN63</f>
        <v>0.30999999999999517</v>
      </c>
      <c r="AA116" s="6"/>
      <c r="AC116" s="10">
        <f>SUM(B116,E116,H116,K116,N116,Q116,T116,W116,Z116)</f>
        <v>19.919999999999998</v>
      </c>
      <c r="AD116" s="6" t="s">
        <v>11</v>
      </c>
      <c r="AE116" s="9">
        <f>AS63</f>
        <v>19.919999999999998</v>
      </c>
      <c r="AF116" s="6" t="s">
        <v>11</v>
      </c>
    </row>
    <row r="117" spans="1:32" x14ac:dyDescent="0.25">
      <c r="A117" s="8"/>
      <c r="B117">
        <f>100/$AS$63*B116</f>
        <v>23.242971887550201</v>
      </c>
      <c r="C117" s="6" t="s">
        <v>10</v>
      </c>
      <c r="E117">
        <f>100/$AS$63*E116</f>
        <v>13.478915662650605</v>
      </c>
      <c r="F117" t="s">
        <v>10</v>
      </c>
      <c r="G117" s="7"/>
      <c r="H117">
        <f>100/$AS$63*H116</f>
        <v>24.246987951807228</v>
      </c>
      <c r="I117" s="6" t="s">
        <v>10</v>
      </c>
      <c r="K117">
        <f>100/$AS$63*K116</f>
        <v>14.056224899598389</v>
      </c>
      <c r="L117" t="s">
        <v>10</v>
      </c>
      <c r="M117" s="7"/>
      <c r="N117">
        <f>100/$AS$63*N116</f>
        <v>16.967871485943778</v>
      </c>
      <c r="O117" s="6" t="s">
        <v>10</v>
      </c>
      <c r="P117" s="7"/>
      <c r="Q117">
        <f>100/$AS$63*Q116</f>
        <v>3.7650602409638556</v>
      </c>
      <c r="R117" s="6" t="s">
        <v>10</v>
      </c>
      <c r="T117">
        <f>100/$AS$63*T116</f>
        <v>3.815261044176697</v>
      </c>
      <c r="U117" t="s">
        <v>10</v>
      </c>
      <c r="V117" s="7"/>
      <c r="W117">
        <f>100/$AS$63*W116</f>
        <v>-1.129518072289128</v>
      </c>
      <c r="X117" s="6" t="s">
        <v>10</v>
      </c>
      <c r="Y117" s="7"/>
      <c r="Z117">
        <f>100/$AS$63*Z116</f>
        <v>1.5562248995983694</v>
      </c>
      <c r="AA117" s="6" t="s">
        <v>10</v>
      </c>
      <c r="AC117" s="7">
        <f>SUM(B117,E117,H117,K117,N117,Q117,T117,W117,Z117)</f>
        <v>100</v>
      </c>
      <c r="AD117" s="6" t="s">
        <v>10</v>
      </c>
      <c r="AF117" s="6"/>
    </row>
    <row r="118" spans="1:32" x14ac:dyDescent="0.25">
      <c r="A118" s="8"/>
      <c r="C118" s="6"/>
      <c r="G118" s="7"/>
      <c r="I118" s="6"/>
      <c r="M118" s="7"/>
      <c r="O118" s="6"/>
      <c r="P118" s="7"/>
      <c r="R118" s="6"/>
      <c r="V118" s="7"/>
      <c r="X118" s="6"/>
      <c r="Y118" s="7"/>
      <c r="AA118" s="6"/>
      <c r="AC118" s="7"/>
      <c r="AD118" s="6"/>
      <c r="AF118" s="6"/>
    </row>
    <row r="119" spans="1:32" x14ac:dyDescent="0.25">
      <c r="A119" s="8"/>
      <c r="C119" s="6"/>
      <c r="G119" s="7"/>
      <c r="I119" s="6"/>
      <c r="M119" s="7"/>
      <c r="O119" s="6"/>
      <c r="P119" s="7"/>
      <c r="R119" s="6"/>
      <c r="V119" s="7"/>
      <c r="X119" s="6"/>
      <c r="Y119" s="7"/>
      <c r="AA119" s="6"/>
      <c r="AC119" s="7"/>
      <c r="AD119" s="6"/>
      <c r="AF119" s="6"/>
    </row>
    <row r="120" spans="1:32" x14ac:dyDescent="0.25">
      <c r="A120" s="8">
        <v>4</v>
      </c>
      <c r="B120">
        <f>E67</f>
        <v>4.2999999999999989</v>
      </c>
      <c r="C120" s="6"/>
      <c r="E120">
        <f>J67-E67</f>
        <v>2.6000000000000014</v>
      </c>
      <c r="G120" s="7"/>
      <c r="H120">
        <f>O67-J67</f>
        <v>5.0349999999999984</v>
      </c>
      <c r="I120" s="6"/>
      <c r="K120">
        <f>T67-O67</f>
        <v>2.5300000000000011</v>
      </c>
      <c r="M120" s="7"/>
      <c r="N120">
        <f>Y67-T67</f>
        <v>4.1350000000000016</v>
      </c>
      <c r="O120" s="6"/>
      <c r="P120" s="7"/>
      <c r="Q120">
        <f>AD67-Y67</f>
        <v>0.98499999999999943</v>
      </c>
      <c r="R120" s="6"/>
      <c r="T120">
        <f>AI67-AD67</f>
        <v>0.69499999999999673</v>
      </c>
      <c r="V120" s="7"/>
      <c r="W120">
        <f>AN67-AI67</f>
        <v>-8.9999999999996305E-2</v>
      </c>
      <c r="X120" s="6"/>
      <c r="Y120" s="7"/>
      <c r="Z120">
        <f>AS67-AN67</f>
        <v>5.9999999999998721E-2</v>
      </c>
      <c r="AA120" s="6"/>
      <c r="AC120" s="10">
        <f>SUM(B120,E120,H120,K120,N120,Q120,T120,W120,Z120)</f>
        <v>20.25</v>
      </c>
      <c r="AD120" s="6" t="s">
        <v>11</v>
      </c>
      <c r="AE120" s="9">
        <f>AS67</f>
        <v>20.25</v>
      </c>
      <c r="AF120" s="6" t="s">
        <v>11</v>
      </c>
    </row>
    <row r="121" spans="1:32" x14ac:dyDescent="0.25">
      <c r="A121" s="8"/>
      <c r="B121">
        <f>100/AS67*B120</f>
        <v>21.234567901234563</v>
      </c>
      <c r="C121" s="6" t="s">
        <v>10</v>
      </c>
      <c r="E121">
        <f>100/$AS$67*E120</f>
        <v>12.839506172839512</v>
      </c>
      <c r="F121" t="s">
        <v>10</v>
      </c>
      <c r="G121" s="7"/>
      <c r="H121">
        <f>100/$AS$67*H120</f>
        <v>24.864197530864189</v>
      </c>
      <c r="I121" s="6" t="s">
        <v>10</v>
      </c>
      <c r="K121">
        <f>100/$AS$67*K120</f>
        <v>12.493827160493833</v>
      </c>
      <c r="L121" t="s">
        <v>10</v>
      </c>
      <c r="M121" s="7"/>
      <c r="N121">
        <f>100/$AS$67*N120</f>
        <v>20.41975308641976</v>
      </c>
      <c r="O121" s="6" t="s">
        <v>10</v>
      </c>
      <c r="P121" s="7"/>
      <c r="Q121">
        <f>100/$AS$67*Q120</f>
        <v>4.8641975308641943</v>
      </c>
      <c r="R121" s="6" t="s">
        <v>10</v>
      </c>
      <c r="T121">
        <f>100/$AS$67*T120</f>
        <v>3.4320987654320825</v>
      </c>
      <c r="U121" t="s">
        <v>10</v>
      </c>
      <c r="V121" s="7"/>
      <c r="W121">
        <f>100/$AS$67*W120</f>
        <v>-0.44444444444442616</v>
      </c>
      <c r="X121" s="6" t="s">
        <v>10</v>
      </c>
      <c r="Y121" s="7"/>
      <c r="Z121">
        <f>100/$AS$67*Z120</f>
        <v>0.29629629629628995</v>
      </c>
      <c r="AA121" s="6" t="s">
        <v>10</v>
      </c>
      <c r="AC121" s="7">
        <f>SUM(B121,E121,H121,K121,N121,Q121,T121,W121,Z121)</f>
        <v>100</v>
      </c>
      <c r="AD121" s="6" t="s">
        <v>10</v>
      </c>
      <c r="AF121" s="6"/>
    </row>
    <row r="122" spans="1:32" x14ac:dyDescent="0.25">
      <c r="A122" s="8"/>
      <c r="C122" s="6"/>
      <c r="G122" s="7"/>
      <c r="I122" s="6"/>
      <c r="M122" s="7"/>
      <c r="O122" s="6"/>
      <c r="P122" s="7"/>
      <c r="R122" s="6"/>
      <c r="V122" s="7"/>
      <c r="X122" s="6"/>
      <c r="Y122" s="7"/>
      <c r="AA122" s="6"/>
      <c r="AC122" s="7"/>
      <c r="AD122" s="6"/>
      <c r="AF122" s="6"/>
    </row>
    <row r="123" spans="1:32" x14ac:dyDescent="0.25">
      <c r="A123" s="8"/>
      <c r="C123" s="6"/>
      <c r="G123" s="7"/>
      <c r="I123" s="6"/>
      <c r="M123" s="7"/>
      <c r="O123" s="6"/>
      <c r="P123" s="7"/>
      <c r="R123" s="6"/>
      <c r="V123" s="7"/>
      <c r="X123" s="6"/>
      <c r="Y123" s="7"/>
      <c r="AA123" s="6"/>
      <c r="AC123" s="7"/>
      <c r="AD123" s="6"/>
      <c r="AF123" s="6"/>
    </row>
    <row r="124" spans="1:32" x14ac:dyDescent="0.25">
      <c r="A124" s="8">
        <v>5</v>
      </c>
      <c r="B124">
        <f>E71</f>
        <v>4.3250000000000011</v>
      </c>
      <c r="C124" s="6"/>
      <c r="E124">
        <f>J71-E71</f>
        <v>2.2899999999999983</v>
      </c>
      <c r="G124" s="7"/>
      <c r="H124">
        <f>O71-J71</f>
        <v>4.6000000000000005</v>
      </c>
      <c r="I124" s="6"/>
      <c r="K124">
        <f>T71-O71</f>
        <v>2.7850000000000001</v>
      </c>
      <c r="M124" s="7"/>
      <c r="N124">
        <f>Y71-T71</f>
        <v>3.2850000000000001</v>
      </c>
      <c r="O124" s="6"/>
      <c r="P124" s="7"/>
      <c r="Q124">
        <f>AD71-Y71</f>
        <v>1.9150000000000027</v>
      </c>
      <c r="R124" s="6"/>
      <c r="T124">
        <f>AI71-AD71</f>
        <v>0.49499999999999744</v>
      </c>
      <c r="V124" s="7"/>
      <c r="W124">
        <f>AN71-AI71</f>
        <v>1.1849999999999987</v>
      </c>
      <c r="X124" s="6"/>
      <c r="Y124" s="7"/>
      <c r="Z124">
        <f>AS71-AN71</f>
        <v>0.43500000000000227</v>
      </c>
      <c r="AA124" s="6"/>
      <c r="AC124" s="10">
        <f>SUM(B124,E124,H124,K124,N124,Q124,T124,W124,Z124)</f>
        <v>21.315000000000001</v>
      </c>
      <c r="AD124" s="6" t="s">
        <v>11</v>
      </c>
      <c r="AE124" s="9">
        <f>AS71</f>
        <v>21.315000000000001</v>
      </c>
      <c r="AF124" s="6" t="s">
        <v>11</v>
      </c>
    </row>
    <row r="125" spans="1:32" x14ac:dyDescent="0.25">
      <c r="A125" s="8"/>
      <c r="B125">
        <f>100/$AS$71*B124</f>
        <v>20.29087497067793</v>
      </c>
      <c r="C125" s="6" t="s">
        <v>10</v>
      </c>
      <c r="E125">
        <f>100/$AS$71*E124</f>
        <v>10.743607787942755</v>
      </c>
      <c r="F125" s="6" t="s">
        <v>10</v>
      </c>
      <c r="H125">
        <f>100/$AS$71*H124</f>
        <v>21.581046211588085</v>
      </c>
      <c r="I125" s="6" t="s">
        <v>10</v>
      </c>
      <c r="K125">
        <f>100/$AS$71*K124</f>
        <v>13.065916021581046</v>
      </c>
      <c r="L125" s="6" t="s">
        <v>10</v>
      </c>
      <c r="N125">
        <f>100/$AS$71*N124</f>
        <v>15.411681914144967</v>
      </c>
      <c r="O125" s="6" t="s">
        <v>10</v>
      </c>
      <c r="Q125">
        <f>100/$AS$71*Q124</f>
        <v>8.9842833685198347</v>
      </c>
      <c r="R125" s="6" t="s">
        <v>10</v>
      </c>
      <c r="T125">
        <f>100/$AS$71*T124</f>
        <v>2.3223082336382705</v>
      </c>
      <c r="U125" s="6" t="s">
        <v>10</v>
      </c>
      <c r="W125">
        <f>100/$AS$71*W124</f>
        <v>5.5594651653764888</v>
      </c>
      <c r="X125" s="6" t="s">
        <v>10</v>
      </c>
      <c r="Z125">
        <f>100/$AS$71*Z124</f>
        <v>2.0408163265306229</v>
      </c>
      <c r="AA125" s="6" t="s">
        <v>10</v>
      </c>
      <c r="AC125" s="7">
        <f>SUM(B125,E125,H125,K125,N125,Q125,T125,W125,Z125)</f>
        <v>100</v>
      </c>
      <c r="AD125" s="6" t="s">
        <v>10</v>
      </c>
      <c r="AF125" s="6"/>
    </row>
    <row r="126" spans="1:32" x14ac:dyDescent="0.25">
      <c r="A126" s="8"/>
      <c r="C126" s="6"/>
      <c r="G126" s="7"/>
      <c r="I126" s="6"/>
      <c r="M126" s="7"/>
      <c r="O126" s="6"/>
      <c r="P126" s="7"/>
      <c r="R126" s="6"/>
      <c r="V126" s="7"/>
      <c r="X126" s="6"/>
      <c r="Y126" s="7"/>
      <c r="AA126" s="6"/>
      <c r="AC126" s="7"/>
      <c r="AD126" s="6"/>
      <c r="AF126" s="6"/>
    </row>
    <row r="127" spans="1:32" x14ac:dyDescent="0.25">
      <c r="A127" s="8"/>
      <c r="C127" s="6"/>
      <c r="G127" s="7"/>
      <c r="I127" s="6"/>
      <c r="M127" s="7"/>
      <c r="O127" s="6"/>
      <c r="P127" s="7"/>
      <c r="R127" s="6"/>
      <c r="V127" s="7"/>
      <c r="X127" s="6"/>
      <c r="Y127" s="7"/>
      <c r="AA127" s="6"/>
      <c r="AC127" s="7"/>
      <c r="AD127" s="6"/>
      <c r="AF127" s="6"/>
    </row>
    <row r="128" spans="1:32" x14ac:dyDescent="0.25">
      <c r="A128" s="8">
        <v>6</v>
      </c>
      <c r="B128">
        <f>E75</f>
        <v>3.915</v>
      </c>
      <c r="C128" s="6"/>
      <c r="E128">
        <f>J75-E75</f>
        <v>2.2099999999999991</v>
      </c>
      <c r="G128" s="7"/>
      <c r="H128">
        <f>O75-J75</f>
        <v>4.7250000000000005</v>
      </c>
      <c r="I128" s="6"/>
      <c r="K128">
        <f>T75-O75</f>
        <v>2.7150000000000016</v>
      </c>
      <c r="M128" s="7"/>
      <c r="N128">
        <f>Y75-T75</f>
        <v>4.1500000000000021</v>
      </c>
      <c r="O128" s="6"/>
      <c r="P128" s="7"/>
      <c r="Q128">
        <f>AD75-Y75</f>
        <v>2.2449999999999974</v>
      </c>
      <c r="R128" s="6"/>
      <c r="T128">
        <f>AI75-AD75</f>
        <v>1.2799999999999976</v>
      </c>
      <c r="V128" s="7"/>
      <c r="W128">
        <f>AN75-AI75</f>
        <v>0.83000000000000185</v>
      </c>
      <c r="X128" s="6"/>
      <c r="Y128" s="7"/>
      <c r="Z128">
        <f>AS75-AN75</f>
        <v>1.3000000000000007</v>
      </c>
      <c r="AA128" s="6"/>
      <c r="AC128" s="10">
        <f>SUM(B128,E128,H128,K128,N128,Q128,T128,W128,Z128)</f>
        <v>23.37</v>
      </c>
      <c r="AD128" s="6" t="s">
        <v>11</v>
      </c>
      <c r="AE128" s="9">
        <f>AS75</f>
        <v>23.37</v>
      </c>
      <c r="AF128" s="6" t="s">
        <v>11</v>
      </c>
    </row>
    <row r="129" spans="1:32" x14ac:dyDescent="0.25">
      <c r="A129" s="8"/>
      <c r="B129">
        <f>100/$AS$75*B128</f>
        <v>16.752246469833118</v>
      </c>
      <c r="C129" s="6" t="s">
        <v>10</v>
      </c>
      <c r="E129">
        <f>100/$AS$75*E128</f>
        <v>9.4565682498930208</v>
      </c>
      <c r="F129" s="6" t="s">
        <v>10</v>
      </c>
      <c r="G129" s="7"/>
      <c r="H129">
        <f>100/$AS$75*H128</f>
        <v>20.218228498074453</v>
      </c>
      <c r="I129" s="6" t="s">
        <v>10</v>
      </c>
      <c r="K129">
        <f>100/$AS$75*K128</f>
        <v>11.617458279845962</v>
      </c>
      <c r="L129" s="6" t="s">
        <v>10</v>
      </c>
      <c r="N129">
        <f>100/$AS$75*N128</f>
        <v>17.757809157038945</v>
      </c>
      <c r="O129" s="6" t="s">
        <v>10</v>
      </c>
      <c r="P129" s="7"/>
      <c r="Q129">
        <f>100/$AS$75*Q128</f>
        <v>9.6063329054343054</v>
      </c>
      <c r="R129" s="6" t="s">
        <v>10</v>
      </c>
      <c r="T129">
        <f>100/$AS$75*T128</f>
        <v>5.4771074026529627</v>
      </c>
      <c r="U129" s="6" t="s">
        <v>10</v>
      </c>
      <c r="W129">
        <f>100/$AS$75*W128</f>
        <v>3.551561831407795</v>
      </c>
      <c r="X129" s="6" t="s">
        <v>10</v>
      </c>
      <c r="Y129" s="7"/>
      <c r="Z129">
        <f>100/$AS$75*Z128</f>
        <v>5.5626872058194285</v>
      </c>
      <c r="AA129" s="6" t="s">
        <v>10</v>
      </c>
      <c r="AC129" s="7">
        <f>SUM(B129,E129,H129,K129,N129,Q129,T129,W129,Z129)</f>
        <v>99.999999999999986</v>
      </c>
      <c r="AD129" s="6" t="s">
        <v>10</v>
      </c>
      <c r="AF129" s="6"/>
    </row>
    <row r="130" spans="1:32" x14ac:dyDescent="0.25">
      <c r="A130" s="8"/>
      <c r="C130" s="6"/>
      <c r="G130" s="7"/>
      <c r="I130" s="6"/>
      <c r="M130" s="7"/>
      <c r="O130" s="6"/>
      <c r="P130" s="7"/>
      <c r="R130" s="6"/>
      <c r="V130" s="7"/>
      <c r="X130" s="6"/>
      <c r="Y130" s="7"/>
      <c r="AA130" s="6"/>
      <c r="AC130" s="7"/>
      <c r="AD130" s="6"/>
      <c r="AF130" s="6"/>
    </row>
    <row r="131" spans="1:32" x14ac:dyDescent="0.25">
      <c r="A131" s="8"/>
      <c r="C131" s="6"/>
      <c r="G131" s="7"/>
      <c r="I131" s="6"/>
      <c r="M131" s="7"/>
      <c r="O131" s="6"/>
      <c r="P131" s="7"/>
      <c r="R131" s="6"/>
      <c r="V131" s="7"/>
      <c r="X131" s="6"/>
      <c r="Y131" s="7"/>
      <c r="AA131" s="6"/>
      <c r="AC131" s="7"/>
      <c r="AD131" s="6"/>
      <c r="AF131" s="6"/>
    </row>
    <row r="132" spans="1:32" x14ac:dyDescent="0.25">
      <c r="A132" s="8">
        <v>7</v>
      </c>
      <c r="B132">
        <f>E79</f>
        <v>3.0250000000000004</v>
      </c>
      <c r="C132" s="6"/>
      <c r="E132">
        <f>J79-E79</f>
        <v>2.0999999999999996</v>
      </c>
      <c r="G132" s="7"/>
      <c r="H132">
        <f>O79-J79</f>
        <v>4.0999999999999996</v>
      </c>
      <c r="I132" s="6"/>
      <c r="K132">
        <f>T79-O79</f>
        <v>3.0250000000000004</v>
      </c>
      <c r="M132" s="7"/>
      <c r="N132">
        <f>Y79-T79</f>
        <v>2.125</v>
      </c>
      <c r="O132" s="6"/>
      <c r="P132" s="7"/>
      <c r="Q132">
        <f>AD79-Y79</f>
        <v>0.84999999999999964</v>
      </c>
      <c r="R132" s="6"/>
      <c r="T132">
        <f>AI79-AD79</f>
        <v>0.44000000000000128</v>
      </c>
      <c r="V132" s="7"/>
      <c r="W132">
        <f>AN79-AI79</f>
        <v>0.40499999999999936</v>
      </c>
      <c r="X132" s="6"/>
      <c r="Y132" s="7"/>
      <c r="Z132">
        <f>AS79-AN79</f>
        <v>0.18500000000000227</v>
      </c>
      <c r="AA132" s="6"/>
      <c r="AC132" s="10">
        <f>SUM(B132,E132,H132,K132,N132,Q132,T132,W132,Z132)</f>
        <v>16.255000000000003</v>
      </c>
      <c r="AD132" s="6" t="s">
        <v>11</v>
      </c>
      <c r="AE132" s="9">
        <f>AS79</f>
        <v>16.255000000000003</v>
      </c>
      <c r="AF132" s="6" t="s">
        <v>11</v>
      </c>
    </row>
    <row r="133" spans="1:32" x14ac:dyDescent="0.25">
      <c r="A133" s="8"/>
      <c r="B133">
        <f>100/$AS$79*B132</f>
        <v>18.609658566594891</v>
      </c>
      <c r="C133" s="6" t="s">
        <v>10</v>
      </c>
      <c r="E133">
        <f>100/$AS$79*E132</f>
        <v>12.919101814826202</v>
      </c>
      <c r="F133" s="6" t="s">
        <v>10</v>
      </c>
      <c r="G133" s="7"/>
      <c r="H133">
        <f>100/$AS$79*H132</f>
        <v>25.223008305136876</v>
      </c>
      <c r="I133" s="6" t="s">
        <v>10</v>
      </c>
      <c r="K133">
        <f>100/$AS$79*K132</f>
        <v>18.609658566594891</v>
      </c>
      <c r="L133" s="6" t="s">
        <v>10</v>
      </c>
      <c r="N133">
        <f>100/$AS$79*N132</f>
        <v>13.072900645955089</v>
      </c>
      <c r="O133" s="6" t="s">
        <v>10</v>
      </c>
      <c r="P133" s="7"/>
      <c r="Q133">
        <f>100/$AS$79*Q132</f>
        <v>5.2291602583820334</v>
      </c>
      <c r="R133" s="6" t="s">
        <v>10</v>
      </c>
      <c r="T133">
        <f>100/$AS$79*T132</f>
        <v>2.7068594278683555</v>
      </c>
      <c r="U133" s="6" t="s">
        <v>10</v>
      </c>
      <c r="W133">
        <f>100/$AS$79*W132</f>
        <v>2.4915410642879072</v>
      </c>
      <c r="X133" s="6" t="s">
        <v>10</v>
      </c>
      <c r="Y133" s="7"/>
      <c r="Z133">
        <f>100/$AS$79*Z132</f>
        <v>1.1381113503537512</v>
      </c>
      <c r="AA133" s="6" t="s">
        <v>10</v>
      </c>
      <c r="AC133" s="7">
        <f>SUM(B133,E133,H133,K133,N133,Q133,T133,W133,Z133)</f>
        <v>99.999999999999986</v>
      </c>
      <c r="AD133" s="6" t="s">
        <v>10</v>
      </c>
      <c r="AF133" s="6"/>
    </row>
    <row r="134" spans="1:32" x14ac:dyDescent="0.25">
      <c r="A134" s="8"/>
      <c r="C134" s="6"/>
      <c r="G134" s="7"/>
      <c r="I134" s="6"/>
      <c r="M134" s="7"/>
      <c r="O134" s="6"/>
      <c r="P134" s="7"/>
      <c r="R134" s="6"/>
      <c r="V134" s="7"/>
      <c r="X134" s="6"/>
      <c r="Y134" s="7"/>
      <c r="AA134" s="6"/>
      <c r="AC134" s="7"/>
      <c r="AD134" s="6"/>
      <c r="AF134" s="6"/>
    </row>
    <row r="135" spans="1:32" x14ac:dyDescent="0.25">
      <c r="A135" s="8"/>
      <c r="C135" s="6"/>
      <c r="G135" s="7"/>
      <c r="I135" s="6"/>
      <c r="M135" s="7"/>
      <c r="O135" s="6"/>
      <c r="P135" s="7"/>
      <c r="R135" s="6"/>
      <c r="V135" s="7"/>
      <c r="X135" s="6"/>
      <c r="Y135" s="7"/>
      <c r="AA135" s="6"/>
      <c r="AC135" s="7"/>
      <c r="AD135" s="6"/>
      <c r="AF135" s="6"/>
    </row>
    <row r="136" spans="1:32" x14ac:dyDescent="0.25">
      <c r="A136" s="8">
        <v>8</v>
      </c>
      <c r="B136">
        <f>E83</f>
        <v>3.04</v>
      </c>
      <c r="C136" s="6"/>
      <c r="E136">
        <f>J83-E83</f>
        <v>1.8449999999999998</v>
      </c>
      <c r="G136" s="7"/>
      <c r="H136">
        <f>O83-J83</f>
        <v>4.3299999999999983</v>
      </c>
      <c r="I136" s="6"/>
      <c r="K136">
        <f>T83-O83</f>
        <v>3.2500000000000018</v>
      </c>
      <c r="M136" s="7"/>
      <c r="N136">
        <f>Y83-T83</f>
        <v>2.42</v>
      </c>
      <c r="O136" s="6"/>
      <c r="P136" s="7"/>
      <c r="Q136">
        <f>AD83-Y83</f>
        <v>0.91000000000000192</v>
      </c>
      <c r="R136" s="6"/>
      <c r="T136">
        <f>AI83-AD83</f>
        <v>0.50499999999999901</v>
      </c>
      <c r="V136" s="7"/>
      <c r="W136">
        <f>AN83-AI83</f>
        <v>0.14499999999999602</v>
      </c>
      <c r="X136" s="6"/>
      <c r="Y136" s="7"/>
      <c r="Z136">
        <f>AS83-AN83</f>
        <v>8.5000000000004405E-2</v>
      </c>
      <c r="AA136" s="6"/>
      <c r="AC136" s="10">
        <f>SUM(B136,E136,H136,K136,N136,Q136,T136,W136,Z136)</f>
        <v>16.53</v>
      </c>
      <c r="AD136" s="6" t="s">
        <v>11</v>
      </c>
      <c r="AE136" s="9">
        <f>AS83</f>
        <v>16.53</v>
      </c>
      <c r="AF136" s="6" t="s">
        <v>11</v>
      </c>
    </row>
    <row r="137" spans="1:32" x14ac:dyDescent="0.25">
      <c r="A137" s="8"/>
      <c r="B137">
        <f>100/$AS$83*B136</f>
        <v>18.390804597701148</v>
      </c>
      <c r="C137" s="6" t="s">
        <v>10</v>
      </c>
      <c r="E137">
        <f>100/$AS$83*E136</f>
        <v>11.161524500907438</v>
      </c>
      <c r="F137" s="6" t="s">
        <v>10</v>
      </c>
      <c r="G137" s="7"/>
      <c r="H137">
        <f>100/$AS$83*H136</f>
        <v>26.194797338173004</v>
      </c>
      <c r="I137" s="6" t="s">
        <v>10</v>
      </c>
      <c r="K137">
        <f>100/$AS$83*K136</f>
        <v>19.661222020568673</v>
      </c>
      <c r="L137" s="6" t="s">
        <v>10</v>
      </c>
      <c r="N137">
        <f>100/$AS$83*N136</f>
        <v>14.640048396854203</v>
      </c>
      <c r="O137" s="6" t="s">
        <v>10</v>
      </c>
      <c r="P137" s="7"/>
      <c r="Q137">
        <f>100/$AS$83*Q136</f>
        <v>5.5051421657592368</v>
      </c>
      <c r="R137" s="6" t="s">
        <v>10</v>
      </c>
      <c r="T137">
        <f>100/$AS$83*T136</f>
        <v>3.0550514216575859</v>
      </c>
      <c r="U137" s="6" t="s">
        <v>10</v>
      </c>
      <c r="W137">
        <f>100/$AS$83*W136</f>
        <v>0.87719298245611621</v>
      </c>
      <c r="X137" s="6" t="s">
        <v>10</v>
      </c>
      <c r="Y137" s="7"/>
      <c r="Z137">
        <f>100/$AS$83*Z136</f>
        <v>0.51421657592259162</v>
      </c>
      <c r="AA137" s="6" t="s">
        <v>10</v>
      </c>
      <c r="AC137" s="7">
        <f>SUM(B137,E137,H137,K137,N137,Q137,T137,W137,Z137)</f>
        <v>99.999999999999986</v>
      </c>
      <c r="AD137" s="6" t="s">
        <v>10</v>
      </c>
      <c r="AF137" s="6"/>
    </row>
    <row r="138" spans="1:32" x14ac:dyDescent="0.25">
      <c r="A138" s="8"/>
      <c r="C138" s="6"/>
      <c r="G138" s="7"/>
      <c r="I138" s="6"/>
      <c r="M138" s="7"/>
      <c r="O138" s="6"/>
      <c r="P138" s="7"/>
      <c r="R138" s="6"/>
      <c r="V138" s="7"/>
      <c r="X138" s="6"/>
      <c r="Y138" s="7"/>
      <c r="AA138" s="6"/>
      <c r="AC138" s="7"/>
      <c r="AD138" s="6"/>
      <c r="AF138" s="6"/>
    </row>
    <row r="139" spans="1:32" x14ac:dyDescent="0.25">
      <c r="A139" s="8"/>
      <c r="C139" s="6"/>
      <c r="G139" s="7"/>
      <c r="I139" s="6"/>
      <c r="M139" s="7"/>
      <c r="O139" s="6"/>
      <c r="P139" s="7"/>
      <c r="R139" s="6"/>
      <c r="V139" s="7"/>
      <c r="X139" s="6"/>
      <c r="Y139" s="7"/>
      <c r="AA139" s="6"/>
      <c r="AC139" s="7"/>
      <c r="AD139" s="6"/>
      <c r="AF139" s="6"/>
    </row>
    <row r="140" spans="1:32" x14ac:dyDescent="0.25">
      <c r="A140" s="8">
        <v>9</v>
      </c>
      <c r="B140">
        <f>E87</f>
        <v>3.0900000000000003</v>
      </c>
      <c r="C140" s="6"/>
      <c r="E140">
        <f>J87-E87</f>
        <v>1.8049999999999993</v>
      </c>
      <c r="G140" s="7"/>
      <c r="H140">
        <f>O87-J87</f>
        <v>4.33</v>
      </c>
      <c r="I140" s="6"/>
      <c r="K140">
        <f>T87-O87</f>
        <v>3.0949999999999989</v>
      </c>
      <c r="M140" s="7"/>
      <c r="N140">
        <f>Y87-T87</f>
        <v>3.2100000000000026</v>
      </c>
      <c r="O140" s="6"/>
      <c r="P140" s="7"/>
      <c r="Q140">
        <f>AD87-Y87</f>
        <v>2.009999999999998</v>
      </c>
      <c r="R140" s="6"/>
      <c r="T140">
        <f>AI87-AD87</f>
        <v>1.024999999999995</v>
      </c>
      <c r="V140" s="7"/>
      <c r="W140">
        <f>AN87-AI87</f>
        <v>0.19500000000000739</v>
      </c>
      <c r="X140" s="6"/>
      <c r="Y140" s="7"/>
      <c r="Z140">
        <f>AS87-AN87</f>
        <v>0.19999999999999929</v>
      </c>
      <c r="AA140" s="6"/>
      <c r="AC140" s="10">
        <f>SUM(B140,E140,H140,K140,N140,Q140,T140,W140,Z140)</f>
        <v>18.96</v>
      </c>
      <c r="AD140" s="6" t="s">
        <v>11</v>
      </c>
      <c r="AE140" s="9">
        <f>AS87</f>
        <v>18.96</v>
      </c>
      <c r="AF140" s="6" t="s">
        <v>11</v>
      </c>
    </row>
    <row r="141" spans="1:32" x14ac:dyDescent="0.25">
      <c r="A141" s="8"/>
      <c r="B141">
        <f>100/$AS$87*B140</f>
        <v>16.297468354430382</v>
      </c>
      <c r="C141" s="6" t="s">
        <v>10</v>
      </c>
      <c r="E141">
        <f>100/$AS$87*E140</f>
        <v>9.5200421940928237</v>
      </c>
      <c r="F141" s="6" t="s">
        <v>10</v>
      </c>
      <c r="G141" s="7"/>
      <c r="H141">
        <f>100/$AS$87*H140</f>
        <v>22.837552742616033</v>
      </c>
      <c r="I141" s="6" t="s">
        <v>10</v>
      </c>
      <c r="K141">
        <f>100/$AS$87*K140</f>
        <v>16.323839662447252</v>
      </c>
      <c r="L141" s="6" t="s">
        <v>10</v>
      </c>
      <c r="N141">
        <f>100/$AS$87*N140</f>
        <v>16.930379746835456</v>
      </c>
      <c r="O141" s="6" t="s">
        <v>10</v>
      </c>
      <c r="P141" s="7"/>
      <c r="Q141">
        <f>100/$AS$87*Q140</f>
        <v>10.6012658227848</v>
      </c>
      <c r="R141" s="6" t="s">
        <v>10</v>
      </c>
      <c r="T141">
        <f>100/$AS$87*T140</f>
        <v>5.4061181434598895</v>
      </c>
      <c r="U141" s="6" t="s">
        <v>10</v>
      </c>
      <c r="W141">
        <f>100/$AS$87*W140</f>
        <v>1.0284810126582669</v>
      </c>
      <c r="X141" s="6" t="s">
        <v>10</v>
      </c>
      <c r="Y141" s="7"/>
      <c r="Z141">
        <f>100/$AS$87*Z140</f>
        <v>1.0548523206751017</v>
      </c>
      <c r="AA141" s="6" t="s">
        <v>10</v>
      </c>
      <c r="AC141" s="7">
        <f>SUM(B141,E141,H141,K141,N141,Q141,T141,W141,Z141)</f>
        <v>100</v>
      </c>
      <c r="AD141" s="6" t="s">
        <v>10</v>
      </c>
      <c r="AF141" s="6"/>
    </row>
    <row r="142" spans="1:32" x14ac:dyDescent="0.25">
      <c r="A142" s="8"/>
      <c r="C142" s="6"/>
      <c r="G142" s="7"/>
      <c r="I142" s="6"/>
      <c r="M142" s="7"/>
      <c r="O142" s="6"/>
      <c r="P142" s="7"/>
      <c r="R142" s="6"/>
      <c r="V142" s="7"/>
      <c r="X142" s="6"/>
      <c r="Y142" s="7"/>
      <c r="AA142" s="6"/>
      <c r="AC142" s="7"/>
      <c r="AD142" s="6"/>
      <c r="AF142" s="6"/>
    </row>
    <row r="143" spans="1:32" x14ac:dyDescent="0.25">
      <c r="A143" s="8"/>
      <c r="C143" s="6"/>
      <c r="G143" s="7"/>
      <c r="I143" s="6"/>
      <c r="M143" s="7"/>
      <c r="O143" s="6"/>
      <c r="P143" s="7"/>
      <c r="R143" s="6"/>
      <c r="V143" s="7"/>
      <c r="X143" s="6"/>
      <c r="Y143" s="7"/>
      <c r="AA143" s="6"/>
      <c r="AC143" s="7"/>
      <c r="AD143" s="6"/>
      <c r="AF143" s="6"/>
    </row>
    <row r="144" spans="1:32" x14ac:dyDescent="0.25">
      <c r="A144" s="8">
        <v>10</v>
      </c>
      <c r="B144">
        <f>E91</f>
        <v>3.15</v>
      </c>
      <c r="C144" s="6"/>
      <c r="E144">
        <f>J91-E91</f>
        <v>1.8400000000000003</v>
      </c>
      <c r="G144" s="7"/>
      <c r="H144">
        <f>O91-J91</f>
        <v>4.3549999999999986</v>
      </c>
      <c r="I144" s="6"/>
      <c r="K144">
        <f>T91-O91</f>
        <v>3.3850000000000016</v>
      </c>
      <c r="M144" s="7"/>
      <c r="N144">
        <f>Y91-T91</f>
        <v>3.2799999999999976</v>
      </c>
      <c r="O144" s="6"/>
      <c r="P144" s="7"/>
      <c r="Q144">
        <f>AD91-Y91</f>
        <v>2.6050000000000004</v>
      </c>
      <c r="R144" s="6"/>
      <c r="T144">
        <f>AI91-AD91</f>
        <v>0.5849999999999973</v>
      </c>
      <c r="V144" s="7"/>
      <c r="W144">
        <f>AN91-AI91</f>
        <v>0.35500000000000753</v>
      </c>
      <c r="X144" s="6"/>
      <c r="Y144" s="7"/>
      <c r="Z144">
        <f>AS91-AN91</f>
        <v>-0.19500000000000028</v>
      </c>
      <c r="AA144" s="6"/>
      <c r="AC144" s="10">
        <f>SUM(B144,E144,H144,K144,N144,Q144,T144,W144,Z144)</f>
        <v>19.360000000000003</v>
      </c>
      <c r="AD144" s="6" t="s">
        <v>11</v>
      </c>
      <c r="AE144" s="9">
        <f>AS91</f>
        <v>19.360000000000003</v>
      </c>
      <c r="AF144" s="6" t="s">
        <v>11</v>
      </c>
    </row>
    <row r="145" spans="1:32" x14ac:dyDescent="0.25">
      <c r="A145" s="8"/>
      <c r="B145">
        <f>100/$AS$91*B144</f>
        <v>16.27066115702479</v>
      </c>
      <c r="C145" s="6" t="s">
        <v>10</v>
      </c>
      <c r="E145">
        <f>100/$AS$91*E144</f>
        <v>9.5041322314049594</v>
      </c>
      <c r="F145" s="6" t="s">
        <v>10</v>
      </c>
      <c r="G145" s="7"/>
      <c r="H145">
        <f>100/$AS$91*H144</f>
        <v>22.494834710743792</v>
      </c>
      <c r="I145" s="6" t="s">
        <v>10</v>
      </c>
      <c r="K145">
        <f>100/$AS$91*K144</f>
        <v>17.484504132231411</v>
      </c>
      <c r="L145" s="6" t="s">
        <v>10</v>
      </c>
      <c r="N145">
        <f>100/$AS$91*N144</f>
        <v>16.942148760330564</v>
      </c>
      <c r="O145" s="6" t="s">
        <v>10</v>
      </c>
      <c r="P145" s="7"/>
      <c r="Q145">
        <f>100/$AS$91*Q144</f>
        <v>13.455578512396695</v>
      </c>
      <c r="R145" s="6" t="s">
        <v>10</v>
      </c>
      <c r="T145">
        <f>100/$AS$91*T144</f>
        <v>3.0216942148760189</v>
      </c>
      <c r="U145" s="6" t="s">
        <v>10</v>
      </c>
      <c r="W145">
        <f>100/$AS$91*W144</f>
        <v>1.833677685950452</v>
      </c>
      <c r="X145" s="6" t="s">
        <v>10</v>
      </c>
      <c r="Y145" s="7"/>
      <c r="Z145">
        <f>100/$AS$91*Z144</f>
        <v>-1.007231404958679</v>
      </c>
      <c r="AA145" s="6" t="s">
        <v>10</v>
      </c>
      <c r="AC145" s="7">
        <f>SUM(B145,E145,H145,K145,N145,Q145,T145,W145,Z145)</f>
        <v>100.00000000000001</v>
      </c>
      <c r="AD145" s="6" t="s">
        <v>10</v>
      </c>
      <c r="AF145" s="6"/>
    </row>
    <row r="146" spans="1:32" x14ac:dyDescent="0.25">
      <c r="A146" s="8"/>
      <c r="C146" s="6"/>
      <c r="G146" s="7"/>
      <c r="I146" s="6"/>
      <c r="M146" s="7"/>
      <c r="O146" s="6"/>
      <c r="P146" s="7"/>
      <c r="R146" s="6"/>
      <c r="V146" s="7"/>
      <c r="X146" s="6"/>
      <c r="Y146" s="7"/>
      <c r="AA146" s="6"/>
      <c r="AC146" s="7"/>
      <c r="AD146" s="6"/>
      <c r="AF146" s="6"/>
    </row>
    <row r="147" spans="1:32" x14ac:dyDescent="0.25">
      <c r="A147" s="8"/>
      <c r="C147" s="6"/>
      <c r="G147" s="7"/>
      <c r="I147" s="6"/>
      <c r="M147" s="7"/>
      <c r="O147" s="6"/>
      <c r="P147" s="7"/>
      <c r="R147" s="6"/>
      <c r="V147" s="7"/>
      <c r="X147" s="6"/>
      <c r="Y147" s="7"/>
      <c r="AA147" s="6"/>
      <c r="AC147" s="7"/>
      <c r="AD147" s="6"/>
      <c r="AF147" s="6"/>
    </row>
    <row r="148" spans="1:32" x14ac:dyDescent="0.25">
      <c r="A148" s="8">
        <v>11</v>
      </c>
      <c r="B148">
        <f>E95</f>
        <v>3.1500000000000004</v>
      </c>
      <c r="C148" s="6"/>
      <c r="E148">
        <f>J95-E95</f>
        <v>1.8599999999999994</v>
      </c>
      <c r="G148" s="7"/>
      <c r="H148">
        <f>O95-J95</f>
        <v>4</v>
      </c>
      <c r="I148" s="6"/>
      <c r="K148">
        <f>T95-O95</f>
        <v>3.34</v>
      </c>
      <c r="M148" s="7"/>
      <c r="N148">
        <f>Y95-T95</f>
        <v>2.8699999999999992</v>
      </c>
      <c r="O148" s="6"/>
      <c r="P148" s="7"/>
      <c r="Q148">
        <f>AD95-Y95</f>
        <v>2.5300000000000011</v>
      </c>
      <c r="R148" s="6"/>
      <c r="T148">
        <f>AI95-AD95</f>
        <v>2.5249999999999986</v>
      </c>
      <c r="V148" s="7"/>
      <c r="W148">
        <f>AN95-AI95</f>
        <v>0.40000000000000213</v>
      </c>
      <c r="X148" s="6"/>
      <c r="Y148" s="7"/>
      <c r="Z148">
        <f>AS95-AN95</f>
        <v>0.50999999999999801</v>
      </c>
      <c r="AA148" s="6"/>
      <c r="AC148" s="10">
        <f>SUM(B148,E148,H148,K148,N148,Q148,T148,W148,Z148)</f>
        <v>21.184999999999999</v>
      </c>
      <c r="AD148" s="6" t="s">
        <v>11</v>
      </c>
      <c r="AE148" s="9">
        <f>AS95</f>
        <v>21.184999999999999</v>
      </c>
      <c r="AF148" s="6" t="s">
        <v>11</v>
      </c>
    </row>
    <row r="149" spans="1:32" x14ac:dyDescent="0.25">
      <c r="A149" s="8"/>
      <c r="B149">
        <f>100/$AS$95*B148</f>
        <v>14.869011092754311</v>
      </c>
      <c r="C149" s="6" t="s">
        <v>10</v>
      </c>
      <c r="E149">
        <f>100/$AS$95*E148</f>
        <v>8.7797970261977802</v>
      </c>
      <c r="F149" s="6" t="s">
        <v>10</v>
      </c>
      <c r="G149" s="7"/>
      <c r="H149">
        <f>100/$AS$95*H148</f>
        <v>18.881283927307059</v>
      </c>
      <c r="I149" s="6" t="s">
        <v>10</v>
      </c>
      <c r="K149">
        <f>100/$AS$95*K148</f>
        <v>15.765872079301394</v>
      </c>
      <c r="L149" s="6" t="s">
        <v>10</v>
      </c>
      <c r="M149" s="7"/>
      <c r="N149">
        <f>100/$AS$95*N148</f>
        <v>13.547321217842811</v>
      </c>
      <c r="O149" s="6" t="s">
        <v>10</v>
      </c>
      <c r="Q149">
        <f>100/$AS$95*Q148</f>
        <v>11.94241208402172</v>
      </c>
      <c r="R149" s="6" t="s">
        <v>10</v>
      </c>
      <c r="S149" s="7"/>
      <c r="T149">
        <f>100/$AS$95*T148</f>
        <v>11.918810479112574</v>
      </c>
      <c r="U149" s="6" t="s">
        <v>10</v>
      </c>
      <c r="W149">
        <f>100/$AS$95*W148</f>
        <v>1.888128392730716</v>
      </c>
      <c r="X149" s="6" t="s">
        <v>10</v>
      </c>
      <c r="Y149" s="7"/>
      <c r="Z149">
        <f>100/$AS$95*Z148</f>
        <v>2.4073637007316409</v>
      </c>
      <c r="AA149" s="6" t="s">
        <v>10</v>
      </c>
      <c r="AC149" s="7">
        <f>SUM(B149,E149,H149,K149,N149,Q149,T149,W149,Z149)</f>
        <v>100.00000000000001</v>
      </c>
      <c r="AD149" s="6" t="s">
        <v>10</v>
      </c>
      <c r="AF149" s="6"/>
    </row>
    <row r="150" spans="1:32" x14ac:dyDescent="0.25">
      <c r="A150" s="8"/>
      <c r="C150" s="6"/>
      <c r="G150" s="7"/>
      <c r="I150" s="6"/>
      <c r="M150" s="7"/>
      <c r="O150" s="6"/>
      <c r="P150" s="7"/>
      <c r="R150" s="6"/>
      <c r="V150" s="7"/>
      <c r="X150" s="6"/>
      <c r="Y150" s="7"/>
      <c r="AA150" s="6"/>
      <c r="AC150" s="7"/>
      <c r="AD150" s="6"/>
      <c r="AF150" s="6"/>
    </row>
    <row r="151" spans="1:32" x14ac:dyDescent="0.25">
      <c r="A151" s="8"/>
      <c r="C151" s="6"/>
      <c r="G151" s="7"/>
      <c r="I151" s="6"/>
      <c r="M151" s="7"/>
      <c r="O151" s="6"/>
      <c r="P151" s="7"/>
      <c r="R151" s="6"/>
      <c r="V151" s="7"/>
      <c r="X151" s="6"/>
      <c r="Y151" s="7"/>
      <c r="AA151" s="6"/>
      <c r="AC151" s="7"/>
      <c r="AD151" s="6"/>
      <c r="AF151" s="6"/>
    </row>
    <row r="152" spans="1:32" x14ac:dyDescent="0.25">
      <c r="A152" s="8">
        <v>12</v>
      </c>
      <c r="B152">
        <f>E99</f>
        <v>2.8650000000000002</v>
      </c>
      <c r="C152" s="6"/>
      <c r="E152">
        <f>J99-E99</f>
        <v>1.7405555555555559</v>
      </c>
      <c r="G152" s="7"/>
      <c r="H152">
        <f>O99-J99</f>
        <v>4.1222222222222218</v>
      </c>
      <c r="I152" s="6"/>
      <c r="K152">
        <f>T99-O99</f>
        <v>3.2444444444444436</v>
      </c>
      <c r="M152" s="7"/>
      <c r="N152">
        <f>Y99-T99</f>
        <v>3.0111111111111111</v>
      </c>
      <c r="O152" s="6"/>
      <c r="P152" s="7"/>
      <c r="Q152">
        <f>AD99-Y99</f>
        <v>2.8816666666666695</v>
      </c>
      <c r="R152" s="6"/>
      <c r="T152">
        <f>AI99-AD99</f>
        <v>2.4699999999999989</v>
      </c>
      <c r="V152" s="7"/>
      <c r="W152">
        <f>AN99-AI99</f>
        <v>1.6123684210526292</v>
      </c>
      <c r="X152" s="6"/>
      <c r="Y152" s="7"/>
      <c r="Z152">
        <f>AS99-AN99</f>
        <v>4.7631578947374464E-2</v>
      </c>
      <c r="AA152" s="6"/>
      <c r="AC152" s="10">
        <f>SUM(B152,E152,H152,K152,N152,Q152,T152,W152,Z152)</f>
        <v>21.995000000000005</v>
      </c>
      <c r="AD152" s="6" t="s">
        <v>11</v>
      </c>
      <c r="AE152" s="9">
        <f>AS99</f>
        <v>21.995000000000005</v>
      </c>
      <c r="AF152" s="6" t="s">
        <v>11</v>
      </c>
    </row>
    <row r="153" spans="1:32" ht="15.75" thickBot="1" x14ac:dyDescent="0.3">
      <c r="A153" s="8"/>
      <c r="B153">
        <f>100/$AS$99*B152</f>
        <v>13.02568765628552</v>
      </c>
      <c r="C153" s="6" t="s">
        <v>10</v>
      </c>
      <c r="E153">
        <f>100/$AS$99*E152</f>
        <v>7.9134146649491051</v>
      </c>
      <c r="F153" s="6" t="s">
        <v>10</v>
      </c>
      <c r="G153" s="7"/>
      <c r="H153">
        <f>100/$AS$99*H152</f>
        <v>18.74163319946452</v>
      </c>
      <c r="I153" s="6" t="s">
        <v>10</v>
      </c>
      <c r="K153">
        <f>100/$AS$99*K152</f>
        <v>14.750827208203878</v>
      </c>
      <c r="L153" s="6" t="s">
        <v>10</v>
      </c>
      <c r="N153">
        <f>100/$AS$99*N152</f>
        <v>13.689980045970042</v>
      </c>
      <c r="O153" s="6" t="s">
        <v>10</v>
      </c>
      <c r="P153" s="7"/>
      <c r="Q153">
        <f>100/$AS$99*Q152</f>
        <v>13.101462453587947</v>
      </c>
      <c r="R153" s="6" t="s">
        <v>10</v>
      </c>
      <c r="T153">
        <f>100/$AS$99*T152</f>
        <v>11.229824960218226</v>
      </c>
      <c r="U153" s="6" t="s">
        <v>10</v>
      </c>
      <c r="W153">
        <f>100/$AS$99*W152</f>
        <v>7.330613416924888</v>
      </c>
      <c r="X153" s="6" t="s">
        <v>10</v>
      </c>
      <c r="Y153" s="7"/>
      <c r="Z153">
        <f>100/$AS$99*Z152</f>
        <v>0.21655639439588298</v>
      </c>
      <c r="AA153" s="6" t="s">
        <v>10</v>
      </c>
      <c r="AC153" s="4">
        <f>SUM(B153,E153,H153,K153,N153,Q153,T153,W153,Z153)</f>
        <v>100</v>
      </c>
      <c r="AD153" s="2" t="s">
        <v>10</v>
      </c>
      <c r="AE153" s="3"/>
      <c r="AF153" s="2"/>
    </row>
    <row r="154" spans="1:32" x14ac:dyDescent="0.25">
      <c r="A154" s="8"/>
      <c r="C154" s="6"/>
      <c r="G154" s="7"/>
      <c r="I154" s="6"/>
      <c r="M154" s="7"/>
      <c r="O154" s="6"/>
      <c r="P154" s="7"/>
      <c r="R154" s="6"/>
      <c r="V154" s="7"/>
      <c r="X154" s="6"/>
      <c r="Y154" s="7"/>
      <c r="AA154" s="6"/>
    </row>
    <row r="155" spans="1:32" ht="15.75" thickBot="1" x14ac:dyDescent="0.3">
      <c r="A155" s="5"/>
      <c r="B155" s="3"/>
      <c r="C155" s="2"/>
      <c r="D155" s="3"/>
      <c r="E155" s="3"/>
      <c r="F155" s="3"/>
      <c r="G155" s="4"/>
      <c r="H155" s="3"/>
      <c r="I155" s="2"/>
      <c r="J155" s="3"/>
      <c r="K155" s="3"/>
      <c r="L155" s="3"/>
      <c r="M155" s="4"/>
      <c r="N155" s="3"/>
      <c r="O155" s="2"/>
      <c r="P155" s="4"/>
      <c r="Q155" s="3"/>
      <c r="R155" s="2"/>
      <c r="S155" s="3"/>
      <c r="T155" s="3"/>
      <c r="U155" s="3"/>
      <c r="V155" s="4"/>
      <c r="W155" s="3"/>
      <c r="X155" s="2"/>
      <c r="Y155" s="4"/>
      <c r="Z155" s="3"/>
      <c r="AA155" s="2"/>
    </row>
    <row r="157" spans="1:32" x14ac:dyDescent="0.25">
      <c r="A157" s="1" t="s">
        <v>9</v>
      </c>
    </row>
    <row r="158" spans="1:32" x14ac:dyDescent="0.25">
      <c r="A158" s="1" t="s">
        <v>8</v>
      </c>
    </row>
    <row r="192" spans="1:1" x14ac:dyDescent="0.25">
      <c r="A192" t="s">
        <v>7</v>
      </c>
    </row>
    <row r="194" spans="1:1" x14ac:dyDescent="0.25">
      <c r="A194" t="s">
        <v>6</v>
      </c>
    </row>
    <row r="196" spans="1:1" x14ac:dyDescent="0.25">
      <c r="A196" t="s">
        <v>5</v>
      </c>
    </row>
    <row r="198" spans="1:1" x14ac:dyDescent="0.25">
      <c r="A198" t="s">
        <v>4</v>
      </c>
    </row>
    <row r="200" spans="1:1" x14ac:dyDescent="0.25">
      <c r="A200" t="s">
        <v>3</v>
      </c>
    </row>
    <row r="202" spans="1:1" x14ac:dyDescent="0.25">
      <c r="A202" t="s">
        <v>2</v>
      </c>
    </row>
    <row r="204" spans="1:1" x14ac:dyDescent="0.25">
      <c r="A204" t="s">
        <v>1</v>
      </c>
    </row>
    <row r="206" spans="1:1" x14ac:dyDescent="0.25">
      <c r="A206" t="s">
        <v>0</v>
      </c>
    </row>
  </sheetData>
  <mergeCells count="27">
    <mergeCell ref="C53:G53"/>
    <mergeCell ref="H53:L53"/>
    <mergeCell ref="C2:G2"/>
    <mergeCell ref="H2:L2"/>
    <mergeCell ref="M2:Q2"/>
    <mergeCell ref="R2:V2"/>
    <mergeCell ref="W2:AA2"/>
    <mergeCell ref="M53:Q53"/>
    <mergeCell ref="R53:V53"/>
    <mergeCell ref="W53:AA53"/>
    <mergeCell ref="P107:R107"/>
    <mergeCell ref="S107:U107"/>
    <mergeCell ref="V107:X107"/>
    <mergeCell ref="AQ2:AU2"/>
    <mergeCell ref="AG2:AK2"/>
    <mergeCell ref="AL2:AP2"/>
    <mergeCell ref="AB2:AF2"/>
    <mergeCell ref="AB53:AF53"/>
    <mergeCell ref="AG53:AK53"/>
    <mergeCell ref="AL53:AP53"/>
    <mergeCell ref="AQ53:AU53"/>
    <mergeCell ref="Y107:AA107"/>
    <mergeCell ref="A107:C107"/>
    <mergeCell ref="D107:F107"/>
    <mergeCell ref="G107:I107"/>
    <mergeCell ref="J107:L107"/>
    <mergeCell ref="M107:O107"/>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7C09-DC06-4330-A8B6-3C381A7B55B2}">
  <dimension ref="N19:N21"/>
  <sheetViews>
    <sheetView workbookViewId="0">
      <selection activeCell="N24" sqref="N24"/>
    </sheetView>
  </sheetViews>
  <sheetFormatPr baseColWidth="10" defaultRowHeight="15" x14ac:dyDescent="0.25"/>
  <sheetData>
    <row r="19" spans="14:14" x14ac:dyDescent="0.25">
      <c r="N19" s="1" t="s">
        <v>19</v>
      </c>
    </row>
    <row r="20" spans="14:14" x14ac:dyDescent="0.25">
      <c r="N20" s="1" t="s">
        <v>20</v>
      </c>
    </row>
    <row r="21" spans="14:14" x14ac:dyDescent="0.25">
      <c r="N21" s="1" t="s">
        <v>21</v>
      </c>
    </row>
  </sheetData>
  <pageMargins left="0.7" right="0.7" top="0.78740157499999996" bottom="0.78740157499999996"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169B-E9CD-4F31-BE41-B8AE3FF57CD9}">
  <dimension ref="A1:AP156"/>
  <sheetViews>
    <sheetView topLeftCell="A95" zoomScaleNormal="100" workbookViewId="0">
      <selection activeCell="A104" sqref="A104"/>
    </sheetView>
  </sheetViews>
  <sheetFormatPr baseColWidth="10" defaultRowHeight="15" x14ac:dyDescent="0.25"/>
  <cols>
    <col min="1" max="1" width="10.140625" customWidth="1"/>
    <col min="2" max="2" width="6" customWidth="1"/>
    <col min="3" max="47" width="6.7109375" customWidth="1"/>
  </cols>
  <sheetData>
    <row r="1" spans="1:42" ht="15.75" thickBot="1" x14ac:dyDescent="0.3"/>
    <row r="2" spans="1:42" x14ac:dyDescent="0.25">
      <c r="A2" s="48"/>
      <c r="B2" s="47"/>
      <c r="C2" s="72">
        <v>44677</v>
      </c>
      <c r="D2" s="73"/>
      <c r="E2" s="73"/>
      <c r="F2" s="73"/>
      <c r="G2" s="74"/>
      <c r="H2" s="75">
        <v>44679</v>
      </c>
      <c r="I2" s="73"/>
      <c r="J2" s="73"/>
      <c r="K2" s="73"/>
      <c r="L2" s="76"/>
      <c r="M2" s="72">
        <v>44684</v>
      </c>
      <c r="N2" s="73"/>
      <c r="O2" s="73"/>
      <c r="P2" s="73"/>
      <c r="Q2" s="74"/>
      <c r="R2" s="75">
        <v>44687</v>
      </c>
      <c r="S2" s="73"/>
      <c r="T2" s="73"/>
      <c r="U2" s="73"/>
      <c r="V2" s="76"/>
      <c r="W2" s="72">
        <v>44691</v>
      </c>
      <c r="X2" s="73"/>
      <c r="Y2" s="73"/>
      <c r="Z2" s="73"/>
      <c r="AA2" s="74"/>
      <c r="AB2" s="75">
        <v>44694</v>
      </c>
      <c r="AC2" s="73"/>
      <c r="AD2" s="73"/>
      <c r="AE2" s="73"/>
      <c r="AF2" s="76"/>
      <c r="AG2" s="72">
        <v>44697</v>
      </c>
      <c r="AH2" s="73"/>
      <c r="AI2" s="73"/>
      <c r="AJ2" s="73"/>
      <c r="AK2" s="74"/>
      <c r="AL2" s="72">
        <v>44700</v>
      </c>
      <c r="AM2" s="73"/>
      <c r="AN2" s="73"/>
      <c r="AO2" s="73"/>
      <c r="AP2" s="74"/>
    </row>
    <row r="3" spans="1:42" ht="15.75" thickBot="1" x14ac:dyDescent="0.3">
      <c r="A3" s="56" t="s">
        <v>22</v>
      </c>
      <c r="B3" s="55" t="s">
        <v>23</v>
      </c>
      <c r="C3" s="56">
        <v>1</v>
      </c>
      <c r="D3" s="61">
        <v>2</v>
      </c>
      <c r="E3" s="61">
        <v>3</v>
      </c>
      <c r="F3" s="61">
        <v>4</v>
      </c>
      <c r="G3" s="60">
        <v>5</v>
      </c>
      <c r="H3" s="62">
        <v>1</v>
      </c>
      <c r="I3" s="61">
        <v>2</v>
      </c>
      <c r="J3" s="61">
        <v>3</v>
      </c>
      <c r="K3" s="61">
        <v>4</v>
      </c>
      <c r="L3" s="55">
        <v>5</v>
      </c>
      <c r="M3" s="56">
        <v>1</v>
      </c>
      <c r="N3" s="61">
        <v>2</v>
      </c>
      <c r="O3" s="61">
        <v>3</v>
      </c>
      <c r="P3" s="61">
        <v>4</v>
      </c>
      <c r="Q3" s="60">
        <v>5</v>
      </c>
      <c r="R3" s="62">
        <v>1</v>
      </c>
      <c r="S3" s="61">
        <v>2</v>
      </c>
      <c r="T3" s="61">
        <v>3</v>
      </c>
      <c r="U3" s="61">
        <v>4</v>
      </c>
      <c r="V3" s="55">
        <v>5</v>
      </c>
      <c r="W3" s="56">
        <v>1</v>
      </c>
      <c r="X3" s="61">
        <v>2</v>
      </c>
      <c r="Y3" s="61">
        <v>3</v>
      </c>
      <c r="Z3" s="61">
        <v>4</v>
      </c>
      <c r="AA3" s="60">
        <v>5</v>
      </c>
      <c r="AB3" s="62">
        <v>1</v>
      </c>
      <c r="AC3" s="61">
        <v>2</v>
      </c>
      <c r="AD3" s="61">
        <v>3</v>
      </c>
      <c r="AE3" s="61">
        <v>4</v>
      </c>
      <c r="AF3" s="55">
        <v>5</v>
      </c>
      <c r="AG3" s="56">
        <v>1</v>
      </c>
      <c r="AH3" s="61">
        <v>2</v>
      </c>
      <c r="AI3" s="61">
        <v>3</v>
      </c>
      <c r="AJ3" s="61">
        <v>4</v>
      </c>
      <c r="AK3" s="60">
        <v>5</v>
      </c>
      <c r="AL3" s="56">
        <v>1</v>
      </c>
      <c r="AM3" s="61">
        <v>2</v>
      </c>
      <c r="AN3" s="61">
        <v>3</v>
      </c>
      <c r="AO3" s="61">
        <v>4</v>
      </c>
      <c r="AP3" s="60">
        <v>5</v>
      </c>
    </row>
    <row r="4" spans="1:42" x14ac:dyDescent="0.25">
      <c r="A4" s="48" t="s">
        <v>24</v>
      </c>
      <c r="B4" s="47">
        <v>1</v>
      </c>
      <c r="C4" s="44">
        <v>5.4</v>
      </c>
      <c r="D4" s="43">
        <v>4</v>
      </c>
      <c r="E4" s="43">
        <v>3.9</v>
      </c>
      <c r="F4" s="43">
        <v>5</v>
      </c>
      <c r="G4" s="42">
        <v>4.4000000000000004</v>
      </c>
      <c r="H4" s="46">
        <v>7.1</v>
      </c>
      <c r="I4" s="43">
        <v>5.7</v>
      </c>
      <c r="J4" s="43">
        <v>5.8</v>
      </c>
      <c r="K4" s="43">
        <v>6.6</v>
      </c>
      <c r="L4" s="45">
        <v>6.5</v>
      </c>
      <c r="M4" s="44">
        <v>10.4</v>
      </c>
      <c r="N4" s="43">
        <v>10.4</v>
      </c>
      <c r="O4" s="43">
        <v>10.199999999999999</v>
      </c>
      <c r="P4" s="43">
        <v>10.1</v>
      </c>
      <c r="Q4" s="42">
        <v>11.2</v>
      </c>
      <c r="R4" s="46">
        <v>11</v>
      </c>
      <c r="S4" s="43">
        <v>10.8</v>
      </c>
      <c r="T4" s="43">
        <v>11</v>
      </c>
      <c r="U4" s="43">
        <v>10.6</v>
      </c>
      <c r="V4" s="45">
        <v>12</v>
      </c>
      <c r="W4" s="44">
        <v>11.3</v>
      </c>
      <c r="X4" s="43">
        <v>11.4</v>
      </c>
      <c r="Y4" s="43">
        <v>11</v>
      </c>
      <c r="Z4" s="43">
        <v>11.5</v>
      </c>
      <c r="AA4" s="42">
        <v>12.1</v>
      </c>
      <c r="AB4" s="46">
        <v>11.2</v>
      </c>
      <c r="AC4" s="43">
        <v>10.9</v>
      </c>
      <c r="AD4" s="43">
        <v>11.4</v>
      </c>
      <c r="AE4" s="43">
        <v>11</v>
      </c>
      <c r="AF4" s="45">
        <v>12.1</v>
      </c>
      <c r="AG4" s="44">
        <v>11.8</v>
      </c>
      <c r="AH4" s="43">
        <v>11.5</v>
      </c>
      <c r="AI4" s="43">
        <v>11</v>
      </c>
      <c r="AJ4" s="43">
        <v>11.4</v>
      </c>
      <c r="AK4" s="42">
        <v>11.9</v>
      </c>
      <c r="AL4" s="44">
        <v>11.8</v>
      </c>
      <c r="AM4" s="43">
        <v>11.5</v>
      </c>
      <c r="AN4" s="43">
        <v>11</v>
      </c>
      <c r="AO4" s="43">
        <v>11.5</v>
      </c>
      <c r="AP4" s="42">
        <v>12.4</v>
      </c>
    </row>
    <row r="5" spans="1:42" x14ac:dyDescent="0.25">
      <c r="A5" s="34"/>
      <c r="B5" s="33">
        <v>2</v>
      </c>
      <c r="C5" s="30">
        <v>5.9</v>
      </c>
      <c r="D5" s="29">
        <v>5.4</v>
      </c>
      <c r="E5" s="29">
        <v>5.0999999999999996</v>
      </c>
      <c r="F5" s="29">
        <v>4.9000000000000004</v>
      </c>
      <c r="G5" s="28">
        <v>5.8</v>
      </c>
      <c r="H5" s="32">
        <v>7.6</v>
      </c>
      <c r="I5" s="29">
        <v>7</v>
      </c>
      <c r="J5" s="29">
        <v>7.4</v>
      </c>
      <c r="K5" s="29">
        <v>7.6</v>
      </c>
      <c r="L5" s="31">
        <v>7.8</v>
      </c>
      <c r="M5" s="30">
        <v>10.8</v>
      </c>
      <c r="N5" s="29">
        <v>9.4</v>
      </c>
      <c r="O5" s="29">
        <v>9.9</v>
      </c>
      <c r="P5" s="29">
        <v>9.6</v>
      </c>
      <c r="Q5" s="28">
        <v>10.6</v>
      </c>
      <c r="R5" s="32">
        <v>11.3</v>
      </c>
      <c r="S5" s="29">
        <v>10</v>
      </c>
      <c r="T5" s="29">
        <v>10.7</v>
      </c>
      <c r="U5" s="29">
        <v>10.199999999999999</v>
      </c>
      <c r="V5" s="31">
        <v>11.3</v>
      </c>
      <c r="W5" s="30">
        <v>11.9</v>
      </c>
      <c r="X5" s="29">
        <v>10.5</v>
      </c>
      <c r="Y5" s="29">
        <v>11.3</v>
      </c>
      <c r="Z5" s="29">
        <v>10.4</v>
      </c>
      <c r="AA5" s="28">
        <v>11.7</v>
      </c>
      <c r="AB5" s="32">
        <v>11.9</v>
      </c>
      <c r="AC5" s="29">
        <v>10.9</v>
      </c>
      <c r="AD5" s="29">
        <v>12.1</v>
      </c>
      <c r="AE5" s="29">
        <v>10.6</v>
      </c>
      <c r="AF5" s="31">
        <v>11.8</v>
      </c>
      <c r="AG5" s="30">
        <v>11.9</v>
      </c>
      <c r="AH5" s="29">
        <v>11</v>
      </c>
      <c r="AI5" s="29">
        <v>12.2</v>
      </c>
      <c r="AJ5" s="29">
        <v>11.6</v>
      </c>
      <c r="AK5" s="28">
        <v>11.9</v>
      </c>
      <c r="AL5" s="30">
        <v>12</v>
      </c>
      <c r="AM5" s="29">
        <v>11</v>
      </c>
      <c r="AN5" s="29">
        <v>12.5</v>
      </c>
      <c r="AO5" s="29">
        <v>10.7</v>
      </c>
      <c r="AP5" s="28">
        <v>12</v>
      </c>
    </row>
    <row r="6" spans="1:42" x14ac:dyDescent="0.25">
      <c r="A6" s="34"/>
      <c r="B6" s="33">
        <v>3</v>
      </c>
      <c r="C6" s="30">
        <v>5.7</v>
      </c>
      <c r="D6" s="29">
        <v>6.2</v>
      </c>
      <c r="E6" s="29">
        <v>6</v>
      </c>
      <c r="F6" s="29">
        <v>5.4</v>
      </c>
      <c r="G6" s="28">
        <v>5.9</v>
      </c>
      <c r="H6" s="32">
        <v>8.1</v>
      </c>
      <c r="I6" s="29">
        <v>8.3000000000000007</v>
      </c>
      <c r="J6" s="29">
        <v>8.1999999999999993</v>
      </c>
      <c r="K6" s="29">
        <v>7.5</v>
      </c>
      <c r="L6" s="31">
        <v>7.9</v>
      </c>
      <c r="M6" s="30">
        <v>11.3</v>
      </c>
      <c r="N6" s="29">
        <v>10.1</v>
      </c>
      <c r="O6" s="29">
        <v>11.4</v>
      </c>
      <c r="P6" s="29">
        <v>10.1</v>
      </c>
      <c r="Q6" s="28">
        <v>10.4</v>
      </c>
      <c r="R6" s="32">
        <v>11.2</v>
      </c>
      <c r="S6" s="29">
        <v>10.9</v>
      </c>
      <c r="T6" s="29">
        <v>12.2</v>
      </c>
      <c r="U6" s="29">
        <v>10.8</v>
      </c>
      <c r="V6" s="31">
        <v>11.4</v>
      </c>
      <c r="W6" s="30">
        <v>12</v>
      </c>
      <c r="X6" s="29">
        <v>11.1</v>
      </c>
      <c r="Y6" s="29">
        <v>11.7</v>
      </c>
      <c r="Z6" s="29">
        <v>11.1</v>
      </c>
      <c r="AA6" s="28">
        <v>11.1</v>
      </c>
      <c r="AB6" s="32">
        <v>12.1</v>
      </c>
      <c r="AC6" s="29">
        <v>11.1</v>
      </c>
      <c r="AD6" s="29">
        <v>12.8</v>
      </c>
      <c r="AE6" s="29">
        <v>11.2</v>
      </c>
      <c r="AF6" s="31">
        <v>11.3</v>
      </c>
      <c r="AG6" s="30">
        <v>12.1</v>
      </c>
      <c r="AH6" s="29">
        <v>11.5</v>
      </c>
      <c r="AI6" s="29">
        <v>12.8</v>
      </c>
      <c r="AJ6" s="29">
        <v>11.4</v>
      </c>
      <c r="AK6" s="28">
        <v>11.8</v>
      </c>
      <c r="AL6" s="30">
        <v>12.3</v>
      </c>
      <c r="AM6" s="29">
        <v>11.5</v>
      </c>
      <c r="AN6" s="29">
        <v>12.9</v>
      </c>
      <c r="AO6" s="29">
        <v>11.4</v>
      </c>
      <c r="AP6" s="28">
        <v>11.8</v>
      </c>
    </row>
    <row r="7" spans="1:42" ht="15.75" thickBot="1" x14ac:dyDescent="0.3">
      <c r="A7" s="27"/>
      <c r="B7" s="26">
        <v>4</v>
      </c>
      <c r="C7" s="22">
        <v>5.9</v>
      </c>
      <c r="D7" s="21">
        <v>5</v>
      </c>
      <c r="E7" s="21">
        <v>5.6</v>
      </c>
      <c r="F7" s="21">
        <v>5.4</v>
      </c>
      <c r="G7" s="20">
        <v>4.9000000000000004</v>
      </c>
      <c r="H7" s="24">
        <v>7.8</v>
      </c>
      <c r="I7" s="21">
        <v>6.9</v>
      </c>
      <c r="J7" s="21">
        <v>7.4</v>
      </c>
      <c r="K7" s="21">
        <v>7.1</v>
      </c>
      <c r="L7" s="23">
        <v>6.6</v>
      </c>
      <c r="M7" s="22">
        <v>10.4</v>
      </c>
      <c r="N7" s="21">
        <v>9.3000000000000007</v>
      </c>
      <c r="O7" s="21">
        <v>9.9</v>
      </c>
      <c r="P7" s="21">
        <v>10.1</v>
      </c>
      <c r="Q7" s="20">
        <v>9.8000000000000007</v>
      </c>
      <c r="R7" s="24">
        <v>11</v>
      </c>
      <c r="S7" s="21">
        <v>10</v>
      </c>
      <c r="T7" s="21">
        <v>11.4</v>
      </c>
      <c r="U7" s="21">
        <v>11.2</v>
      </c>
      <c r="V7" s="23">
        <v>10.199999999999999</v>
      </c>
      <c r="W7" s="22">
        <v>11.5</v>
      </c>
      <c r="X7" s="21">
        <v>10.4</v>
      </c>
      <c r="Y7" s="21">
        <v>12.3</v>
      </c>
      <c r="Z7" s="21">
        <v>11.5</v>
      </c>
      <c r="AA7" s="20">
        <v>11.1</v>
      </c>
      <c r="AB7" s="24">
        <v>11.9</v>
      </c>
      <c r="AC7" s="21">
        <v>10.7</v>
      </c>
      <c r="AD7" s="21">
        <v>12.5</v>
      </c>
      <c r="AE7" s="21">
        <v>11.6</v>
      </c>
      <c r="AF7" s="23">
        <v>11.3</v>
      </c>
      <c r="AG7" s="22">
        <v>11.9</v>
      </c>
      <c r="AH7" s="21">
        <v>10.7</v>
      </c>
      <c r="AI7" s="21">
        <v>12.7</v>
      </c>
      <c r="AJ7" s="21">
        <v>11.8</v>
      </c>
      <c r="AK7" s="20">
        <v>11.5</v>
      </c>
      <c r="AL7" s="22">
        <v>12</v>
      </c>
      <c r="AM7" s="21">
        <v>10.8</v>
      </c>
      <c r="AN7" s="21">
        <v>12.6</v>
      </c>
      <c r="AO7" s="21">
        <v>11.8</v>
      </c>
      <c r="AP7" s="20">
        <v>11.4</v>
      </c>
    </row>
    <row r="8" spans="1:42" x14ac:dyDescent="0.25">
      <c r="A8" s="41" t="s">
        <v>25</v>
      </c>
      <c r="B8" s="40">
        <v>1</v>
      </c>
      <c r="C8" s="37">
        <v>5</v>
      </c>
      <c r="D8" s="36">
        <v>5</v>
      </c>
      <c r="E8" s="36">
        <v>5</v>
      </c>
      <c r="F8" s="36">
        <v>4.5999999999999996</v>
      </c>
      <c r="G8" s="35">
        <v>4.0999999999999996</v>
      </c>
      <c r="H8" s="39">
        <v>6.9</v>
      </c>
      <c r="I8" s="36">
        <v>8.6999999999999993</v>
      </c>
      <c r="J8" s="36">
        <v>6.4</v>
      </c>
      <c r="K8" s="36">
        <v>7.1</v>
      </c>
      <c r="L8" s="38">
        <v>6.1</v>
      </c>
      <c r="M8" s="37">
        <v>9.8000000000000007</v>
      </c>
      <c r="N8" s="36">
        <v>8.9</v>
      </c>
      <c r="O8" s="36">
        <v>9.1</v>
      </c>
      <c r="P8" s="36">
        <v>10.199999999999999</v>
      </c>
      <c r="Q8" s="35">
        <v>10.1</v>
      </c>
      <c r="R8" s="39">
        <v>10.3</v>
      </c>
      <c r="S8" s="36">
        <v>9.8000000000000007</v>
      </c>
      <c r="T8" s="36">
        <v>9.8000000000000007</v>
      </c>
      <c r="U8" s="36">
        <v>10.8</v>
      </c>
      <c r="V8" s="38">
        <v>11.2</v>
      </c>
      <c r="W8" s="37">
        <v>10.8</v>
      </c>
      <c r="X8" s="36">
        <v>10.3</v>
      </c>
      <c r="Y8" s="36">
        <v>10</v>
      </c>
      <c r="Z8" s="36">
        <v>11.3</v>
      </c>
      <c r="AA8" s="35">
        <v>11.7</v>
      </c>
      <c r="AB8" s="39">
        <v>11</v>
      </c>
      <c r="AC8" s="36">
        <v>10.5</v>
      </c>
      <c r="AD8" s="36">
        <v>10.1</v>
      </c>
      <c r="AE8" s="36">
        <v>11.4</v>
      </c>
      <c r="AF8" s="38">
        <v>11.4</v>
      </c>
      <c r="AG8" s="37">
        <v>11</v>
      </c>
      <c r="AH8" s="36">
        <v>10.6</v>
      </c>
      <c r="AI8" s="36">
        <v>10.1</v>
      </c>
      <c r="AJ8" s="36">
        <v>11.4</v>
      </c>
      <c r="AK8" s="35">
        <v>11.6</v>
      </c>
      <c r="AL8" s="37">
        <v>11.1</v>
      </c>
      <c r="AM8" s="36">
        <v>10.6</v>
      </c>
      <c r="AN8" s="36">
        <v>10.199999999999999</v>
      </c>
      <c r="AO8" s="36">
        <v>11.3</v>
      </c>
      <c r="AP8" s="35">
        <v>11.9</v>
      </c>
    </row>
    <row r="9" spans="1:42" x14ac:dyDescent="0.25">
      <c r="A9" s="34"/>
      <c r="B9" s="33">
        <v>2</v>
      </c>
      <c r="C9" s="30">
        <v>4.0999999999999996</v>
      </c>
      <c r="D9" s="29">
        <v>5</v>
      </c>
      <c r="E9" s="29">
        <v>5.6</v>
      </c>
      <c r="F9" s="29">
        <v>5.6</v>
      </c>
      <c r="G9" s="28">
        <v>6.4</v>
      </c>
      <c r="H9" s="32">
        <v>7.8</v>
      </c>
      <c r="I9" s="29">
        <v>7.4</v>
      </c>
      <c r="J9" s="29">
        <v>7.3</v>
      </c>
      <c r="K9" s="29">
        <v>7.5</v>
      </c>
      <c r="L9" s="31">
        <v>8.3000000000000007</v>
      </c>
      <c r="M9" s="30">
        <v>9.3000000000000007</v>
      </c>
      <c r="N9" s="29">
        <v>9.6999999999999993</v>
      </c>
      <c r="O9" s="29">
        <v>8.6999999999999993</v>
      </c>
      <c r="P9" s="29">
        <v>9</v>
      </c>
      <c r="Q9" s="28">
        <v>8.8000000000000007</v>
      </c>
      <c r="R9" s="32">
        <v>10.6</v>
      </c>
      <c r="S9" s="29">
        <v>10.1</v>
      </c>
      <c r="T9" s="29">
        <v>11</v>
      </c>
      <c r="U9" s="29">
        <v>10</v>
      </c>
      <c r="V9" s="31">
        <v>10.199999999999999</v>
      </c>
      <c r="W9" s="30">
        <v>11</v>
      </c>
      <c r="X9" s="29">
        <v>10.3</v>
      </c>
      <c r="Y9" s="29">
        <v>11.1</v>
      </c>
      <c r="Z9" s="29">
        <v>10.3</v>
      </c>
      <c r="AA9" s="28">
        <v>10.4</v>
      </c>
      <c r="AB9" s="32">
        <v>11.1</v>
      </c>
      <c r="AC9" s="29">
        <v>10.3</v>
      </c>
      <c r="AD9" s="29">
        <v>11.4</v>
      </c>
      <c r="AE9" s="29">
        <v>18.600000000000001</v>
      </c>
      <c r="AF9" s="31">
        <v>10.8</v>
      </c>
      <c r="AG9" s="30">
        <v>11.2</v>
      </c>
      <c r="AH9" s="29">
        <v>10.1</v>
      </c>
      <c r="AI9" s="29">
        <v>11.5</v>
      </c>
      <c r="AJ9" s="29">
        <v>10.8</v>
      </c>
      <c r="AK9" s="28">
        <v>10.8</v>
      </c>
      <c r="AL9" s="30">
        <v>11.4</v>
      </c>
      <c r="AM9" s="29">
        <v>10.4</v>
      </c>
      <c r="AN9" s="29">
        <v>11.5</v>
      </c>
      <c r="AO9" s="29">
        <v>10.5</v>
      </c>
      <c r="AP9" s="28">
        <v>10.8</v>
      </c>
    </row>
    <row r="10" spans="1:42" x14ac:dyDescent="0.25">
      <c r="A10" s="34"/>
      <c r="B10" s="33">
        <v>3</v>
      </c>
      <c r="C10" s="30">
        <v>4.3</v>
      </c>
      <c r="D10" s="29">
        <v>4.2</v>
      </c>
      <c r="E10" s="29">
        <v>5.0999999999999996</v>
      </c>
      <c r="F10" s="29">
        <v>6</v>
      </c>
      <c r="G10" s="28">
        <v>6.4</v>
      </c>
      <c r="H10" s="32">
        <v>6.3</v>
      </c>
      <c r="I10" s="29">
        <v>6.7</v>
      </c>
      <c r="J10" s="29">
        <v>7</v>
      </c>
      <c r="K10" s="29">
        <v>7.8</v>
      </c>
      <c r="L10" s="31">
        <v>8.1999999999999993</v>
      </c>
      <c r="M10" s="30">
        <v>8.5</v>
      </c>
      <c r="N10" s="29">
        <v>8.9</v>
      </c>
      <c r="O10" s="29">
        <v>9.9</v>
      </c>
      <c r="P10" s="29">
        <v>9.9</v>
      </c>
      <c r="Q10" s="28">
        <v>10.6</v>
      </c>
      <c r="R10" s="32">
        <v>9</v>
      </c>
      <c r="S10" s="29">
        <v>9.4</v>
      </c>
      <c r="T10" s="29">
        <v>10.3</v>
      </c>
      <c r="U10" s="29">
        <v>10.3</v>
      </c>
      <c r="V10" s="31">
        <v>11</v>
      </c>
      <c r="W10" s="30">
        <v>9.3000000000000007</v>
      </c>
      <c r="X10" s="29">
        <v>9.8000000000000007</v>
      </c>
      <c r="Y10" s="29">
        <v>10.7</v>
      </c>
      <c r="Z10" s="29">
        <v>10.5</v>
      </c>
      <c r="AA10" s="28">
        <v>11.2</v>
      </c>
      <c r="AB10" s="32">
        <v>9.5</v>
      </c>
      <c r="AC10" s="29">
        <v>10.1</v>
      </c>
      <c r="AD10" s="29">
        <v>10.9</v>
      </c>
      <c r="AE10" s="29">
        <v>10.8</v>
      </c>
      <c r="AF10" s="31">
        <v>11.3</v>
      </c>
      <c r="AG10" s="30">
        <v>9.5</v>
      </c>
      <c r="AH10" s="29">
        <v>10.1</v>
      </c>
      <c r="AI10" s="29">
        <v>11</v>
      </c>
      <c r="AJ10" s="29">
        <v>10.6</v>
      </c>
      <c r="AK10" s="28">
        <v>11.4</v>
      </c>
      <c r="AL10" s="30">
        <v>10.4</v>
      </c>
      <c r="AM10" s="29">
        <v>10.199999999999999</v>
      </c>
      <c r="AN10" s="29">
        <v>11</v>
      </c>
      <c r="AO10" s="29">
        <v>10.6</v>
      </c>
      <c r="AP10" s="28">
        <v>11.2</v>
      </c>
    </row>
    <row r="11" spans="1:42" ht="15.75" thickBot="1" x14ac:dyDescent="0.3">
      <c r="A11" s="56"/>
      <c r="B11" s="55">
        <v>4</v>
      </c>
      <c r="C11" s="51">
        <v>4.5</v>
      </c>
      <c r="D11" s="50">
        <v>4.5999999999999996</v>
      </c>
      <c r="E11" s="50">
        <v>4.4000000000000004</v>
      </c>
      <c r="F11" s="50">
        <v>2.9</v>
      </c>
      <c r="G11" s="49">
        <v>5.0999999999999996</v>
      </c>
      <c r="H11" s="53">
        <v>6.6</v>
      </c>
      <c r="I11" s="50">
        <v>7</v>
      </c>
      <c r="J11" s="50">
        <v>6.1</v>
      </c>
      <c r="K11" s="50">
        <v>5.7</v>
      </c>
      <c r="L11" s="52">
        <v>6.9</v>
      </c>
      <c r="M11" s="30">
        <v>10</v>
      </c>
      <c r="N11" s="29">
        <v>9.6</v>
      </c>
      <c r="O11" s="29">
        <v>10.4</v>
      </c>
      <c r="P11" s="29">
        <v>9.5</v>
      </c>
      <c r="Q11" s="28">
        <v>9.6</v>
      </c>
      <c r="R11" s="53">
        <v>10</v>
      </c>
      <c r="S11" s="50">
        <v>9.8000000000000007</v>
      </c>
      <c r="T11" s="50">
        <v>9.4</v>
      </c>
      <c r="U11" s="50">
        <v>9.8000000000000007</v>
      </c>
      <c r="V11" s="52">
        <v>9.5</v>
      </c>
      <c r="W11" s="51">
        <v>10.199999999999999</v>
      </c>
      <c r="X11" s="50">
        <v>10.1</v>
      </c>
      <c r="Y11" s="50">
        <v>10</v>
      </c>
      <c r="Z11" s="50">
        <v>10.1</v>
      </c>
      <c r="AA11" s="49">
        <v>9.8000000000000007</v>
      </c>
      <c r="AB11" s="53">
        <v>10.199999999999999</v>
      </c>
      <c r="AC11" s="50">
        <v>10.3</v>
      </c>
      <c r="AD11" s="50">
        <v>10.199999999999999</v>
      </c>
      <c r="AE11" s="50">
        <v>10.4</v>
      </c>
      <c r="AF11" s="52">
        <v>9.9</v>
      </c>
      <c r="AG11" s="51">
        <v>10.8</v>
      </c>
      <c r="AH11" s="50">
        <v>10.199999999999999</v>
      </c>
      <c r="AI11" s="50">
        <v>10.6</v>
      </c>
      <c r="AJ11" s="50">
        <v>11.9</v>
      </c>
      <c r="AK11" s="49">
        <v>10</v>
      </c>
      <c r="AL11" s="51">
        <v>10.8</v>
      </c>
      <c r="AM11" s="50">
        <v>10.5</v>
      </c>
      <c r="AN11" s="50">
        <v>10.8</v>
      </c>
      <c r="AO11" s="50">
        <v>11.5</v>
      </c>
      <c r="AP11" s="49">
        <v>11</v>
      </c>
    </row>
    <row r="12" spans="1:42" x14ac:dyDescent="0.25">
      <c r="A12" s="48" t="s">
        <v>26</v>
      </c>
      <c r="B12" s="47">
        <v>1</v>
      </c>
      <c r="C12" s="44">
        <v>5.2</v>
      </c>
      <c r="D12" s="43">
        <v>5</v>
      </c>
      <c r="E12" s="43">
        <v>4.2</v>
      </c>
      <c r="F12" s="43">
        <v>5.6</v>
      </c>
      <c r="G12" s="42">
        <v>6.2</v>
      </c>
      <c r="H12" s="46">
        <v>7</v>
      </c>
      <c r="I12" s="43">
        <v>6.9</v>
      </c>
      <c r="J12" s="43">
        <v>6.4</v>
      </c>
      <c r="K12" s="43">
        <v>7.9</v>
      </c>
      <c r="L12" s="45">
        <v>8.8000000000000007</v>
      </c>
      <c r="M12" s="44">
        <v>13.2</v>
      </c>
      <c r="N12" s="43">
        <v>13</v>
      </c>
      <c r="O12" s="43">
        <v>12.9</v>
      </c>
      <c r="P12" s="43">
        <v>13.3</v>
      </c>
      <c r="Q12" s="42">
        <v>14.9</v>
      </c>
      <c r="R12" s="46">
        <v>14</v>
      </c>
      <c r="S12" s="43">
        <v>13.6</v>
      </c>
      <c r="T12" s="43">
        <v>14.5</v>
      </c>
      <c r="U12" s="43">
        <v>15.7</v>
      </c>
      <c r="V12" s="45">
        <v>15.9</v>
      </c>
      <c r="W12" s="44">
        <v>14.8</v>
      </c>
      <c r="X12" s="43">
        <v>14.5</v>
      </c>
      <c r="Y12" s="43">
        <v>14</v>
      </c>
      <c r="Z12" s="43">
        <v>17.8</v>
      </c>
      <c r="AA12" s="42">
        <v>16.100000000000001</v>
      </c>
      <c r="AB12" s="46">
        <v>14.8</v>
      </c>
      <c r="AC12" s="43">
        <v>14.8</v>
      </c>
      <c r="AD12" s="43">
        <v>15.1</v>
      </c>
      <c r="AE12" s="43">
        <v>16.899999999999999</v>
      </c>
      <c r="AF12" s="45">
        <v>16.5</v>
      </c>
      <c r="AG12" s="44">
        <v>14.9</v>
      </c>
      <c r="AH12" s="43">
        <v>15</v>
      </c>
      <c r="AI12" s="43">
        <v>15.1</v>
      </c>
      <c r="AJ12" s="43">
        <v>17</v>
      </c>
      <c r="AK12" s="42">
        <v>16.8</v>
      </c>
      <c r="AL12" s="44">
        <v>14.9</v>
      </c>
      <c r="AM12" s="43">
        <v>15.1</v>
      </c>
      <c r="AN12" s="43">
        <v>15.2</v>
      </c>
      <c r="AO12" s="43">
        <v>17</v>
      </c>
      <c r="AP12" s="42">
        <v>16.8</v>
      </c>
    </row>
    <row r="13" spans="1:42" x14ac:dyDescent="0.25">
      <c r="A13" s="34"/>
      <c r="B13" s="33">
        <v>2</v>
      </c>
      <c r="C13" s="30">
        <v>5.4</v>
      </c>
      <c r="D13" s="29">
        <v>6</v>
      </c>
      <c r="E13" s="29">
        <v>5.8</v>
      </c>
      <c r="F13" s="29">
        <v>5.0999999999999996</v>
      </c>
      <c r="G13" s="28">
        <v>5.6</v>
      </c>
      <c r="H13" s="32">
        <v>7.9</v>
      </c>
      <c r="I13" s="29">
        <v>8</v>
      </c>
      <c r="J13" s="29">
        <v>7.2</v>
      </c>
      <c r="K13" s="29">
        <v>7.6</v>
      </c>
      <c r="L13" s="31">
        <v>8</v>
      </c>
      <c r="M13" s="30">
        <v>13.6</v>
      </c>
      <c r="N13" s="29">
        <v>15.4</v>
      </c>
      <c r="O13" s="29">
        <v>12.9</v>
      </c>
      <c r="P13" s="29">
        <v>13.1</v>
      </c>
      <c r="Q13" s="28">
        <v>15.1</v>
      </c>
      <c r="R13" s="32">
        <v>14.2</v>
      </c>
      <c r="S13" s="29">
        <v>15.1</v>
      </c>
      <c r="T13" s="29">
        <v>14.4</v>
      </c>
      <c r="U13" s="29">
        <v>14.3</v>
      </c>
      <c r="V13" s="31">
        <v>15.9</v>
      </c>
      <c r="W13" s="30">
        <v>14.6</v>
      </c>
      <c r="X13" s="29">
        <v>15.5</v>
      </c>
      <c r="Y13" s="29">
        <v>15.5</v>
      </c>
      <c r="Z13" s="29">
        <v>15.1</v>
      </c>
      <c r="AA13" s="28">
        <v>17</v>
      </c>
      <c r="AB13" s="32">
        <v>14.5</v>
      </c>
      <c r="AC13" s="29">
        <v>15.3</v>
      </c>
      <c r="AD13" s="29">
        <v>15.9</v>
      </c>
      <c r="AE13" s="29">
        <v>15.6</v>
      </c>
      <c r="AF13" s="31">
        <v>17.2</v>
      </c>
      <c r="AG13" s="30">
        <v>14.8</v>
      </c>
      <c r="AH13" s="29">
        <v>15.6</v>
      </c>
      <c r="AI13" s="29">
        <v>15.9</v>
      </c>
      <c r="AJ13" s="29">
        <v>15.6</v>
      </c>
      <c r="AK13" s="28">
        <v>17.2</v>
      </c>
      <c r="AL13" s="30">
        <v>15</v>
      </c>
      <c r="AM13" s="29">
        <v>15.5</v>
      </c>
      <c r="AN13" s="29">
        <v>15.8</v>
      </c>
      <c r="AO13" s="29">
        <v>15.6</v>
      </c>
      <c r="AP13" s="28">
        <v>17.2</v>
      </c>
    </row>
    <row r="14" spans="1:42" x14ac:dyDescent="0.25">
      <c r="A14" s="34"/>
      <c r="B14" s="33">
        <v>3</v>
      </c>
      <c r="C14" s="30">
        <v>5.7</v>
      </c>
      <c r="D14" s="29">
        <v>6.1</v>
      </c>
      <c r="E14" s="29">
        <v>4.9000000000000004</v>
      </c>
      <c r="F14" s="29">
        <v>5</v>
      </c>
      <c r="G14" s="28">
        <v>3.8</v>
      </c>
      <c r="H14" s="32">
        <v>8.5</v>
      </c>
      <c r="I14" s="29">
        <v>8.1999999999999993</v>
      </c>
      <c r="J14" s="29">
        <v>7</v>
      </c>
      <c r="K14" s="29">
        <v>7.4</v>
      </c>
      <c r="L14" s="31">
        <v>5</v>
      </c>
      <c r="M14" s="51">
        <v>15.1</v>
      </c>
      <c r="N14" s="50">
        <v>13.9</v>
      </c>
      <c r="O14" s="50">
        <v>13</v>
      </c>
      <c r="P14" s="50">
        <v>13.9</v>
      </c>
      <c r="Q14" s="49">
        <v>10</v>
      </c>
      <c r="R14" s="32">
        <v>16.399999999999999</v>
      </c>
      <c r="S14" s="29">
        <v>14.6</v>
      </c>
      <c r="T14" s="29">
        <v>14.4</v>
      </c>
      <c r="U14" s="29">
        <v>15.4</v>
      </c>
      <c r="V14" s="31">
        <v>11.7</v>
      </c>
      <c r="W14" s="30">
        <v>16.7</v>
      </c>
      <c r="X14" s="29">
        <v>15.9</v>
      </c>
      <c r="Y14" s="29">
        <v>15</v>
      </c>
      <c r="Z14" s="29">
        <v>15.3</v>
      </c>
      <c r="AA14" s="28">
        <v>13.5</v>
      </c>
      <c r="AB14" s="32">
        <v>16.899999999999999</v>
      </c>
      <c r="AC14" s="29">
        <v>15</v>
      </c>
      <c r="AD14" s="29">
        <v>15.2</v>
      </c>
      <c r="AE14" s="29">
        <v>15.6</v>
      </c>
      <c r="AF14" s="31">
        <v>13.5</v>
      </c>
      <c r="AG14" s="30">
        <v>16.899999999999999</v>
      </c>
      <c r="AH14" s="29">
        <v>15.6</v>
      </c>
      <c r="AI14" s="29">
        <v>15.2</v>
      </c>
      <c r="AJ14" s="29">
        <v>15.9</v>
      </c>
      <c r="AK14" s="28">
        <v>16</v>
      </c>
      <c r="AL14" s="30">
        <v>16.8</v>
      </c>
      <c r="AM14" s="29">
        <v>16</v>
      </c>
      <c r="AN14" s="29">
        <v>15.5</v>
      </c>
      <c r="AO14" s="29">
        <v>15.9</v>
      </c>
      <c r="AP14" s="28">
        <v>15.1</v>
      </c>
    </row>
    <row r="15" spans="1:42" ht="15.75" thickBot="1" x14ac:dyDescent="0.3">
      <c r="A15" s="27"/>
      <c r="B15" s="26">
        <v>4</v>
      </c>
      <c r="C15" s="22">
        <v>5.0999999999999996</v>
      </c>
      <c r="D15" s="21">
        <v>5.3</v>
      </c>
      <c r="E15" s="21">
        <v>4.7</v>
      </c>
      <c r="F15" s="21">
        <v>6.4</v>
      </c>
      <c r="G15" s="20">
        <v>5.0999999999999996</v>
      </c>
      <c r="H15" s="24">
        <v>7.7</v>
      </c>
      <c r="I15" s="21">
        <v>7.1</v>
      </c>
      <c r="J15" s="21">
        <v>6.4</v>
      </c>
      <c r="K15" s="21">
        <v>8.6</v>
      </c>
      <c r="L15" s="23">
        <v>7</v>
      </c>
      <c r="M15" s="22">
        <v>14.7</v>
      </c>
      <c r="N15" s="21">
        <v>12</v>
      </c>
      <c r="O15" s="21">
        <v>10.9</v>
      </c>
      <c r="P15" s="21">
        <v>14</v>
      </c>
      <c r="Q15" s="20">
        <v>14.7</v>
      </c>
      <c r="R15" s="24">
        <v>15.5</v>
      </c>
      <c r="S15" s="21">
        <v>12.3</v>
      </c>
      <c r="T15" s="21">
        <v>13.2</v>
      </c>
      <c r="U15" s="21">
        <v>14.9</v>
      </c>
      <c r="V15" s="23">
        <v>13.8</v>
      </c>
      <c r="W15" s="22">
        <v>16</v>
      </c>
      <c r="X15" s="21">
        <v>13.6</v>
      </c>
      <c r="Y15" s="21">
        <v>13.3</v>
      </c>
      <c r="Z15" s="21">
        <v>15.5</v>
      </c>
      <c r="AA15" s="20">
        <v>14</v>
      </c>
      <c r="AB15" s="24">
        <v>16.100000000000001</v>
      </c>
      <c r="AC15" s="21">
        <v>13.7</v>
      </c>
      <c r="AD15" s="21">
        <v>13.8</v>
      </c>
      <c r="AE15" s="21">
        <v>16.2</v>
      </c>
      <c r="AF15" s="23">
        <v>14.4</v>
      </c>
      <c r="AG15" s="22">
        <v>16.100000000000001</v>
      </c>
      <c r="AH15" s="21">
        <v>14.9</v>
      </c>
      <c r="AI15" s="21">
        <v>14</v>
      </c>
      <c r="AJ15" s="21">
        <v>16</v>
      </c>
      <c r="AK15" s="20">
        <v>14.8</v>
      </c>
      <c r="AL15" s="22">
        <v>16</v>
      </c>
      <c r="AM15" s="21">
        <v>13.6</v>
      </c>
      <c r="AN15" s="21">
        <v>13.8</v>
      </c>
      <c r="AO15" s="21">
        <v>16.100000000000001</v>
      </c>
      <c r="AP15" s="20">
        <v>14.9</v>
      </c>
    </row>
    <row r="16" spans="1:42" x14ac:dyDescent="0.25">
      <c r="A16" s="41" t="s">
        <v>27</v>
      </c>
      <c r="B16" s="40">
        <v>1</v>
      </c>
      <c r="C16" s="37">
        <v>5</v>
      </c>
      <c r="D16" s="59">
        <v>5.0999999999999996</v>
      </c>
      <c r="E16" s="36">
        <v>4.0999999999999996</v>
      </c>
      <c r="F16" s="36">
        <v>4.5</v>
      </c>
      <c r="G16" s="35">
        <v>5.3</v>
      </c>
      <c r="H16" s="39">
        <v>7</v>
      </c>
      <c r="I16" s="36">
        <v>7.9</v>
      </c>
      <c r="J16" s="36">
        <v>6.9</v>
      </c>
      <c r="K16" s="36">
        <v>6.1</v>
      </c>
      <c r="L16" s="38">
        <v>7.5</v>
      </c>
      <c r="M16" s="37">
        <v>12.9</v>
      </c>
      <c r="N16" s="36">
        <v>15.9</v>
      </c>
      <c r="O16" s="36">
        <v>14.8</v>
      </c>
      <c r="P16" s="36">
        <v>12.6</v>
      </c>
      <c r="Q16" s="35">
        <v>14.6</v>
      </c>
      <c r="R16" s="39">
        <v>14.8</v>
      </c>
      <c r="S16" s="36">
        <v>17.600000000000001</v>
      </c>
      <c r="T16" s="36">
        <v>16.5</v>
      </c>
      <c r="U16" s="36">
        <v>14.5</v>
      </c>
      <c r="V16" s="38">
        <v>16.2</v>
      </c>
      <c r="W16" s="37">
        <v>15.6</v>
      </c>
      <c r="X16" s="36">
        <v>18.600000000000001</v>
      </c>
      <c r="Y16" s="36">
        <v>17.399999999999999</v>
      </c>
      <c r="Z16" s="36">
        <v>15.9</v>
      </c>
      <c r="AA16" s="35">
        <v>16.7</v>
      </c>
      <c r="AB16" s="39">
        <v>16.2</v>
      </c>
      <c r="AC16" s="36">
        <v>18.7</v>
      </c>
      <c r="AD16" s="36">
        <v>17.5</v>
      </c>
      <c r="AE16" s="36">
        <v>16.399999999999999</v>
      </c>
      <c r="AF16" s="38">
        <v>16.899999999999999</v>
      </c>
      <c r="AG16" s="37">
        <v>16</v>
      </c>
      <c r="AH16" s="36">
        <v>18.600000000000001</v>
      </c>
      <c r="AI16" s="36">
        <v>17.5</v>
      </c>
      <c r="AJ16" s="36">
        <v>16.399999999999999</v>
      </c>
      <c r="AK16" s="35">
        <v>17.100000000000001</v>
      </c>
      <c r="AL16" s="37">
        <v>16.2</v>
      </c>
      <c r="AM16" s="36">
        <v>16.899999999999999</v>
      </c>
      <c r="AN16" s="36">
        <v>18.600000000000001</v>
      </c>
      <c r="AO16" s="36">
        <v>16.399999999999999</v>
      </c>
      <c r="AP16" s="35">
        <v>17.100000000000001</v>
      </c>
    </row>
    <row r="17" spans="1:42" x14ac:dyDescent="0.25">
      <c r="A17" s="34"/>
      <c r="B17" s="33">
        <v>2</v>
      </c>
      <c r="C17" s="30">
        <v>5.5</v>
      </c>
      <c r="D17" s="29">
        <v>6</v>
      </c>
      <c r="E17" s="29">
        <v>5.8</v>
      </c>
      <c r="F17" s="29">
        <v>6.5</v>
      </c>
      <c r="G17" s="28">
        <v>5.2</v>
      </c>
      <c r="H17" s="32">
        <v>7.8</v>
      </c>
      <c r="I17" s="29">
        <v>8</v>
      </c>
      <c r="J17" s="29">
        <v>7.6</v>
      </c>
      <c r="K17" s="29">
        <v>8.5</v>
      </c>
      <c r="L17" s="31">
        <v>7.8</v>
      </c>
      <c r="M17" s="30">
        <v>13.4</v>
      </c>
      <c r="N17" s="29">
        <v>13.6</v>
      </c>
      <c r="O17" s="29">
        <v>13</v>
      </c>
      <c r="P17" s="29">
        <v>14.1</v>
      </c>
      <c r="Q17" s="28">
        <v>14.3</v>
      </c>
      <c r="R17" s="32">
        <v>14.9</v>
      </c>
      <c r="S17" s="29">
        <v>14.7</v>
      </c>
      <c r="T17" s="29">
        <v>15.2</v>
      </c>
      <c r="U17" s="29">
        <v>15.8</v>
      </c>
      <c r="V17" s="31">
        <v>15.2</v>
      </c>
      <c r="W17" s="30">
        <v>16.2</v>
      </c>
      <c r="X17" s="29">
        <v>15.5</v>
      </c>
      <c r="Y17" s="29">
        <v>16.2</v>
      </c>
      <c r="Z17" s="29">
        <v>16.600000000000001</v>
      </c>
      <c r="AA17" s="28">
        <v>10</v>
      </c>
      <c r="AB17" s="32">
        <v>18.100000000000001</v>
      </c>
      <c r="AC17" s="29">
        <v>15.4</v>
      </c>
      <c r="AD17" s="29">
        <v>16.399999999999999</v>
      </c>
      <c r="AE17" s="29">
        <v>18</v>
      </c>
      <c r="AF17" s="31">
        <v>16.3</v>
      </c>
      <c r="AG17" s="30">
        <v>16.5</v>
      </c>
      <c r="AH17" s="29">
        <v>15.8</v>
      </c>
      <c r="AI17" s="29">
        <v>16.7</v>
      </c>
      <c r="AJ17" s="29">
        <v>18.100000000000001</v>
      </c>
      <c r="AK17" s="28">
        <v>16.5</v>
      </c>
      <c r="AL17" s="30">
        <v>15.8</v>
      </c>
      <c r="AM17" s="59">
        <v>15.3</v>
      </c>
      <c r="AN17" s="29">
        <v>16.7</v>
      </c>
      <c r="AO17" s="29">
        <v>18.8</v>
      </c>
      <c r="AP17" s="28">
        <v>16.399999999999999</v>
      </c>
    </row>
    <row r="18" spans="1:42" x14ac:dyDescent="0.25">
      <c r="A18" s="34"/>
      <c r="B18" s="33">
        <v>3</v>
      </c>
      <c r="C18" s="30">
        <v>3.4</v>
      </c>
      <c r="D18" s="29">
        <v>5.6</v>
      </c>
      <c r="E18" s="29">
        <v>4.9000000000000004</v>
      </c>
      <c r="F18" s="29">
        <v>6.1</v>
      </c>
      <c r="G18" s="28">
        <v>4.8</v>
      </c>
      <c r="H18" s="32">
        <v>4.9000000000000004</v>
      </c>
      <c r="I18" s="29">
        <v>7.8</v>
      </c>
      <c r="J18" s="29">
        <v>8.3000000000000007</v>
      </c>
      <c r="K18" s="29">
        <v>8.4</v>
      </c>
      <c r="L18" s="31">
        <v>7.9</v>
      </c>
      <c r="M18" s="30">
        <v>10.199999999999999</v>
      </c>
      <c r="N18" s="29">
        <v>14.8</v>
      </c>
      <c r="O18" s="29">
        <v>14.4</v>
      </c>
      <c r="P18" s="29">
        <v>15.1</v>
      </c>
      <c r="Q18" s="28">
        <v>14.2</v>
      </c>
      <c r="R18" s="32">
        <v>11.4</v>
      </c>
      <c r="S18" s="29">
        <v>15.5</v>
      </c>
      <c r="T18" s="29">
        <v>15.6</v>
      </c>
      <c r="U18" s="29">
        <v>16.399999999999999</v>
      </c>
      <c r="V18" s="31">
        <v>16.3</v>
      </c>
      <c r="W18" s="30">
        <v>12.9</v>
      </c>
      <c r="X18" s="29">
        <v>15.6</v>
      </c>
      <c r="Y18" s="29">
        <v>15.8</v>
      </c>
      <c r="Z18" s="29">
        <v>17.3</v>
      </c>
      <c r="AA18" s="28">
        <v>16.600000000000001</v>
      </c>
      <c r="AB18" s="32">
        <v>13.4</v>
      </c>
      <c r="AC18" s="29">
        <v>15.9</v>
      </c>
      <c r="AD18" s="29">
        <v>16</v>
      </c>
      <c r="AE18" s="29">
        <v>17.899999999999999</v>
      </c>
      <c r="AF18" s="64">
        <v>16.899999999999999</v>
      </c>
      <c r="AG18" s="30">
        <v>13.1</v>
      </c>
      <c r="AH18" s="29">
        <v>15.8</v>
      </c>
      <c r="AI18" s="29">
        <v>15.7</v>
      </c>
      <c r="AJ18" s="29">
        <v>18</v>
      </c>
      <c r="AK18" s="28">
        <v>17.2</v>
      </c>
      <c r="AL18" s="30">
        <v>13.1</v>
      </c>
      <c r="AM18" s="29">
        <v>15.9</v>
      </c>
      <c r="AN18" s="29">
        <v>16</v>
      </c>
      <c r="AO18" s="29">
        <v>18</v>
      </c>
      <c r="AP18" s="28">
        <v>17</v>
      </c>
    </row>
    <row r="19" spans="1:42" ht="15.75" thickBot="1" x14ac:dyDescent="0.3">
      <c r="A19" s="56"/>
      <c r="B19" s="55">
        <v>4</v>
      </c>
      <c r="C19" s="51">
        <v>5</v>
      </c>
      <c r="D19" s="50">
        <v>4.8</v>
      </c>
      <c r="E19" s="50">
        <v>5.5</v>
      </c>
      <c r="F19" s="50">
        <v>4</v>
      </c>
      <c r="G19" s="49">
        <v>4.5</v>
      </c>
      <c r="H19" s="53">
        <v>8</v>
      </c>
      <c r="I19" s="50">
        <v>6.9</v>
      </c>
      <c r="J19" s="50">
        <v>7.5</v>
      </c>
      <c r="K19" s="50">
        <v>6.3</v>
      </c>
      <c r="L19" s="52">
        <v>8.5</v>
      </c>
      <c r="M19" s="51">
        <v>14.3</v>
      </c>
      <c r="N19" s="50">
        <v>12.4</v>
      </c>
      <c r="O19" s="50">
        <v>12.8</v>
      </c>
      <c r="P19" s="50">
        <v>14</v>
      </c>
      <c r="Q19" s="49">
        <v>15.5</v>
      </c>
      <c r="R19" s="53">
        <v>15.1</v>
      </c>
      <c r="S19" s="50">
        <v>13.8</v>
      </c>
      <c r="T19" s="50">
        <v>14.2</v>
      </c>
      <c r="U19" s="50">
        <v>15.7</v>
      </c>
      <c r="V19" s="52">
        <v>16.8</v>
      </c>
      <c r="W19" s="51">
        <v>15.4</v>
      </c>
      <c r="X19" s="50">
        <v>14.6</v>
      </c>
      <c r="Y19" s="50">
        <v>14.2</v>
      </c>
      <c r="Z19" s="50">
        <v>16.399999999999999</v>
      </c>
      <c r="AA19" s="49">
        <v>17.3</v>
      </c>
      <c r="AB19" s="53">
        <v>15.8</v>
      </c>
      <c r="AC19" s="50">
        <v>14.6</v>
      </c>
      <c r="AD19" s="50">
        <v>14.5</v>
      </c>
      <c r="AE19" s="50">
        <v>16.5</v>
      </c>
      <c r="AF19" s="31">
        <v>17.5</v>
      </c>
      <c r="AG19" s="51">
        <v>15.9</v>
      </c>
      <c r="AH19" s="50">
        <v>16</v>
      </c>
      <c r="AI19" s="50">
        <v>15</v>
      </c>
      <c r="AJ19" s="50">
        <v>16.8</v>
      </c>
      <c r="AK19" s="49">
        <v>17.5</v>
      </c>
      <c r="AL19" s="51">
        <v>15.9</v>
      </c>
      <c r="AM19" s="50">
        <v>15.9</v>
      </c>
      <c r="AN19" s="50">
        <v>15.1</v>
      </c>
      <c r="AO19" s="50">
        <v>16.8</v>
      </c>
      <c r="AP19" s="49">
        <v>17.5</v>
      </c>
    </row>
    <row r="20" spans="1:42" x14ac:dyDescent="0.25">
      <c r="A20" s="48" t="s">
        <v>28</v>
      </c>
      <c r="B20" s="47">
        <v>1</v>
      </c>
      <c r="C20" s="44">
        <v>5.4</v>
      </c>
      <c r="D20" s="43">
        <v>5.4</v>
      </c>
      <c r="E20" s="43">
        <v>5</v>
      </c>
      <c r="F20" s="43">
        <v>4.5</v>
      </c>
      <c r="G20" s="42">
        <v>6</v>
      </c>
      <c r="H20" s="46">
        <v>7.5</v>
      </c>
      <c r="I20" s="43">
        <v>7.6</v>
      </c>
      <c r="J20" s="43">
        <v>7.5</v>
      </c>
      <c r="K20" s="43">
        <v>6.3</v>
      </c>
      <c r="L20" s="45">
        <v>8.1</v>
      </c>
      <c r="M20" s="44">
        <v>15.2</v>
      </c>
      <c r="N20" s="43">
        <v>13.6</v>
      </c>
      <c r="O20" s="43">
        <v>14</v>
      </c>
      <c r="P20" s="43">
        <v>11.8</v>
      </c>
      <c r="Q20" s="42">
        <v>14</v>
      </c>
      <c r="R20" s="46">
        <v>16.399999999999999</v>
      </c>
      <c r="S20" s="43">
        <v>15.2</v>
      </c>
      <c r="T20" s="43">
        <v>15.8</v>
      </c>
      <c r="U20" s="43">
        <v>15.1</v>
      </c>
      <c r="V20" s="45">
        <v>16</v>
      </c>
      <c r="W20" s="44">
        <v>19</v>
      </c>
      <c r="X20" s="43">
        <v>17.399999999999999</v>
      </c>
      <c r="Y20" s="43">
        <v>16.899999999999999</v>
      </c>
      <c r="Z20" s="43">
        <v>16.8</v>
      </c>
      <c r="AA20" s="42">
        <v>16.8</v>
      </c>
      <c r="AB20" s="44">
        <v>20.100000000000001</v>
      </c>
      <c r="AC20" s="43">
        <v>18</v>
      </c>
      <c r="AD20" s="43">
        <v>17.3</v>
      </c>
      <c r="AE20" s="43">
        <v>17.399999999999999</v>
      </c>
      <c r="AF20" s="42">
        <v>17</v>
      </c>
      <c r="AG20" s="44">
        <v>20.100000000000001</v>
      </c>
      <c r="AH20" s="43">
        <v>18.2</v>
      </c>
      <c r="AI20" s="43">
        <v>17.899999999999999</v>
      </c>
      <c r="AJ20" s="43">
        <v>17.2</v>
      </c>
      <c r="AK20" s="42">
        <v>17.399999999999999</v>
      </c>
      <c r="AL20" s="44">
        <v>20</v>
      </c>
      <c r="AM20" s="43">
        <v>18.5</v>
      </c>
      <c r="AN20" s="43">
        <v>18</v>
      </c>
      <c r="AO20" s="43">
        <v>17.8</v>
      </c>
      <c r="AP20" s="42">
        <v>18.8</v>
      </c>
    </row>
    <row r="21" spans="1:42" x14ac:dyDescent="0.25">
      <c r="A21" s="34"/>
      <c r="B21" s="33">
        <v>2</v>
      </c>
      <c r="C21" s="30">
        <v>4.5</v>
      </c>
      <c r="D21" s="29">
        <v>5.9</v>
      </c>
      <c r="E21" s="29">
        <v>3.9</v>
      </c>
      <c r="F21" s="29">
        <v>4.0999999999999996</v>
      </c>
      <c r="G21" s="28">
        <v>6</v>
      </c>
      <c r="H21" s="32">
        <v>6.6</v>
      </c>
      <c r="I21" s="29">
        <v>7.9</v>
      </c>
      <c r="J21" s="29">
        <v>6</v>
      </c>
      <c r="K21" s="29">
        <v>6</v>
      </c>
      <c r="L21" s="31">
        <v>8.4</v>
      </c>
      <c r="M21" s="30">
        <v>12.1</v>
      </c>
      <c r="N21" s="29">
        <v>13.5</v>
      </c>
      <c r="O21" s="29">
        <v>13.4</v>
      </c>
      <c r="P21" s="29">
        <v>13</v>
      </c>
      <c r="Q21" s="28">
        <v>13.5</v>
      </c>
      <c r="R21" s="32">
        <v>14.7</v>
      </c>
      <c r="S21" s="29">
        <v>14.3</v>
      </c>
      <c r="T21" s="29">
        <v>14</v>
      </c>
      <c r="U21" s="29">
        <v>15.6</v>
      </c>
      <c r="V21" s="31">
        <v>15.5</v>
      </c>
      <c r="W21" s="30">
        <v>15.6</v>
      </c>
      <c r="X21" s="29">
        <v>15.8</v>
      </c>
      <c r="Y21" s="29">
        <v>16.399999999999999</v>
      </c>
      <c r="Z21" s="29">
        <v>14.9</v>
      </c>
      <c r="AA21" s="28">
        <v>16.2</v>
      </c>
      <c r="AB21" s="30">
        <v>16</v>
      </c>
      <c r="AC21" s="29">
        <v>16.399999999999999</v>
      </c>
      <c r="AD21" s="29">
        <v>16.899999999999999</v>
      </c>
      <c r="AE21" s="29">
        <v>15.1</v>
      </c>
      <c r="AF21" s="63">
        <v>15.6</v>
      </c>
      <c r="AG21" s="30">
        <v>16</v>
      </c>
      <c r="AH21" s="29">
        <v>16.399999999999999</v>
      </c>
      <c r="AI21" s="29">
        <v>17</v>
      </c>
      <c r="AJ21" s="29">
        <v>15.1</v>
      </c>
      <c r="AK21" s="28">
        <v>16</v>
      </c>
      <c r="AL21" s="30">
        <v>16.100000000000001</v>
      </c>
      <c r="AM21" s="29">
        <v>16.5</v>
      </c>
      <c r="AN21" s="29">
        <v>17</v>
      </c>
      <c r="AO21" s="29">
        <v>15.1</v>
      </c>
      <c r="AP21" s="28">
        <v>16.100000000000001</v>
      </c>
    </row>
    <row r="22" spans="1:42" x14ac:dyDescent="0.25">
      <c r="A22" s="34"/>
      <c r="B22" s="33">
        <v>3</v>
      </c>
      <c r="C22" s="30">
        <v>6.1</v>
      </c>
      <c r="D22" s="29">
        <v>4.8</v>
      </c>
      <c r="E22" s="29">
        <v>5.2</v>
      </c>
      <c r="F22" s="29">
        <v>5.3</v>
      </c>
      <c r="G22" s="28">
        <v>5.0999999999999996</v>
      </c>
      <c r="H22" s="32">
        <v>8.5</v>
      </c>
      <c r="I22" s="29">
        <v>6.3</v>
      </c>
      <c r="J22" s="29">
        <v>6.9</v>
      </c>
      <c r="K22" s="29">
        <v>7.5</v>
      </c>
      <c r="L22" s="31">
        <v>7</v>
      </c>
      <c r="M22" s="30">
        <v>13.8</v>
      </c>
      <c r="N22" s="29">
        <v>11.1</v>
      </c>
      <c r="O22" s="29">
        <v>12.8</v>
      </c>
      <c r="P22" s="29">
        <v>13.5</v>
      </c>
      <c r="Q22" s="28">
        <v>12.2</v>
      </c>
      <c r="R22" s="32">
        <v>15.7</v>
      </c>
      <c r="S22" s="29">
        <v>14.2</v>
      </c>
      <c r="T22" s="29">
        <v>15.8</v>
      </c>
      <c r="U22" s="29">
        <v>15</v>
      </c>
      <c r="V22" s="31">
        <v>14.1</v>
      </c>
      <c r="W22" s="30">
        <v>17</v>
      </c>
      <c r="X22" s="29">
        <v>15</v>
      </c>
      <c r="Y22" s="29">
        <v>16.3</v>
      </c>
      <c r="Z22" s="29">
        <v>15.6</v>
      </c>
      <c r="AA22" s="28">
        <v>15.6</v>
      </c>
      <c r="AB22" s="30">
        <v>18.2</v>
      </c>
      <c r="AC22" s="29">
        <v>15.2</v>
      </c>
      <c r="AD22" s="29">
        <v>16.3</v>
      </c>
      <c r="AE22" s="29">
        <v>15.2</v>
      </c>
      <c r="AF22" s="28">
        <v>16.3</v>
      </c>
      <c r="AG22" s="30">
        <v>17.8</v>
      </c>
      <c r="AH22" s="29">
        <v>15</v>
      </c>
      <c r="AI22" s="29">
        <v>16</v>
      </c>
      <c r="AJ22" s="29">
        <v>15.8</v>
      </c>
      <c r="AK22" s="28">
        <v>16.8</v>
      </c>
      <c r="AL22" s="30">
        <v>17.8</v>
      </c>
      <c r="AM22" s="29">
        <v>15.1</v>
      </c>
      <c r="AN22" s="29">
        <v>16</v>
      </c>
      <c r="AO22" s="29">
        <v>15.9</v>
      </c>
      <c r="AP22" s="28">
        <v>16.8</v>
      </c>
    </row>
    <row r="23" spans="1:42" ht="15.75" thickBot="1" x14ac:dyDescent="0.3">
      <c r="A23" s="27"/>
      <c r="B23" s="26">
        <v>4</v>
      </c>
      <c r="C23" s="22">
        <v>5.9</v>
      </c>
      <c r="D23" s="21">
        <v>4.5</v>
      </c>
      <c r="E23" s="21">
        <v>5.7</v>
      </c>
      <c r="F23" s="21">
        <v>5</v>
      </c>
      <c r="G23" s="20">
        <v>4.7</v>
      </c>
      <c r="H23" s="24">
        <v>7.5</v>
      </c>
      <c r="I23" s="21">
        <v>6.5</v>
      </c>
      <c r="J23" s="21">
        <v>7.5</v>
      </c>
      <c r="K23" s="21">
        <v>6.6</v>
      </c>
      <c r="L23" s="23">
        <v>6.5</v>
      </c>
      <c r="M23" s="22">
        <v>14</v>
      </c>
      <c r="N23" s="21">
        <v>11.5</v>
      </c>
      <c r="O23" s="21">
        <v>12.7</v>
      </c>
      <c r="P23" s="21">
        <v>11.6</v>
      </c>
      <c r="Q23" s="20">
        <v>11.1</v>
      </c>
      <c r="R23" s="24">
        <v>15.7</v>
      </c>
      <c r="S23" s="21">
        <v>13.2</v>
      </c>
      <c r="T23" s="21">
        <v>14.9</v>
      </c>
      <c r="U23" s="21">
        <v>12.1</v>
      </c>
      <c r="V23" s="23">
        <v>14.2</v>
      </c>
      <c r="W23" s="22">
        <v>16.100000000000001</v>
      </c>
      <c r="X23" s="21">
        <v>14.2</v>
      </c>
      <c r="Y23" s="21">
        <v>16.600000000000001</v>
      </c>
      <c r="Z23" s="21">
        <v>13</v>
      </c>
      <c r="AA23" s="20">
        <v>15.5</v>
      </c>
      <c r="AB23" s="22">
        <v>16.600000000000001</v>
      </c>
      <c r="AC23" s="21">
        <v>14.7</v>
      </c>
      <c r="AD23" s="21">
        <v>16.8</v>
      </c>
      <c r="AE23" s="21">
        <v>13.1</v>
      </c>
      <c r="AF23" s="20">
        <v>17.100000000000001</v>
      </c>
      <c r="AG23" s="22">
        <v>16.600000000000001</v>
      </c>
      <c r="AH23" s="21">
        <v>14.7</v>
      </c>
      <c r="AI23" s="21">
        <v>16.7</v>
      </c>
      <c r="AJ23" s="21">
        <v>13</v>
      </c>
      <c r="AK23" s="20">
        <v>17.3</v>
      </c>
      <c r="AL23" s="22">
        <v>16.5</v>
      </c>
      <c r="AM23" s="21">
        <v>14.8</v>
      </c>
      <c r="AN23" s="21">
        <v>16.600000000000001</v>
      </c>
      <c r="AO23" s="21">
        <v>13</v>
      </c>
      <c r="AP23" s="20">
        <v>17.5</v>
      </c>
    </row>
    <row r="24" spans="1:42" x14ac:dyDescent="0.25">
      <c r="A24" s="41" t="s">
        <v>29</v>
      </c>
      <c r="B24" s="40">
        <v>1</v>
      </c>
      <c r="C24" s="37">
        <v>5.2</v>
      </c>
      <c r="D24" s="36">
        <v>5.0999999999999996</v>
      </c>
      <c r="E24" s="36">
        <v>4.0999999999999996</v>
      </c>
      <c r="F24" s="36">
        <v>5.5</v>
      </c>
      <c r="G24" s="35">
        <v>5.8</v>
      </c>
      <c r="H24" s="39">
        <v>7.4</v>
      </c>
      <c r="I24" s="36">
        <v>7.7</v>
      </c>
      <c r="J24" s="36">
        <v>6.4</v>
      </c>
      <c r="K24" s="36">
        <v>7.5</v>
      </c>
      <c r="L24" s="38">
        <v>7.6</v>
      </c>
      <c r="M24" s="37">
        <v>15</v>
      </c>
      <c r="N24" s="36">
        <v>15</v>
      </c>
      <c r="O24" s="36">
        <v>13.5</v>
      </c>
      <c r="P24" s="36">
        <v>15.7</v>
      </c>
      <c r="Q24" s="35">
        <v>14.5</v>
      </c>
      <c r="R24" s="39">
        <v>18.8</v>
      </c>
      <c r="S24" s="36">
        <v>17.899999999999999</v>
      </c>
      <c r="T24" s="36">
        <v>16.399999999999999</v>
      </c>
      <c r="U24" s="36">
        <v>21.6</v>
      </c>
      <c r="V24" s="38">
        <v>19.399999999999999</v>
      </c>
      <c r="W24" s="37">
        <v>20.9</v>
      </c>
      <c r="X24" s="36">
        <v>19.8</v>
      </c>
      <c r="Y24" s="36">
        <v>17.899999999999999</v>
      </c>
      <c r="Z24" s="36">
        <v>22.7</v>
      </c>
      <c r="AA24" s="35">
        <v>20.399999999999999</v>
      </c>
      <c r="AB24" s="39">
        <v>21.1</v>
      </c>
      <c r="AC24" s="36">
        <v>20.5</v>
      </c>
      <c r="AD24" s="36">
        <v>18.399999999999999</v>
      </c>
      <c r="AE24" s="36">
        <v>22.6</v>
      </c>
      <c r="AF24" s="38">
        <v>20.9</v>
      </c>
      <c r="AG24" s="37">
        <v>21.2</v>
      </c>
      <c r="AH24" s="36">
        <v>20.5</v>
      </c>
      <c r="AI24" s="36">
        <v>16.8</v>
      </c>
      <c r="AJ24" s="36">
        <v>22.6</v>
      </c>
      <c r="AK24" s="35">
        <v>20.9</v>
      </c>
      <c r="AL24" s="37">
        <v>20.9</v>
      </c>
      <c r="AM24" s="36">
        <v>20.399999999999999</v>
      </c>
      <c r="AN24" s="36">
        <v>18.3</v>
      </c>
      <c r="AO24" s="36">
        <v>22.6</v>
      </c>
      <c r="AP24" s="35">
        <v>21.2</v>
      </c>
    </row>
    <row r="25" spans="1:42" x14ac:dyDescent="0.25">
      <c r="A25" s="34"/>
      <c r="B25" s="33">
        <v>2</v>
      </c>
      <c r="C25" s="30">
        <v>6</v>
      </c>
      <c r="D25" s="29">
        <v>6.1</v>
      </c>
      <c r="E25" s="29">
        <v>5.9</v>
      </c>
      <c r="F25" s="29">
        <v>5.0999999999999996</v>
      </c>
      <c r="G25" s="28">
        <v>4.0999999999999996</v>
      </c>
      <c r="H25" s="32">
        <v>8.1999999999999993</v>
      </c>
      <c r="I25" s="29">
        <v>8.6</v>
      </c>
      <c r="J25" s="29">
        <v>4.7</v>
      </c>
      <c r="K25" s="29">
        <v>7.1</v>
      </c>
      <c r="L25" s="31">
        <v>6.1</v>
      </c>
      <c r="M25" s="30">
        <v>16.5</v>
      </c>
      <c r="N25" s="29">
        <v>16.100000000000001</v>
      </c>
      <c r="O25" s="29">
        <v>12</v>
      </c>
      <c r="P25" s="29">
        <v>15.5</v>
      </c>
      <c r="Q25" s="28">
        <v>12.9</v>
      </c>
      <c r="R25" s="32">
        <v>20</v>
      </c>
      <c r="S25" s="29">
        <v>19.899999999999999</v>
      </c>
      <c r="T25" s="29">
        <v>19.8</v>
      </c>
      <c r="U25" s="29">
        <v>21</v>
      </c>
      <c r="V25" s="31">
        <v>17.100000000000001</v>
      </c>
      <c r="W25" s="30">
        <v>21.3</v>
      </c>
      <c r="X25" s="29">
        <v>19.899999999999999</v>
      </c>
      <c r="Y25" s="29">
        <v>16.899999999999999</v>
      </c>
      <c r="Z25" s="29">
        <v>20.8</v>
      </c>
      <c r="AA25" s="28">
        <v>18.399999999999999</v>
      </c>
      <c r="AB25" s="32">
        <v>22</v>
      </c>
      <c r="AC25" s="29">
        <v>21</v>
      </c>
      <c r="AD25" s="29">
        <v>16.3</v>
      </c>
      <c r="AE25" s="29">
        <v>21</v>
      </c>
      <c r="AF25" s="64">
        <v>18.600000000000001</v>
      </c>
      <c r="AG25" s="30">
        <v>22</v>
      </c>
      <c r="AH25" s="29">
        <v>21.8</v>
      </c>
      <c r="AI25" s="29">
        <v>18.600000000000001</v>
      </c>
      <c r="AJ25" s="29">
        <v>20.8</v>
      </c>
      <c r="AK25" s="28">
        <v>20</v>
      </c>
      <c r="AL25" s="30">
        <v>24.8</v>
      </c>
      <c r="AM25" s="29">
        <v>21.1</v>
      </c>
      <c r="AN25" s="29">
        <v>20</v>
      </c>
      <c r="AO25" s="29">
        <v>22</v>
      </c>
      <c r="AP25" s="28">
        <v>20.7</v>
      </c>
    </row>
    <row r="26" spans="1:42" x14ac:dyDescent="0.25">
      <c r="A26" s="34"/>
      <c r="B26" s="33">
        <v>3</v>
      </c>
      <c r="C26" s="30">
        <v>6.1</v>
      </c>
      <c r="D26" s="29">
        <v>5.7</v>
      </c>
      <c r="E26" s="29">
        <v>5.7</v>
      </c>
      <c r="F26" s="29">
        <v>4.0999999999999996</v>
      </c>
      <c r="G26" s="28">
        <v>5.5</v>
      </c>
      <c r="H26" s="32">
        <v>8.5</v>
      </c>
      <c r="I26" s="29">
        <v>7.9</v>
      </c>
      <c r="J26" s="29">
        <v>8.1999999999999993</v>
      </c>
      <c r="K26" s="29">
        <v>5.9</v>
      </c>
      <c r="L26" s="31">
        <v>8.4</v>
      </c>
      <c r="M26" s="30">
        <v>16.399999999999999</v>
      </c>
      <c r="N26" s="29">
        <v>15.9</v>
      </c>
      <c r="O26" s="29">
        <v>15.9</v>
      </c>
      <c r="P26" s="29">
        <v>13.2</v>
      </c>
      <c r="Q26" s="28">
        <v>18.100000000000001</v>
      </c>
      <c r="R26" s="32">
        <v>20.3</v>
      </c>
      <c r="S26" s="29">
        <v>19.100000000000001</v>
      </c>
      <c r="T26" s="29">
        <v>20.399999999999999</v>
      </c>
      <c r="U26" s="29">
        <v>18.100000000000001</v>
      </c>
      <c r="V26" s="31">
        <v>22</v>
      </c>
      <c r="W26" s="30">
        <v>22.9</v>
      </c>
      <c r="X26" s="29">
        <v>20.399999999999999</v>
      </c>
      <c r="Y26" s="29">
        <v>21.6</v>
      </c>
      <c r="Z26" s="29">
        <v>19.5</v>
      </c>
      <c r="AA26" s="28">
        <v>22.4</v>
      </c>
      <c r="AB26" s="32">
        <v>23.1</v>
      </c>
      <c r="AC26" s="29">
        <v>22</v>
      </c>
      <c r="AD26" s="29">
        <v>21.9</v>
      </c>
      <c r="AE26" s="29">
        <v>19.399999999999999</v>
      </c>
      <c r="AF26" s="31">
        <v>23</v>
      </c>
      <c r="AG26" s="30">
        <v>23.1</v>
      </c>
      <c r="AH26" s="29">
        <v>22</v>
      </c>
      <c r="AI26" s="29">
        <v>22</v>
      </c>
      <c r="AJ26" s="29">
        <v>19.5</v>
      </c>
      <c r="AK26" s="28">
        <v>23</v>
      </c>
      <c r="AL26" s="30">
        <v>23.6</v>
      </c>
      <c r="AM26" s="29">
        <v>21</v>
      </c>
      <c r="AN26" s="29">
        <v>22.3</v>
      </c>
      <c r="AO26" s="29">
        <v>19.5</v>
      </c>
      <c r="AP26" s="28">
        <v>23.4</v>
      </c>
    </row>
    <row r="27" spans="1:42" ht="15.75" thickBot="1" x14ac:dyDescent="0.3">
      <c r="A27" s="56"/>
      <c r="B27" s="55">
        <v>4</v>
      </c>
      <c r="C27" s="51">
        <v>5.7</v>
      </c>
      <c r="D27" s="50">
        <v>5.8</v>
      </c>
      <c r="E27" s="50">
        <v>4.0999999999999996</v>
      </c>
      <c r="F27" s="50">
        <v>5.5</v>
      </c>
      <c r="G27" s="49">
        <v>5.0999999999999996</v>
      </c>
      <c r="H27" s="53">
        <v>7.8</v>
      </c>
      <c r="I27" s="50">
        <v>7.2</v>
      </c>
      <c r="J27" s="50">
        <v>6.7</v>
      </c>
      <c r="K27" s="50">
        <v>7.8</v>
      </c>
      <c r="L27" s="52">
        <v>6.4</v>
      </c>
      <c r="M27" s="51">
        <v>16.100000000000001</v>
      </c>
      <c r="N27" s="50">
        <v>14.8</v>
      </c>
      <c r="O27" s="50">
        <v>16.8</v>
      </c>
      <c r="P27" s="50">
        <v>15</v>
      </c>
      <c r="Q27" s="49">
        <v>13.9</v>
      </c>
      <c r="R27" s="53">
        <v>20.3</v>
      </c>
      <c r="S27" s="50">
        <v>18.5</v>
      </c>
      <c r="T27" s="50">
        <v>22.9</v>
      </c>
      <c r="U27" s="50">
        <v>16.7</v>
      </c>
      <c r="V27" s="52">
        <v>19.2</v>
      </c>
      <c r="W27" s="51">
        <v>20.100000000000001</v>
      </c>
      <c r="X27" s="50">
        <v>18.7</v>
      </c>
      <c r="Y27" s="50">
        <v>23.5</v>
      </c>
      <c r="Z27" s="50">
        <v>17.399999999999999</v>
      </c>
      <c r="AA27" s="49">
        <v>20.8</v>
      </c>
      <c r="AB27" s="53">
        <v>19.5</v>
      </c>
      <c r="AC27" s="50">
        <v>19.5</v>
      </c>
      <c r="AD27" s="50">
        <v>23.7</v>
      </c>
      <c r="AE27" s="50">
        <v>17.5</v>
      </c>
      <c r="AF27" s="31">
        <v>21</v>
      </c>
      <c r="AG27" s="51">
        <v>20.3</v>
      </c>
      <c r="AH27" s="50">
        <v>19.399999999999999</v>
      </c>
      <c r="AI27" s="50">
        <v>23.7</v>
      </c>
      <c r="AJ27" s="50">
        <v>18</v>
      </c>
      <c r="AK27" s="49">
        <v>21.4</v>
      </c>
      <c r="AL27" s="51">
        <v>20</v>
      </c>
      <c r="AM27" s="50">
        <v>19.399999999999999</v>
      </c>
      <c r="AN27" s="50">
        <v>24</v>
      </c>
      <c r="AO27" s="50">
        <v>17.5</v>
      </c>
      <c r="AP27" s="49">
        <v>22</v>
      </c>
    </row>
    <row r="28" spans="1:42" x14ac:dyDescent="0.25">
      <c r="A28" s="48" t="s">
        <v>30</v>
      </c>
      <c r="B28" s="47">
        <v>1</v>
      </c>
      <c r="C28" s="44">
        <v>3.9</v>
      </c>
      <c r="D28" s="43">
        <v>4</v>
      </c>
      <c r="E28" s="43">
        <v>4</v>
      </c>
      <c r="F28" s="43">
        <v>4.0999999999999996</v>
      </c>
      <c r="G28" s="42">
        <v>3.9</v>
      </c>
      <c r="H28" s="46">
        <v>5.6</v>
      </c>
      <c r="I28" s="43">
        <v>5.8</v>
      </c>
      <c r="J28" s="43">
        <v>5.8</v>
      </c>
      <c r="K28" s="43">
        <v>6</v>
      </c>
      <c r="L28" s="45">
        <v>5.5</v>
      </c>
      <c r="M28" s="44">
        <v>9.5</v>
      </c>
      <c r="N28" s="43">
        <v>9.1</v>
      </c>
      <c r="O28" s="43">
        <v>8.8000000000000007</v>
      </c>
      <c r="P28" s="43">
        <v>9</v>
      </c>
      <c r="Q28" s="42">
        <v>8.3000000000000007</v>
      </c>
      <c r="R28" s="46">
        <v>10.4</v>
      </c>
      <c r="S28" s="43">
        <v>10.3</v>
      </c>
      <c r="T28" s="43">
        <v>9.3000000000000007</v>
      </c>
      <c r="U28" s="43">
        <v>9.6</v>
      </c>
      <c r="V28" s="45">
        <v>9</v>
      </c>
      <c r="W28" s="44">
        <v>9.8000000000000007</v>
      </c>
      <c r="X28" s="43">
        <v>11</v>
      </c>
      <c r="Y28" s="43">
        <v>9.5</v>
      </c>
      <c r="Z28" s="43">
        <v>10</v>
      </c>
      <c r="AA28" s="42">
        <v>9.4</v>
      </c>
      <c r="AB28" s="44">
        <v>10.9</v>
      </c>
      <c r="AC28" s="43">
        <v>11.1</v>
      </c>
      <c r="AD28" s="43">
        <v>9.9</v>
      </c>
      <c r="AE28" s="43">
        <v>10.199999999999999</v>
      </c>
      <c r="AF28" s="42">
        <v>9.6</v>
      </c>
      <c r="AG28" s="44">
        <v>11.5</v>
      </c>
      <c r="AH28" s="43">
        <v>11.1</v>
      </c>
      <c r="AI28" s="43">
        <v>10</v>
      </c>
      <c r="AJ28" s="43">
        <v>10.3</v>
      </c>
      <c r="AK28" s="42">
        <v>9.9</v>
      </c>
      <c r="AL28" s="44">
        <v>11.5</v>
      </c>
      <c r="AM28" s="43">
        <v>11</v>
      </c>
      <c r="AN28" s="43">
        <v>10.1</v>
      </c>
      <c r="AO28" s="43">
        <v>10.5</v>
      </c>
      <c r="AP28" s="42">
        <v>9.9</v>
      </c>
    </row>
    <row r="29" spans="1:42" x14ac:dyDescent="0.25">
      <c r="A29" s="34"/>
      <c r="B29" s="33">
        <v>2</v>
      </c>
      <c r="C29" s="30">
        <v>3.2</v>
      </c>
      <c r="D29" s="29">
        <v>4.5</v>
      </c>
      <c r="E29" s="29">
        <v>3.9</v>
      </c>
      <c r="F29" s="29">
        <v>4.0999999999999996</v>
      </c>
      <c r="G29" s="28">
        <v>4.7</v>
      </c>
      <c r="H29" s="32">
        <v>5</v>
      </c>
      <c r="I29" s="29">
        <v>6.5</v>
      </c>
      <c r="J29" s="29">
        <v>5</v>
      </c>
      <c r="K29" s="29">
        <v>6.4</v>
      </c>
      <c r="L29" s="31">
        <v>6.7</v>
      </c>
      <c r="M29" s="30">
        <v>9</v>
      </c>
      <c r="N29" s="29">
        <v>9.1</v>
      </c>
      <c r="O29" s="29">
        <v>8.5</v>
      </c>
      <c r="P29" s="29">
        <v>9.1999999999999993</v>
      </c>
      <c r="Q29" s="28">
        <v>9.5</v>
      </c>
      <c r="R29" s="32">
        <v>9.6999999999999993</v>
      </c>
      <c r="S29" s="29">
        <v>9.6</v>
      </c>
      <c r="T29" s="29">
        <v>9.1</v>
      </c>
      <c r="U29" s="29">
        <v>10</v>
      </c>
      <c r="V29" s="31">
        <v>10.4</v>
      </c>
      <c r="W29" s="30">
        <v>10.4</v>
      </c>
      <c r="X29" s="29">
        <v>10.1</v>
      </c>
      <c r="Y29" s="29">
        <v>10</v>
      </c>
      <c r="Z29" s="29">
        <v>10.199999999999999</v>
      </c>
      <c r="AA29" s="28">
        <v>10.8</v>
      </c>
      <c r="AB29" s="30">
        <v>11</v>
      </c>
      <c r="AC29" s="29">
        <v>10.5</v>
      </c>
      <c r="AD29" s="29">
        <v>10.4</v>
      </c>
      <c r="AE29" s="29">
        <v>10.6</v>
      </c>
      <c r="AF29" s="63">
        <v>11</v>
      </c>
      <c r="AG29" s="30">
        <v>11</v>
      </c>
      <c r="AH29" s="29">
        <v>10.6</v>
      </c>
      <c r="AI29" s="29">
        <v>10.8</v>
      </c>
      <c r="AJ29" s="29">
        <v>10.8</v>
      </c>
      <c r="AK29" s="28">
        <v>11.2</v>
      </c>
      <c r="AL29" s="30">
        <v>11.1</v>
      </c>
      <c r="AM29" s="29">
        <v>10.5</v>
      </c>
      <c r="AN29" s="29">
        <v>11</v>
      </c>
      <c r="AO29" s="29">
        <v>10.9</v>
      </c>
      <c r="AP29" s="28">
        <v>11</v>
      </c>
    </row>
    <row r="30" spans="1:42" x14ac:dyDescent="0.25">
      <c r="A30" s="34"/>
      <c r="B30" s="33">
        <v>3</v>
      </c>
      <c r="C30" s="30">
        <v>4.8</v>
      </c>
      <c r="D30" s="29">
        <v>4.5999999999999996</v>
      </c>
      <c r="E30" s="29">
        <v>2</v>
      </c>
      <c r="F30" s="29">
        <v>5</v>
      </c>
      <c r="G30" s="28">
        <v>4.8</v>
      </c>
      <c r="H30" s="32">
        <v>6.4</v>
      </c>
      <c r="I30" s="29">
        <v>6</v>
      </c>
      <c r="J30" s="29">
        <v>6.6</v>
      </c>
      <c r="K30" s="29">
        <v>8.8000000000000007</v>
      </c>
      <c r="L30" s="31">
        <v>6.7</v>
      </c>
      <c r="M30" s="30">
        <v>8.6</v>
      </c>
      <c r="N30" s="29">
        <v>9</v>
      </c>
      <c r="O30" s="29">
        <v>7.5</v>
      </c>
      <c r="P30" s="29">
        <v>9.4</v>
      </c>
      <c r="Q30" s="28">
        <v>9.5</v>
      </c>
      <c r="R30" s="32">
        <v>9</v>
      </c>
      <c r="S30" s="29">
        <v>9.8000000000000007</v>
      </c>
      <c r="T30" s="29">
        <v>9.1</v>
      </c>
      <c r="U30" s="29">
        <v>9</v>
      </c>
      <c r="V30" s="31">
        <v>10.1</v>
      </c>
      <c r="W30" s="30">
        <v>9.5</v>
      </c>
      <c r="X30" s="29">
        <v>10.1</v>
      </c>
      <c r="Y30" s="29">
        <v>10</v>
      </c>
      <c r="Z30" s="29">
        <v>10.199999999999999</v>
      </c>
      <c r="AA30" s="28">
        <v>10.4</v>
      </c>
      <c r="AB30" s="30">
        <v>9.5</v>
      </c>
      <c r="AC30" s="29">
        <v>10.199999999999999</v>
      </c>
      <c r="AD30" s="29">
        <v>11</v>
      </c>
      <c r="AE30" s="29">
        <v>10.5</v>
      </c>
      <c r="AF30" s="28">
        <v>10.5</v>
      </c>
      <c r="AG30" s="30">
        <v>9.8000000000000007</v>
      </c>
      <c r="AH30" s="29">
        <v>10.5</v>
      </c>
      <c r="AI30" s="29">
        <v>11</v>
      </c>
      <c r="AJ30" s="29">
        <v>10.6</v>
      </c>
      <c r="AK30" s="28">
        <v>10.5</v>
      </c>
      <c r="AL30" s="30">
        <v>9.9</v>
      </c>
      <c r="AM30" s="29">
        <v>10.3</v>
      </c>
      <c r="AN30" s="29">
        <v>10.8</v>
      </c>
      <c r="AO30" s="29">
        <v>10.6</v>
      </c>
      <c r="AP30" s="28">
        <v>10.6</v>
      </c>
    </row>
    <row r="31" spans="1:42" ht="15.75" thickBot="1" x14ac:dyDescent="0.3">
      <c r="A31" s="27"/>
      <c r="B31" s="26">
        <v>4</v>
      </c>
      <c r="C31" s="22">
        <v>4.0999999999999996</v>
      </c>
      <c r="D31" s="21">
        <v>4</v>
      </c>
      <c r="E31" s="21">
        <v>4.9000000000000004</v>
      </c>
      <c r="F31" s="21">
        <v>4.5999999999999996</v>
      </c>
      <c r="G31" s="20">
        <v>4.7</v>
      </c>
      <c r="H31" s="24">
        <v>6</v>
      </c>
      <c r="I31" s="21">
        <v>5.8</v>
      </c>
      <c r="J31" s="21">
        <v>6.1</v>
      </c>
      <c r="K31" s="21">
        <v>6.1</v>
      </c>
      <c r="L31" s="23">
        <v>6.6</v>
      </c>
      <c r="M31" s="51">
        <v>8.6999999999999993</v>
      </c>
      <c r="N31" s="50">
        <v>8.6</v>
      </c>
      <c r="O31" s="50">
        <v>8.6</v>
      </c>
      <c r="P31" s="50">
        <v>8.5</v>
      </c>
      <c r="Q31" s="49">
        <v>8.6</v>
      </c>
      <c r="R31" s="24">
        <v>9.3000000000000007</v>
      </c>
      <c r="S31" s="21">
        <v>9.1</v>
      </c>
      <c r="T31" s="21">
        <v>9.5</v>
      </c>
      <c r="U31" s="21">
        <v>9.1999999999999993</v>
      </c>
      <c r="V31" s="23">
        <v>9</v>
      </c>
      <c r="W31" s="22">
        <v>10</v>
      </c>
      <c r="X31" s="21">
        <v>9.6</v>
      </c>
      <c r="Y31" s="21">
        <v>9.8000000000000007</v>
      </c>
      <c r="Z31" s="21">
        <v>9.5</v>
      </c>
      <c r="AA31" s="20">
        <v>9.6</v>
      </c>
      <c r="AB31" s="22">
        <v>10.1</v>
      </c>
      <c r="AC31" s="21">
        <v>9.6999999999999993</v>
      </c>
      <c r="AD31" s="21">
        <v>10.199999999999999</v>
      </c>
      <c r="AE31" s="21">
        <v>9.8000000000000007</v>
      </c>
      <c r="AF31" s="20">
        <v>10</v>
      </c>
      <c r="AG31" s="22">
        <v>10.199999999999999</v>
      </c>
      <c r="AH31" s="21">
        <v>10</v>
      </c>
      <c r="AI31" s="21">
        <v>10.5</v>
      </c>
      <c r="AJ31" s="21">
        <v>11</v>
      </c>
      <c r="AK31" s="20">
        <v>10</v>
      </c>
      <c r="AL31" s="22">
        <v>10.3</v>
      </c>
      <c r="AM31" s="21">
        <v>10</v>
      </c>
      <c r="AN31" s="21">
        <v>10.5</v>
      </c>
      <c r="AO31" s="21">
        <v>10.7</v>
      </c>
      <c r="AP31" s="20">
        <v>10</v>
      </c>
    </row>
    <row r="32" spans="1:42" x14ac:dyDescent="0.25">
      <c r="A32" s="41" t="s">
        <v>31</v>
      </c>
      <c r="B32" s="40">
        <v>1</v>
      </c>
      <c r="C32" s="37">
        <v>3.4</v>
      </c>
      <c r="D32" s="36">
        <v>4.5</v>
      </c>
      <c r="E32" s="36">
        <v>4.0999999999999996</v>
      </c>
      <c r="F32" s="36">
        <v>3.8</v>
      </c>
      <c r="G32" s="35">
        <v>4</v>
      </c>
      <c r="H32" s="39">
        <v>4.7</v>
      </c>
      <c r="I32" s="36">
        <v>5.3</v>
      </c>
      <c r="J32" s="36">
        <v>6</v>
      </c>
      <c r="K32" s="36">
        <v>5.3</v>
      </c>
      <c r="L32" s="38">
        <v>5.9</v>
      </c>
      <c r="M32" s="44">
        <v>8.1999999999999993</v>
      </c>
      <c r="N32" s="43">
        <v>8.3000000000000007</v>
      </c>
      <c r="O32" s="43">
        <v>9</v>
      </c>
      <c r="P32" s="43">
        <v>8.3000000000000007</v>
      </c>
      <c r="Q32" s="42">
        <v>8.6999999999999993</v>
      </c>
      <c r="R32" s="39">
        <v>9</v>
      </c>
      <c r="S32" s="36">
        <v>8.6</v>
      </c>
      <c r="T32" s="36">
        <v>9.3000000000000007</v>
      </c>
      <c r="U32" s="36">
        <v>8.8000000000000007</v>
      </c>
      <c r="V32" s="38">
        <v>9.1</v>
      </c>
      <c r="W32" s="37">
        <v>9.1999999999999993</v>
      </c>
      <c r="X32" s="36">
        <v>9.3000000000000007</v>
      </c>
      <c r="Y32" s="36">
        <v>8.8000000000000007</v>
      </c>
      <c r="Z32" s="36">
        <v>9.5</v>
      </c>
      <c r="AA32" s="35">
        <v>9.6</v>
      </c>
      <c r="AB32" s="39">
        <v>9.4</v>
      </c>
      <c r="AC32" s="36">
        <v>9.8000000000000007</v>
      </c>
      <c r="AD32" s="36">
        <v>9.1999999999999993</v>
      </c>
      <c r="AE32" s="36">
        <v>9.6999999999999993</v>
      </c>
      <c r="AF32" s="38">
        <v>9.6</v>
      </c>
      <c r="AG32" s="37">
        <v>9</v>
      </c>
      <c r="AH32" s="36">
        <v>9.6</v>
      </c>
      <c r="AI32" s="36">
        <v>9.3000000000000007</v>
      </c>
      <c r="AJ32" s="36">
        <v>9.8000000000000007</v>
      </c>
      <c r="AK32" s="35">
        <v>9.8000000000000007</v>
      </c>
      <c r="AL32" s="37">
        <v>9.5</v>
      </c>
      <c r="AM32" s="36">
        <v>9.8000000000000007</v>
      </c>
      <c r="AN32" s="36">
        <v>9.5</v>
      </c>
      <c r="AO32" s="36">
        <v>9.8000000000000007</v>
      </c>
      <c r="AP32" s="35">
        <v>9.8000000000000007</v>
      </c>
    </row>
    <row r="33" spans="1:42" x14ac:dyDescent="0.25">
      <c r="A33" s="34"/>
      <c r="B33" s="33">
        <v>2</v>
      </c>
      <c r="C33" s="30">
        <v>4.0999999999999996</v>
      </c>
      <c r="D33" s="29">
        <v>4.9000000000000004</v>
      </c>
      <c r="E33" s="29">
        <v>2.1</v>
      </c>
      <c r="F33" s="29">
        <v>5</v>
      </c>
      <c r="G33" s="28">
        <v>3.9</v>
      </c>
      <c r="H33" s="32">
        <v>6.2</v>
      </c>
      <c r="I33" s="29">
        <v>7</v>
      </c>
      <c r="J33" s="29">
        <v>3.5</v>
      </c>
      <c r="K33" s="29">
        <v>7</v>
      </c>
      <c r="L33" s="31">
        <v>5.9</v>
      </c>
      <c r="M33" s="30">
        <v>9.5</v>
      </c>
      <c r="N33" s="29">
        <v>9.5</v>
      </c>
      <c r="O33" s="29">
        <v>7.9</v>
      </c>
      <c r="P33" s="29">
        <v>9.4</v>
      </c>
      <c r="Q33" s="28">
        <v>8.6</v>
      </c>
      <c r="R33" s="32">
        <v>10</v>
      </c>
      <c r="S33" s="29">
        <v>9.8000000000000007</v>
      </c>
      <c r="T33" s="29">
        <v>8.6999999999999993</v>
      </c>
      <c r="U33" s="29">
        <v>10</v>
      </c>
      <c r="V33" s="31">
        <v>9</v>
      </c>
      <c r="W33" s="30">
        <v>10.4</v>
      </c>
      <c r="X33" s="29">
        <v>10.5</v>
      </c>
      <c r="Y33" s="29">
        <v>9.5</v>
      </c>
      <c r="Z33" s="29">
        <v>10.3</v>
      </c>
      <c r="AA33" s="28">
        <v>9.4</v>
      </c>
      <c r="AB33" s="32">
        <v>10.199999999999999</v>
      </c>
      <c r="AC33" s="29">
        <v>10.6</v>
      </c>
      <c r="AD33" s="29">
        <v>9.8000000000000007</v>
      </c>
      <c r="AE33" s="29">
        <v>10.5</v>
      </c>
      <c r="AF33" s="31">
        <v>9.4</v>
      </c>
      <c r="AG33" s="30">
        <v>10.7</v>
      </c>
      <c r="AH33" s="29">
        <v>10.6</v>
      </c>
      <c r="AI33" s="29">
        <v>10</v>
      </c>
      <c r="AJ33" s="29">
        <v>10.6</v>
      </c>
      <c r="AK33" s="28">
        <v>9.6999999999999993</v>
      </c>
      <c r="AL33" s="30">
        <v>10.9</v>
      </c>
      <c r="AM33" s="29">
        <v>10.8</v>
      </c>
      <c r="AN33" s="29">
        <v>10</v>
      </c>
      <c r="AO33" s="29">
        <v>10.6</v>
      </c>
      <c r="AP33" s="28">
        <v>9.5</v>
      </c>
    </row>
    <row r="34" spans="1:42" x14ac:dyDescent="0.25">
      <c r="A34" s="34"/>
      <c r="B34" s="33">
        <v>3</v>
      </c>
      <c r="C34" s="51">
        <v>4.5</v>
      </c>
      <c r="D34" s="50">
        <v>3.9</v>
      </c>
      <c r="E34" s="50">
        <v>5</v>
      </c>
      <c r="F34" s="50">
        <v>3.8</v>
      </c>
      <c r="G34" s="49">
        <v>3.9</v>
      </c>
      <c r="H34" s="32">
        <v>6.6</v>
      </c>
      <c r="I34" s="29">
        <v>5.8</v>
      </c>
      <c r="J34" s="29">
        <v>5.3</v>
      </c>
      <c r="K34" s="29">
        <v>6.7</v>
      </c>
      <c r="L34" s="31">
        <v>5.4</v>
      </c>
      <c r="M34" s="30">
        <v>8.4</v>
      </c>
      <c r="N34" s="29">
        <v>8.8000000000000007</v>
      </c>
      <c r="O34" s="29">
        <v>8.5</v>
      </c>
      <c r="P34" s="29">
        <v>6.9</v>
      </c>
      <c r="Q34" s="28">
        <v>8.8000000000000007</v>
      </c>
      <c r="R34" s="32">
        <v>9</v>
      </c>
      <c r="S34" s="29">
        <v>9.4</v>
      </c>
      <c r="T34" s="29">
        <v>9</v>
      </c>
      <c r="U34" s="29">
        <v>7.6</v>
      </c>
      <c r="V34" s="31">
        <v>9.1</v>
      </c>
      <c r="W34" s="30">
        <v>9.4</v>
      </c>
      <c r="X34" s="29">
        <v>10</v>
      </c>
      <c r="Y34" s="29">
        <v>9.3000000000000007</v>
      </c>
      <c r="Z34" s="29">
        <v>8.6</v>
      </c>
      <c r="AA34" s="28">
        <v>9.6</v>
      </c>
      <c r="AB34" s="32">
        <v>9.5</v>
      </c>
      <c r="AC34" s="29">
        <v>10</v>
      </c>
      <c r="AD34" s="29">
        <v>9.5</v>
      </c>
      <c r="AE34" s="29">
        <v>8.6999999999999993</v>
      </c>
      <c r="AF34" s="31">
        <v>9.8000000000000007</v>
      </c>
      <c r="AG34" s="30">
        <v>9.5</v>
      </c>
      <c r="AH34" s="29">
        <v>10.1</v>
      </c>
      <c r="AI34" s="29">
        <v>9.8000000000000007</v>
      </c>
      <c r="AJ34" s="29">
        <v>8.6</v>
      </c>
      <c r="AK34" s="28">
        <v>9.9</v>
      </c>
      <c r="AL34" s="30">
        <v>9.5</v>
      </c>
      <c r="AM34" s="29">
        <v>10.199999999999999</v>
      </c>
      <c r="AN34" s="29">
        <v>9.8000000000000007</v>
      </c>
      <c r="AO34" s="29">
        <v>8.5</v>
      </c>
      <c r="AP34" s="28">
        <v>9.8000000000000007</v>
      </c>
    </row>
    <row r="35" spans="1:42" ht="15.75" thickBot="1" x14ac:dyDescent="0.3">
      <c r="A35" s="56"/>
      <c r="B35" s="55">
        <v>4</v>
      </c>
      <c r="C35" s="30">
        <v>4.0999999999999996</v>
      </c>
      <c r="D35" s="29">
        <v>5.2</v>
      </c>
      <c r="E35" s="29">
        <v>3.9</v>
      </c>
      <c r="F35" s="29">
        <v>4.5</v>
      </c>
      <c r="G35" s="28">
        <v>4.8</v>
      </c>
      <c r="H35" s="53">
        <v>6</v>
      </c>
      <c r="I35" s="50">
        <v>6.8</v>
      </c>
      <c r="J35" s="50">
        <v>5.5</v>
      </c>
      <c r="K35" s="50">
        <v>6.6</v>
      </c>
      <c r="L35" s="52">
        <v>7.8</v>
      </c>
      <c r="M35" s="22">
        <v>9</v>
      </c>
      <c r="N35" s="21">
        <v>8.5</v>
      </c>
      <c r="O35" s="21">
        <v>9.1999999999999993</v>
      </c>
      <c r="P35" s="21">
        <v>8.5</v>
      </c>
      <c r="Q35" s="20">
        <v>9.9</v>
      </c>
      <c r="R35" s="53">
        <v>9.6</v>
      </c>
      <c r="S35" s="50">
        <v>9</v>
      </c>
      <c r="T35" s="50">
        <v>9.5</v>
      </c>
      <c r="U35" s="50">
        <v>9.5</v>
      </c>
      <c r="V35" s="52">
        <v>10.199999999999999</v>
      </c>
      <c r="W35" s="51">
        <v>10</v>
      </c>
      <c r="X35" s="50">
        <v>9.6</v>
      </c>
      <c r="Y35" s="50">
        <v>9.9</v>
      </c>
      <c r="Z35" s="50">
        <v>10</v>
      </c>
      <c r="AA35" s="49">
        <v>10.3</v>
      </c>
      <c r="AB35" s="53">
        <v>10</v>
      </c>
      <c r="AC35" s="50">
        <v>9.8000000000000007</v>
      </c>
      <c r="AD35" s="50">
        <v>10</v>
      </c>
      <c r="AE35" s="50">
        <v>10.1</v>
      </c>
      <c r="AF35" s="52">
        <v>10.8</v>
      </c>
      <c r="AG35" s="51">
        <v>10</v>
      </c>
      <c r="AH35" s="50">
        <v>9.8000000000000007</v>
      </c>
      <c r="AI35" s="50">
        <v>10</v>
      </c>
      <c r="AJ35" s="50">
        <v>10.199999999999999</v>
      </c>
      <c r="AK35" s="49">
        <v>10.8</v>
      </c>
      <c r="AL35" s="51">
        <v>10</v>
      </c>
      <c r="AM35" s="50">
        <v>10</v>
      </c>
      <c r="AN35" s="50">
        <v>10</v>
      </c>
      <c r="AO35" s="50">
        <v>10.3</v>
      </c>
      <c r="AP35" s="49">
        <v>10.7</v>
      </c>
    </row>
    <row r="36" spans="1:42" x14ac:dyDescent="0.25">
      <c r="A36" s="48" t="s">
        <v>32</v>
      </c>
      <c r="B36" s="47">
        <v>1</v>
      </c>
      <c r="C36" s="44">
        <v>4.5</v>
      </c>
      <c r="D36" s="43">
        <v>4.5999999999999996</v>
      </c>
      <c r="E36" s="43">
        <v>4.5</v>
      </c>
      <c r="F36" s="43">
        <v>4.8</v>
      </c>
      <c r="G36" s="42">
        <v>4.4000000000000004</v>
      </c>
      <c r="H36" s="46">
        <v>6.5</v>
      </c>
      <c r="I36" s="43">
        <v>6.6</v>
      </c>
      <c r="J36" s="43">
        <v>6.5</v>
      </c>
      <c r="K36" s="43">
        <v>6.4</v>
      </c>
      <c r="L36" s="45">
        <v>6.5</v>
      </c>
      <c r="M36" s="37">
        <v>11.1</v>
      </c>
      <c r="N36" s="36">
        <v>11.5</v>
      </c>
      <c r="O36" s="36">
        <v>11.7</v>
      </c>
      <c r="P36" s="36">
        <v>10.1</v>
      </c>
      <c r="Q36" s="35">
        <v>12</v>
      </c>
      <c r="R36" s="46">
        <v>12.8</v>
      </c>
      <c r="S36" s="43">
        <v>18.8</v>
      </c>
      <c r="T36" s="43">
        <v>12.4</v>
      </c>
      <c r="U36" s="43">
        <v>12.5</v>
      </c>
      <c r="V36" s="45">
        <v>12.6</v>
      </c>
      <c r="W36" s="44">
        <v>14.6</v>
      </c>
      <c r="X36" s="43">
        <v>14</v>
      </c>
      <c r="Y36" s="43">
        <v>14.1</v>
      </c>
      <c r="Z36" s="43">
        <v>13.6</v>
      </c>
      <c r="AA36" s="42">
        <v>14</v>
      </c>
      <c r="AB36" s="46">
        <v>15.3</v>
      </c>
      <c r="AC36" s="43">
        <v>14.8</v>
      </c>
      <c r="AD36" s="43">
        <v>14.7</v>
      </c>
      <c r="AE36" s="43">
        <v>14</v>
      </c>
      <c r="AF36" s="45">
        <v>14.2</v>
      </c>
      <c r="AG36" s="44">
        <v>15.8</v>
      </c>
      <c r="AH36" s="43">
        <v>14.9</v>
      </c>
      <c r="AI36" s="43">
        <v>14.9</v>
      </c>
      <c r="AJ36" s="43">
        <v>14</v>
      </c>
      <c r="AK36" s="42">
        <v>14.8</v>
      </c>
      <c r="AL36" s="44">
        <v>15.9</v>
      </c>
      <c r="AM36" s="43">
        <v>16.899999999999999</v>
      </c>
      <c r="AN36" s="43">
        <v>15</v>
      </c>
      <c r="AO36" s="43">
        <v>14</v>
      </c>
      <c r="AP36" s="42">
        <v>14.8</v>
      </c>
    </row>
    <row r="37" spans="1:42" x14ac:dyDescent="0.25">
      <c r="A37" s="34"/>
      <c r="B37" s="33">
        <v>2</v>
      </c>
      <c r="C37" s="30">
        <v>5</v>
      </c>
      <c r="D37" s="29">
        <v>4</v>
      </c>
      <c r="E37" s="29">
        <v>4.5999999999999996</v>
      </c>
      <c r="F37" s="29">
        <v>4.9000000000000004</v>
      </c>
      <c r="G37" s="28">
        <v>4.5</v>
      </c>
      <c r="H37" s="32">
        <v>7</v>
      </c>
      <c r="I37" s="29">
        <v>5.8</v>
      </c>
      <c r="J37" s="29">
        <v>6.8</v>
      </c>
      <c r="K37" s="29">
        <v>7.4</v>
      </c>
      <c r="L37" s="31">
        <v>6.4</v>
      </c>
      <c r="M37" s="30">
        <v>12</v>
      </c>
      <c r="N37" s="29">
        <v>9.6</v>
      </c>
      <c r="O37" s="29">
        <v>11</v>
      </c>
      <c r="P37" s="29">
        <v>13</v>
      </c>
      <c r="Q37" s="28">
        <v>11.8</v>
      </c>
      <c r="R37" s="32">
        <v>13.4</v>
      </c>
      <c r="S37" s="29">
        <v>11.5</v>
      </c>
      <c r="T37" s="29">
        <v>11.9</v>
      </c>
      <c r="U37" s="29">
        <v>14.1</v>
      </c>
      <c r="V37" s="31">
        <v>13.8</v>
      </c>
      <c r="W37" s="30">
        <v>14.4</v>
      </c>
      <c r="X37" s="29">
        <v>13</v>
      </c>
      <c r="Y37" s="29">
        <v>13.1</v>
      </c>
      <c r="Z37" s="29">
        <v>14.5</v>
      </c>
      <c r="AA37" s="28">
        <v>14.7</v>
      </c>
      <c r="AB37" s="32">
        <v>14.6</v>
      </c>
      <c r="AC37" s="29">
        <v>13.6</v>
      </c>
      <c r="AD37" s="29">
        <v>14.8</v>
      </c>
      <c r="AE37" s="29">
        <v>13.9</v>
      </c>
      <c r="AF37" s="31">
        <v>15.1</v>
      </c>
      <c r="AG37" s="30">
        <v>14.8</v>
      </c>
      <c r="AH37" s="29">
        <v>13.8</v>
      </c>
      <c r="AI37" s="29">
        <v>14.7</v>
      </c>
      <c r="AJ37" s="29">
        <v>14.5</v>
      </c>
      <c r="AK37" s="28">
        <v>15.1</v>
      </c>
      <c r="AL37" s="30">
        <v>14.8</v>
      </c>
      <c r="AM37" s="29">
        <v>13.9</v>
      </c>
      <c r="AN37" s="29">
        <v>14.9</v>
      </c>
      <c r="AO37" s="29">
        <v>14.2</v>
      </c>
      <c r="AP37" s="28">
        <v>15.1</v>
      </c>
    </row>
    <row r="38" spans="1:42" x14ac:dyDescent="0.25">
      <c r="A38" s="34"/>
      <c r="B38" s="33">
        <v>3</v>
      </c>
      <c r="C38" s="30">
        <v>5</v>
      </c>
      <c r="D38" s="29">
        <v>5.5</v>
      </c>
      <c r="E38" s="29">
        <v>4.8</v>
      </c>
      <c r="F38" s="29">
        <v>5.0999999999999996</v>
      </c>
      <c r="G38" s="28">
        <v>4.9000000000000004</v>
      </c>
      <c r="H38" s="32">
        <v>7.1</v>
      </c>
      <c r="I38" s="29">
        <v>6.9</v>
      </c>
      <c r="J38" s="29">
        <v>7</v>
      </c>
      <c r="K38" s="29">
        <v>6.6</v>
      </c>
      <c r="L38" s="31">
        <v>6.8</v>
      </c>
      <c r="M38" s="30">
        <v>12.6</v>
      </c>
      <c r="N38" s="29">
        <v>9.5</v>
      </c>
      <c r="O38" s="29">
        <v>11.8</v>
      </c>
      <c r="P38" s="29">
        <v>10.7</v>
      </c>
      <c r="Q38" s="28">
        <v>11.1</v>
      </c>
      <c r="R38" s="32">
        <v>13.5</v>
      </c>
      <c r="S38" s="29">
        <v>11.4</v>
      </c>
      <c r="T38" s="29">
        <v>12.5</v>
      </c>
      <c r="U38" s="29">
        <v>12.6</v>
      </c>
      <c r="V38" s="31">
        <v>12.6</v>
      </c>
      <c r="W38" s="30">
        <v>14.1</v>
      </c>
      <c r="X38" s="29">
        <v>13.1</v>
      </c>
      <c r="Y38" s="29">
        <v>13</v>
      </c>
      <c r="Z38" s="29">
        <v>13.9</v>
      </c>
      <c r="AA38" s="28">
        <v>13.1</v>
      </c>
      <c r="AB38" s="32">
        <v>14</v>
      </c>
      <c r="AC38" s="29">
        <v>13.1</v>
      </c>
      <c r="AD38" s="29">
        <v>13.1</v>
      </c>
      <c r="AE38" s="29">
        <v>14.5</v>
      </c>
      <c r="AF38" s="31">
        <v>13.1</v>
      </c>
      <c r="AG38" s="30">
        <v>14.1</v>
      </c>
      <c r="AH38" s="29">
        <v>13.6</v>
      </c>
      <c r="AI38" s="29">
        <v>13.3</v>
      </c>
      <c r="AJ38" s="29">
        <v>14</v>
      </c>
      <c r="AK38" s="28">
        <v>13.2</v>
      </c>
      <c r="AL38" s="30">
        <v>14.1</v>
      </c>
      <c r="AM38" s="29">
        <v>13.8</v>
      </c>
      <c r="AN38" s="29">
        <v>13.5</v>
      </c>
      <c r="AO38" s="29">
        <v>14</v>
      </c>
      <c r="AP38" s="28">
        <v>13.1</v>
      </c>
    </row>
    <row r="39" spans="1:42" ht="15.75" thickBot="1" x14ac:dyDescent="0.3">
      <c r="A39" s="27"/>
      <c r="B39" s="26">
        <v>4</v>
      </c>
      <c r="C39" s="22">
        <v>4.7</v>
      </c>
      <c r="D39" s="21">
        <v>4.9000000000000004</v>
      </c>
      <c r="E39" s="21">
        <v>4</v>
      </c>
      <c r="F39" s="21">
        <v>5</v>
      </c>
      <c r="G39" s="20">
        <v>4.5</v>
      </c>
      <c r="H39" s="24">
        <v>6.5</v>
      </c>
      <c r="I39" s="21">
        <v>7</v>
      </c>
      <c r="J39" s="21">
        <v>7</v>
      </c>
      <c r="K39" s="21">
        <v>6.9</v>
      </c>
      <c r="L39" s="23">
        <v>6.7</v>
      </c>
      <c r="M39" s="22">
        <v>10.5</v>
      </c>
      <c r="N39" s="21">
        <v>11.2</v>
      </c>
      <c r="O39" s="21">
        <v>11.5</v>
      </c>
      <c r="P39" s="21">
        <v>10.7</v>
      </c>
      <c r="Q39" s="20">
        <v>11</v>
      </c>
      <c r="R39" s="24">
        <v>11.9</v>
      </c>
      <c r="S39" s="21">
        <v>11.9</v>
      </c>
      <c r="T39" s="21">
        <v>13</v>
      </c>
      <c r="U39" s="21">
        <v>13.1</v>
      </c>
      <c r="V39" s="23">
        <v>12.1</v>
      </c>
      <c r="W39" s="22">
        <v>11.9</v>
      </c>
      <c r="X39" s="21">
        <v>12.5</v>
      </c>
      <c r="Y39" s="21">
        <v>13.3</v>
      </c>
      <c r="Z39" s="21">
        <v>13.9</v>
      </c>
      <c r="AA39" s="20">
        <v>12.6</v>
      </c>
      <c r="AB39" s="24">
        <v>12.5</v>
      </c>
      <c r="AC39" s="21">
        <v>12.9</v>
      </c>
      <c r="AD39" s="21">
        <v>15.1</v>
      </c>
      <c r="AE39" s="21">
        <v>13.6</v>
      </c>
      <c r="AF39" s="23">
        <v>14</v>
      </c>
      <c r="AG39" s="22">
        <v>12.6</v>
      </c>
      <c r="AH39" s="21">
        <v>12.9</v>
      </c>
      <c r="AI39" s="21">
        <v>15.2</v>
      </c>
      <c r="AJ39" s="21">
        <v>13.6</v>
      </c>
      <c r="AK39" s="20">
        <v>13</v>
      </c>
      <c r="AL39" s="22">
        <v>12.6</v>
      </c>
      <c r="AM39" s="21">
        <v>13.1</v>
      </c>
      <c r="AN39" s="21">
        <v>15.2</v>
      </c>
      <c r="AO39" s="21">
        <v>13</v>
      </c>
      <c r="AP39" s="20">
        <v>13</v>
      </c>
    </row>
    <row r="40" spans="1:42" x14ac:dyDescent="0.25">
      <c r="A40" s="41" t="s">
        <v>33</v>
      </c>
      <c r="B40" s="40">
        <v>1</v>
      </c>
      <c r="C40" s="37">
        <v>2.5</v>
      </c>
      <c r="D40" s="36">
        <v>4</v>
      </c>
      <c r="E40" s="36">
        <v>4.4000000000000004</v>
      </c>
      <c r="F40" s="36">
        <v>4</v>
      </c>
      <c r="G40" s="35">
        <v>3.5</v>
      </c>
      <c r="H40" s="39">
        <v>3.8</v>
      </c>
      <c r="I40" s="36">
        <v>5.8</v>
      </c>
      <c r="J40" s="36">
        <v>6</v>
      </c>
      <c r="K40" s="36">
        <v>6.1</v>
      </c>
      <c r="L40" s="38">
        <v>6.1</v>
      </c>
      <c r="M40" s="37">
        <v>10.5</v>
      </c>
      <c r="N40" s="36">
        <v>11.2</v>
      </c>
      <c r="O40" s="36">
        <v>10.8</v>
      </c>
      <c r="P40" s="36">
        <v>11</v>
      </c>
      <c r="Q40" s="35">
        <v>12.4</v>
      </c>
      <c r="R40" s="39">
        <v>13.9</v>
      </c>
      <c r="S40" s="36">
        <v>12.9</v>
      </c>
      <c r="T40" s="36">
        <v>14</v>
      </c>
      <c r="U40" s="36">
        <v>13.1</v>
      </c>
      <c r="V40" s="38">
        <v>13.5</v>
      </c>
      <c r="W40" s="37">
        <v>15.9</v>
      </c>
      <c r="X40" s="36">
        <v>14</v>
      </c>
      <c r="Y40" s="36">
        <v>14.9</v>
      </c>
      <c r="Z40" s="36">
        <v>14.4</v>
      </c>
      <c r="AA40" s="35">
        <v>14.6</v>
      </c>
      <c r="AB40" s="39">
        <v>16.399999999999999</v>
      </c>
      <c r="AC40" s="36">
        <v>14.8</v>
      </c>
      <c r="AD40" s="36">
        <v>15.1</v>
      </c>
      <c r="AE40" s="36">
        <v>15.1</v>
      </c>
      <c r="AF40" s="38">
        <v>15.2</v>
      </c>
      <c r="AG40" s="37">
        <v>16.3</v>
      </c>
      <c r="AH40" s="36">
        <v>15</v>
      </c>
      <c r="AI40" s="36">
        <v>15.2</v>
      </c>
      <c r="AJ40" s="36">
        <v>15.1</v>
      </c>
      <c r="AK40" s="35">
        <v>15.1</v>
      </c>
      <c r="AL40" s="58">
        <v>16</v>
      </c>
      <c r="AM40" s="36">
        <v>15.1</v>
      </c>
      <c r="AN40" s="36">
        <v>15.2</v>
      </c>
      <c r="AO40" s="36">
        <v>15.2</v>
      </c>
      <c r="AP40" s="35">
        <v>15.4</v>
      </c>
    </row>
    <row r="41" spans="1:42" x14ac:dyDescent="0.25">
      <c r="A41" s="34"/>
      <c r="B41" s="33">
        <v>2</v>
      </c>
      <c r="C41" s="30">
        <v>5</v>
      </c>
      <c r="D41" s="29">
        <v>4.5999999999999996</v>
      </c>
      <c r="E41" s="29">
        <v>5.2</v>
      </c>
      <c r="F41" s="29">
        <v>4</v>
      </c>
      <c r="G41" s="28">
        <v>3.8</v>
      </c>
      <c r="H41" s="32">
        <v>7.1</v>
      </c>
      <c r="I41" s="29">
        <v>6.8</v>
      </c>
      <c r="J41" s="29">
        <v>8</v>
      </c>
      <c r="K41" s="29">
        <v>7.2</v>
      </c>
      <c r="L41" s="31">
        <v>5.8</v>
      </c>
      <c r="M41" s="30">
        <v>12.5</v>
      </c>
      <c r="N41" s="29">
        <v>12</v>
      </c>
      <c r="O41" s="29">
        <v>12.8</v>
      </c>
      <c r="P41" s="29">
        <v>13</v>
      </c>
      <c r="Q41" s="28">
        <v>13</v>
      </c>
      <c r="R41" s="32">
        <v>14.1</v>
      </c>
      <c r="S41" s="29">
        <v>13.5</v>
      </c>
      <c r="T41" s="29">
        <v>13.8</v>
      </c>
      <c r="U41" s="29">
        <v>16.5</v>
      </c>
      <c r="V41" s="31">
        <v>15</v>
      </c>
      <c r="W41" s="30">
        <v>14.6</v>
      </c>
      <c r="X41" s="29">
        <v>15.4</v>
      </c>
      <c r="Y41" s="29">
        <v>14.1</v>
      </c>
      <c r="Z41" s="29">
        <v>16</v>
      </c>
      <c r="AA41" s="28">
        <v>15.9</v>
      </c>
      <c r="AB41" s="32">
        <v>14.9</v>
      </c>
      <c r="AC41" s="29">
        <v>16</v>
      </c>
      <c r="AD41" s="29">
        <v>14.7</v>
      </c>
      <c r="AE41" s="29">
        <v>16.100000000000001</v>
      </c>
      <c r="AF41" s="31">
        <v>14.8</v>
      </c>
      <c r="AG41" s="30">
        <v>15</v>
      </c>
      <c r="AH41" s="29">
        <v>16</v>
      </c>
      <c r="AI41" s="29">
        <v>14.6</v>
      </c>
      <c r="AJ41" s="29">
        <v>15.9</v>
      </c>
      <c r="AK41" s="28">
        <v>15.5</v>
      </c>
      <c r="AL41" s="30">
        <v>15</v>
      </c>
      <c r="AM41" s="29">
        <v>16.399999999999999</v>
      </c>
      <c r="AN41" s="29">
        <v>14.6</v>
      </c>
      <c r="AO41" s="29">
        <v>16</v>
      </c>
      <c r="AP41" s="28">
        <v>16</v>
      </c>
    </row>
    <row r="42" spans="1:42" x14ac:dyDescent="0.25">
      <c r="A42" s="34"/>
      <c r="B42" s="33">
        <v>3</v>
      </c>
      <c r="C42" s="30">
        <v>5.0999999999999996</v>
      </c>
      <c r="D42" s="29">
        <v>5.4</v>
      </c>
      <c r="E42" s="29">
        <v>5.4</v>
      </c>
      <c r="F42" s="29">
        <v>5.5</v>
      </c>
      <c r="G42" s="28">
        <v>3.5</v>
      </c>
      <c r="H42" s="32">
        <v>7.2</v>
      </c>
      <c r="I42" s="29">
        <v>7.5</v>
      </c>
      <c r="J42" s="29">
        <v>8.1</v>
      </c>
      <c r="K42" s="29">
        <v>7.2</v>
      </c>
      <c r="L42" s="31">
        <v>5.3</v>
      </c>
      <c r="M42" s="30">
        <v>12.6</v>
      </c>
      <c r="N42" s="29">
        <v>12.2</v>
      </c>
      <c r="O42" s="29">
        <v>13.9</v>
      </c>
      <c r="P42" s="29">
        <v>12.4</v>
      </c>
      <c r="Q42" s="28">
        <v>12</v>
      </c>
      <c r="R42" s="32">
        <v>13.2</v>
      </c>
      <c r="S42" s="29">
        <v>12.9</v>
      </c>
      <c r="T42" s="29">
        <v>14.8</v>
      </c>
      <c r="U42" s="29">
        <v>14.9</v>
      </c>
      <c r="V42" s="31">
        <v>14.4</v>
      </c>
      <c r="W42" s="30">
        <v>13.9</v>
      </c>
      <c r="X42" s="29">
        <v>14.2</v>
      </c>
      <c r="Y42" s="29">
        <v>15.1</v>
      </c>
      <c r="Z42" s="29">
        <v>15.5</v>
      </c>
      <c r="AA42" s="28">
        <v>15.5</v>
      </c>
      <c r="AB42" s="32">
        <v>14.3</v>
      </c>
      <c r="AC42" s="29">
        <v>14.2</v>
      </c>
      <c r="AD42" s="29">
        <v>15.5</v>
      </c>
      <c r="AE42" s="29">
        <v>14.1</v>
      </c>
      <c r="AF42" s="31">
        <v>15.8</v>
      </c>
      <c r="AG42" s="30">
        <v>14.5</v>
      </c>
      <c r="AH42" s="29">
        <v>14.3</v>
      </c>
      <c r="AI42" s="29">
        <v>15.4</v>
      </c>
      <c r="AJ42" s="29">
        <v>16.100000000000001</v>
      </c>
      <c r="AK42" s="28">
        <v>15.8</v>
      </c>
      <c r="AL42" s="30">
        <v>14.5</v>
      </c>
      <c r="AM42" s="29">
        <v>14.3</v>
      </c>
      <c r="AN42" s="29">
        <v>15.7</v>
      </c>
      <c r="AO42" s="29">
        <v>16.100000000000001</v>
      </c>
      <c r="AP42" s="28">
        <v>15.3</v>
      </c>
    </row>
    <row r="43" spans="1:42" ht="15.75" thickBot="1" x14ac:dyDescent="0.3">
      <c r="A43" s="56"/>
      <c r="B43" s="55">
        <v>4</v>
      </c>
      <c r="C43" s="51">
        <v>5</v>
      </c>
      <c r="D43" s="50">
        <v>5.2</v>
      </c>
      <c r="E43" s="50">
        <v>5.4</v>
      </c>
      <c r="F43" s="50">
        <v>4.5999999999999996</v>
      </c>
      <c r="G43" s="49">
        <v>4.7</v>
      </c>
      <c r="H43" s="53">
        <v>7.3</v>
      </c>
      <c r="I43" s="50">
        <v>7.1</v>
      </c>
      <c r="J43" s="50">
        <v>7.8</v>
      </c>
      <c r="K43" s="50">
        <v>6.3</v>
      </c>
      <c r="L43" s="52">
        <v>6.5</v>
      </c>
      <c r="M43" s="51">
        <v>13.9</v>
      </c>
      <c r="N43" s="50">
        <v>11.9</v>
      </c>
      <c r="O43" s="50">
        <v>13.1</v>
      </c>
      <c r="P43" s="50">
        <v>11.6</v>
      </c>
      <c r="Q43" s="49">
        <v>11.5</v>
      </c>
      <c r="R43" s="53">
        <v>14.9</v>
      </c>
      <c r="S43" s="50">
        <v>14.2</v>
      </c>
      <c r="T43" s="50">
        <v>14</v>
      </c>
      <c r="U43" s="50">
        <v>13.2</v>
      </c>
      <c r="V43" s="52">
        <v>13.5</v>
      </c>
      <c r="W43" s="51">
        <v>15.3</v>
      </c>
      <c r="X43" s="50">
        <v>15.5</v>
      </c>
      <c r="Y43" s="50">
        <v>14.5</v>
      </c>
      <c r="Z43" s="50">
        <v>14.7</v>
      </c>
      <c r="AA43" s="49">
        <v>14.4</v>
      </c>
      <c r="AB43" s="54">
        <v>15.1</v>
      </c>
      <c r="AC43" s="50">
        <v>16.3</v>
      </c>
      <c r="AD43" s="50">
        <v>14.7</v>
      </c>
      <c r="AE43" s="50">
        <v>14.8</v>
      </c>
      <c r="AF43" s="52">
        <v>14.2</v>
      </c>
      <c r="AG43" s="51">
        <v>15.3</v>
      </c>
      <c r="AH43" s="50">
        <v>16.100000000000001</v>
      </c>
      <c r="AI43" s="50">
        <v>15</v>
      </c>
      <c r="AJ43" s="50">
        <v>14.9</v>
      </c>
      <c r="AK43" s="49">
        <v>14.6</v>
      </c>
      <c r="AL43" s="51">
        <v>18.399999999999999</v>
      </c>
      <c r="AM43" s="50">
        <v>16.100000000000001</v>
      </c>
      <c r="AN43" s="50">
        <v>15.2</v>
      </c>
      <c r="AO43" s="50">
        <v>14.9</v>
      </c>
      <c r="AP43" s="49">
        <v>14.6</v>
      </c>
    </row>
    <row r="44" spans="1:42" x14ac:dyDescent="0.25">
      <c r="A44" s="48" t="s">
        <v>34</v>
      </c>
      <c r="B44" s="47">
        <v>1</v>
      </c>
      <c r="C44" s="44">
        <v>4.2</v>
      </c>
      <c r="D44" s="43">
        <v>3.6</v>
      </c>
      <c r="E44" s="43">
        <v>3.5</v>
      </c>
      <c r="F44" s="43">
        <v>4.8</v>
      </c>
      <c r="G44" s="42">
        <v>3.9</v>
      </c>
      <c r="H44" s="46">
        <v>6.1</v>
      </c>
      <c r="I44" s="43">
        <v>5.4</v>
      </c>
      <c r="J44" s="43">
        <v>5.2</v>
      </c>
      <c r="K44" s="43">
        <v>6.8</v>
      </c>
      <c r="L44" s="45">
        <v>5.6</v>
      </c>
      <c r="M44" s="44">
        <v>11.3</v>
      </c>
      <c r="N44" s="43">
        <v>10.5</v>
      </c>
      <c r="O44" s="43">
        <v>12.4</v>
      </c>
      <c r="P44" s="43">
        <v>11.4</v>
      </c>
      <c r="Q44" s="42">
        <v>11</v>
      </c>
      <c r="R44" s="46">
        <v>13.5</v>
      </c>
      <c r="S44" s="43">
        <v>12.9</v>
      </c>
      <c r="T44" s="43">
        <v>15</v>
      </c>
      <c r="U44" s="43">
        <v>13</v>
      </c>
      <c r="V44" s="45">
        <v>12.5</v>
      </c>
      <c r="W44" s="44">
        <v>16.8</v>
      </c>
      <c r="X44" s="43">
        <v>14.6</v>
      </c>
      <c r="Y44" s="43">
        <v>16.7</v>
      </c>
      <c r="Z44" s="43">
        <v>14</v>
      </c>
      <c r="AA44" s="42">
        <v>16.100000000000001</v>
      </c>
      <c r="AB44" s="46">
        <v>18</v>
      </c>
      <c r="AC44" s="43">
        <v>15.9</v>
      </c>
      <c r="AD44" s="43">
        <v>17</v>
      </c>
      <c r="AE44" s="43">
        <v>14.9</v>
      </c>
      <c r="AF44" s="45">
        <v>16.8</v>
      </c>
      <c r="AG44" s="44">
        <v>18.2</v>
      </c>
      <c r="AH44" s="43">
        <v>15.9</v>
      </c>
      <c r="AI44" s="43">
        <v>17.2</v>
      </c>
      <c r="AJ44" s="43">
        <v>15</v>
      </c>
      <c r="AK44" s="42">
        <v>16.7</v>
      </c>
      <c r="AL44" s="44">
        <v>18.600000000000001</v>
      </c>
      <c r="AM44" s="43">
        <v>16</v>
      </c>
      <c r="AN44" s="43">
        <v>17</v>
      </c>
      <c r="AO44" s="43">
        <v>15.1</v>
      </c>
      <c r="AP44" s="42">
        <v>17</v>
      </c>
    </row>
    <row r="45" spans="1:42" x14ac:dyDescent="0.25">
      <c r="A45" s="34"/>
      <c r="B45" s="33">
        <v>2</v>
      </c>
      <c r="C45" s="30">
        <v>4.7</v>
      </c>
      <c r="D45" s="29">
        <v>4.8</v>
      </c>
      <c r="E45" s="29">
        <v>3.6</v>
      </c>
      <c r="F45" s="29">
        <v>4.0999999999999996</v>
      </c>
      <c r="G45" s="28">
        <v>4.5</v>
      </c>
      <c r="H45" s="32">
        <v>6.4</v>
      </c>
      <c r="I45" s="29">
        <v>6.5</v>
      </c>
      <c r="J45" s="29">
        <v>5.6</v>
      </c>
      <c r="K45" s="29">
        <v>5.8</v>
      </c>
      <c r="L45" s="31">
        <v>6.2</v>
      </c>
      <c r="M45" s="30">
        <v>9.9</v>
      </c>
      <c r="N45" s="29">
        <v>10</v>
      </c>
      <c r="O45" s="29">
        <v>10.6</v>
      </c>
      <c r="P45" s="29">
        <v>10</v>
      </c>
      <c r="Q45" s="28">
        <v>10.199999999999999</v>
      </c>
      <c r="R45" s="32">
        <v>11.2</v>
      </c>
      <c r="S45" s="29">
        <v>11.8</v>
      </c>
      <c r="T45" s="29">
        <v>12.4</v>
      </c>
      <c r="U45" s="29">
        <v>12.3</v>
      </c>
      <c r="V45" s="31">
        <v>11.4</v>
      </c>
      <c r="W45" s="30">
        <v>13.1</v>
      </c>
      <c r="X45" s="29">
        <v>14</v>
      </c>
      <c r="Y45" s="29">
        <v>13.4</v>
      </c>
      <c r="Z45" s="29">
        <v>13.9</v>
      </c>
      <c r="AA45" s="28">
        <v>14</v>
      </c>
      <c r="AB45" s="32">
        <v>14.1</v>
      </c>
      <c r="AC45" s="29">
        <v>14.5</v>
      </c>
      <c r="AD45" s="29">
        <v>14.2</v>
      </c>
      <c r="AE45" s="29">
        <v>13.6</v>
      </c>
      <c r="AF45" s="31">
        <v>14.6</v>
      </c>
      <c r="AG45" s="30">
        <v>14.1</v>
      </c>
      <c r="AH45" s="29">
        <v>14.6</v>
      </c>
      <c r="AI45" s="29">
        <v>14.3</v>
      </c>
      <c r="AJ45" s="29">
        <v>13.9</v>
      </c>
      <c r="AK45" s="28">
        <v>14.6</v>
      </c>
      <c r="AL45" s="30">
        <v>14.4</v>
      </c>
      <c r="AM45" s="29">
        <v>14.6</v>
      </c>
      <c r="AN45" s="29">
        <v>14.8</v>
      </c>
      <c r="AO45" s="29">
        <v>13.5</v>
      </c>
      <c r="AP45" s="28">
        <v>15</v>
      </c>
    </row>
    <row r="46" spans="1:42" x14ac:dyDescent="0.25">
      <c r="A46" s="34"/>
      <c r="B46" s="33">
        <v>3</v>
      </c>
      <c r="C46" s="30">
        <v>4.5</v>
      </c>
      <c r="D46" s="29">
        <v>5.0999999999999996</v>
      </c>
      <c r="E46" s="29">
        <v>4</v>
      </c>
      <c r="F46" s="29">
        <v>4.3</v>
      </c>
      <c r="G46" s="28">
        <v>5.2</v>
      </c>
      <c r="H46" s="32">
        <v>6.8</v>
      </c>
      <c r="I46" s="29">
        <v>7.5</v>
      </c>
      <c r="J46" s="29">
        <v>5.6</v>
      </c>
      <c r="K46" s="29">
        <v>6</v>
      </c>
      <c r="L46" s="31">
        <v>7.6</v>
      </c>
      <c r="M46" s="30">
        <v>11.6</v>
      </c>
      <c r="N46" s="29">
        <v>11.7</v>
      </c>
      <c r="O46" s="29">
        <v>9</v>
      </c>
      <c r="P46" s="29">
        <v>10.5</v>
      </c>
      <c r="Q46" s="28">
        <v>11.3</v>
      </c>
      <c r="R46" s="32">
        <v>13</v>
      </c>
      <c r="S46" s="29">
        <v>13.1</v>
      </c>
      <c r="T46" s="29">
        <v>11</v>
      </c>
      <c r="U46" s="29">
        <v>14.2</v>
      </c>
      <c r="V46" s="31">
        <v>12.4</v>
      </c>
      <c r="W46" s="30">
        <v>14.1</v>
      </c>
      <c r="X46" s="29">
        <v>13.6</v>
      </c>
      <c r="Y46" s="29">
        <v>12</v>
      </c>
      <c r="Z46" s="29">
        <v>18.8</v>
      </c>
      <c r="AA46" s="28">
        <v>15.8</v>
      </c>
      <c r="AB46" s="32">
        <v>13.5</v>
      </c>
      <c r="AC46" s="29">
        <v>14</v>
      </c>
      <c r="AD46" s="29">
        <v>12.1</v>
      </c>
      <c r="AE46" s="29">
        <v>19.5</v>
      </c>
      <c r="AF46" s="31">
        <v>16.8</v>
      </c>
      <c r="AG46" s="30">
        <v>14.2</v>
      </c>
      <c r="AH46" s="29">
        <v>14.1</v>
      </c>
      <c r="AI46" s="29">
        <v>12.5</v>
      </c>
      <c r="AJ46" s="29">
        <v>19.5</v>
      </c>
      <c r="AK46" s="28">
        <v>16.5</v>
      </c>
      <c r="AL46" s="30">
        <v>14.1</v>
      </c>
      <c r="AM46" s="29">
        <v>14.2</v>
      </c>
      <c r="AN46" s="29">
        <v>12.8</v>
      </c>
      <c r="AO46" s="29">
        <v>19.5</v>
      </c>
      <c r="AP46" s="28">
        <v>16.7</v>
      </c>
    </row>
    <row r="47" spans="1:42" ht="15.75" thickBot="1" x14ac:dyDescent="0.3">
      <c r="A47" s="27"/>
      <c r="B47" s="26">
        <v>4</v>
      </c>
      <c r="C47" s="22">
        <v>4.9000000000000004</v>
      </c>
      <c r="D47" s="21">
        <v>4.0999999999999996</v>
      </c>
      <c r="E47" s="21">
        <v>3.9</v>
      </c>
      <c r="F47" s="21">
        <v>5</v>
      </c>
      <c r="G47" s="20">
        <v>5</v>
      </c>
      <c r="H47" s="24">
        <v>6.6</v>
      </c>
      <c r="I47" s="21">
        <v>6</v>
      </c>
      <c r="J47" s="21">
        <v>5.3</v>
      </c>
      <c r="K47" s="21">
        <v>6.8</v>
      </c>
      <c r="L47" s="23">
        <v>6.5</v>
      </c>
      <c r="M47" s="22">
        <v>10.9</v>
      </c>
      <c r="N47" s="21">
        <v>10</v>
      </c>
      <c r="O47" s="21">
        <v>8.9</v>
      </c>
      <c r="P47" s="21">
        <v>10.9</v>
      </c>
      <c r="Q47" s="20">
        <v>10.5</v>
      </c>
      <c r="R47" s="24">
        <v>12.7</v>
      </c>
      <c r="S47" s="21">
        <v>13.3</v>
      </c>
      <c r="T47" s="21">
        <v>13.5</v>
      </c>
      <c r="U47" s="21">
        <v>10.7</v>
      </c>
      <c r="V47" s="23">
        <v>12.5</v>
      </c>
      <c r="W47" s="22">
        <v>14.5</v>
      </c>
      <c r="X47" s="21">
        <v>14.1</v>
      </c>
      <c r="Y47" s="21">
        <v>12.5</v>
      </c>
      <c r="Z47" s="21">
        <v>13.6</v>
      </c>
      <c r="AA47" s="20">
        <v>13.8</v>
      </c>
      <c r="AB47" s="24">
        <v>14.9</v>
      </c>
      <c r="AC47" s="21">
        <v>14.4</v>
      </c>
      <c r="AD47" s="21">
        <v>13.6</v>
      </c>
      <c r="AE47" s="21">
        <v>13.9</v>
      </c>
      <c r="AF47" s="23">
        <v>14.1</v>
      </c>
      <c r="AG47" s="22">
        <v>15</v>
      </c>
      <c r="AH47" s="21">
        <v>14.5</v>
      </c>
      <c r="AI47" s="21">
        <v>13.8</v>
      </c>
      <c r="AJ47" s="21">
        <v>14</v>
      </c>
      <c r="AK47" s="20">
        <v>14.1</v>
      </c>
      <c r="AL47" s="22">
        <v>15</v>
      </c>
      <c r="AM47" s="21">
        <v>14.6</v>
      </c>
      <c r="AN47" s="21">
        <v>13.8</v>
      </c>
      <c r="AO47" s="21">
        <v>14</v>
      </c>
      <c r="AP47" s="20">
        <v>14.1</v>
      </c>
    </row>
    <row r="48" spans="1:42" x14ac:dyDescent="0.25">
      <c r="A48" s="48" t="s">
        <v>35</v>
      </c>
      <c r="B48" s="47">
        <v>1</v>
      </c>
      <c r="C48" s="37">
        <v>5.5</v>
      </c>
      <c r="D48" s="36">
        <v>4.8</v>
      </c>
      <c r="E48" s="36">
        <v>4.5</v>
      </c>
      <c r="F48" s="36">
        <v>4.2</v>
      </c>
      <c r="G48" s="35">
        <v>3.5</v>
      </c>
      <c r="H48" s="39">
        <v>6</v>
      </c>
      <c r="I48" s="36">
        <v>6.8</v>
      </c>
      <c r="J48" s="36">
        <v>6.6</v>
      </c>
      <c r="K48" s="36">
        <v>5.5</v>
      </c>
      <c r="L48" s="38">
        <v>5.2</v>
      </c>
      <c r="M48" s="37">
        <v>12.6</v>
      </c>
      <c r="N48" s="36">
        <v>12.9</v>
      </c>
      <c r="O48" s="36">
        <v>13</v>
      </c>
      <c r="P48" s="36">
        <v>11.4</v>
      </c>
      <c r="Q48" s="35">
        <v>12.2</v>
      </c>
      <c r="R48" s="39">
        <v>17.5</v>
      </c>
      <c r="S48" s="36">
        <v>17.2</v>
      </c>
      <c r="T48" s="36">
        <v>16.3</v>
      </c>
      <c r="U48" s="36">
        <v>16</v>
      </c>
      <c r="V48" s="38">
        <v>15.7</v>
      </c>
      <c r="W48" s="37">
        <v>19.5</v>
      </c>
      <c r="X48" s="36">
        <v>19.399999999999999</v>
      </c>
      <c r="Y48" s="36">
        <v>20.9</v>
      </c>
      <c r="Z48" s="36">
        <v>18.8</v>
      </c>
      <c r="AA48" s="35">
        <v>21</v>
      </c>
      <c r="AB48" s="39">
        <v>20.9</v>
      </c>
      <c r="AC48" s="36">
        <v>20</v>
      </c>
      <c r="AD48" s="36">
        <v>21.5</v>
      </c>
      <c r="AE48" s="36">
        <v>19.5</v>
      </c>
      <c r="AF48" s="38">
        <v>22</v>
      </c>
      <c r="AG48" s="37">
        <v>21</v>
      </c>
      <c r="AH48" s="36">
        <v>19.5</v>
      </c>
      <c r="AI48" s="36">
        <v>21.4</v>
      </c>
      <c r="AJ48" s="36">
        <v>19.8</v>
      </c>
      <c r="AK48" s="35">
        <v>22</v>
      </c>
      <c r="AL48" s="37">
        <v>21.6</v>
      </c>
      <c r="AM48" s="36">
        <v>19.5</v>
      </c>
      <c r="AN48" s="36">
        <v>21.7</v>
      </c>
      <c r="AO48" s="36">
        <v>20</v>
      </c>
      <c r="AP48" s="35">
        <v>21.7</v>
      </c>
    </row>
    <row r="49" spans="1:42" x14ac:dyDescent="0.25">
      <c r="A49" s="34"/>
      <c r="B49" s="33">
        <v>2</v>
      </c>
      <c r="C49" s="30">
        <v>4.5</v>
      </c>
      <c r="D49" s="29">
        <v>3.8</v>
      </c>
      <c r="E49" s="29">
        <v>5</v>
      </c>
      <c r="F49" s="29">
        <v>4.4000000000000004</v>
      </c>
      <c r="G49" s="28">
        <v>5.2</v>
      </c>
      <c r="H49" s="32">
        <v>6.6</v>
      </c>
      <c r="I49" s="29">
        <v>5.8</v>
      </c>
      <c r="J49" s="29">
        <v>7</v>
      </c>
      <c r="K49" s="29">
        <v>6.6</v>
      </c>
      <c r="L49" s="31">
        <v>7.1</v>
      </c>
      <c r="M49" s="30">
        <v>13.5</v>
      </c>
      <c r="N49" s="29">
        <v>12.3</v>
      </c>
      <c r="O49" s="29">
        <v>13.9</v>
      </c>
      <c r="P49" s="29">
        <v>13</v>
      </c>
      <c r="Q49" s="28">
        <v>14</v>
      </c>
      <c r="R49" s="32">
        <v>17</v>
      </c>
      <c r="S49" s="29">
        <v>15.4</v>
      </c>
      <c r="T49" s="29">
        <v>17.899999999999999</v>
      </c>
      <c r="U49" s="29">
        <v>15.5</v>
      </c>
      <c r="V49" s="31">
        <v>19.5</v>
      </c>
      <c r="W49" s="30">
        <v>19.100000000000001</v>
      </c>
      <c r="X49" s="29">
        <v>17.7</v>
      </c>
      <c r="Y49" s="29">
        <v>19.3</v>
      </c>
      <c r="Z49" s="29">
        <v>18.600000000000001</v>
      </c>
      <c r="AA49" s="28">
        <v>22.2</v>
      </c>
      <c r="AB49" s="32">
        <v>20.5</v>
      </c>
      <c r="AC49" s="29">
        <v>19.8</v>
      </c>
      <c r="AD49" s="29">
        <v>20</v>
      </c>
      <c r="AE49" s="29">
        <v>19.7</v>
      </c>
      <c r="AF49" s="31">
        <v>22.7</v>
      </c>
      <c r="AG49" s="30">
        <v>20.6</v>
      </c>
      <c r="AH49" s="29">
        <v>19.2</v>
      </c>
      <c r="AI49" s="29">
        <v>21</v>
      </c>
      <c r="AJ49" s="29">
        <v>19.600000000000001</v>
      </c>
      <c r="AK49" s="28">
        <v>23</v>
      </c>
      <c r="AL49" s="30">
        <v>20</v>
      </c>
      <c r="AM49" s="29">
        <v>19.100000000000001</v>
      </c>
      <c r="AN49" s="29">
        <v>21.5</v>
      </c>
      <c r="AO49" s="29">
        <v>19.8</v>
      </c>
      <c r="AP49" s="28">
        <v>23.1</v>
      </c>
    </row>
    <row r="50" spans="1:42" x14ac:dyDescent="0.25">
      <c r="A50" s="34"/>
      <c r="B50" s="33">
        <v>3</v>
      </c>
      <c r="C50" s="30">
        <v>4.3</v>
      </c>
      <c r="D50" s="29">
        <v>5.8</v>
      </c>
      <c r="E50" s="29">
        <v>4.0999999999999996</v>
      </c>
      <c r="F50" s="29">
        <v>4.5</v>
      </c>
      <c r="G50" s="28">
        <v>4.0999999999999996</v>
      </c>
      <c r="H50" s="32">
        <v>6</v>
      </c>
      <c r="I50" s="29">
        <v>7.9</v>
      </c>
      <c r="J50" s="29">
        <v>7.2</v>
      </c>
      <c r="K50" s="29">
        <v>6.4</v>
      </c>
      <c r="L50" s="31">
        <v>6</v>
      </c>
      <c r="M50" s="30">
        <v>12.9</v>
      </c>
      <c r="N50" s="29">
        <v>15</v>
      </c>
      <c r="O50" s="29">
        <v>14.4</v>
      </c>
      <c r="P50" s="29">
        <v>12.2</v>
      </c>
      <c r="Q50" s="28">
        <v>13.2</v>
      </c>
      <c r="R50" s="32">
        <v>17.5</v>
      </c>
      <c r="S50" s="29">
        <v>18.600000000000001</v>
      </c>
      <c r="T50" s="29">
        <v>18</v>
      </c>
      <c r="U50" s="29">
        <v>16.5</v>
      </c>
      <c r="V50" s="31">
        <v>17.7</v>
      </c>
      <c r="W50" s="30">
        <v>18.399999999999999</v>
      </c>
      <c r="X50" s="29">
        <v>18.7</v>
      </c>
      <c r="Y50" s="29">
        <v>18.7</v>
      </c>
      <c r="Z50" s="29">
        <v>19.100000000000001</v>
      </c>
      <c r="AA50" s="28">
        <v>20</v>
      </c>
      <c r="AB50" s="32">
        <v>18.899999999999999</v>
      </c>
      <c r="AC50" s="29">
        <v>19.7</v>
      </c>
      <c r="AD50" s="29">
        <v>19.899999999999999</v>
      </c>
      <c r="AE50" s="29">
        <v>19</v>
      </c>
      <c r="AF50" s="31">
        <v>22</v>
      </c>
      <c r="AG50" s="30">
        <v>19</v>
      </c>
      <c r="AH50" s="29">
        <v>19.399999999999999</v>
      </c>
      <c r="AI50" s="29">
        <v>21.2</v>
      </c>
      <c r="AJ50" s="29">
        <v>18.899999999999999</v>
      </c>
      <c r="AK50" s="28">
        <v>22.6</v>
      </c>
      <c r="AL50" s="30">
        <v>20</v>
      </c>
      <c r="AM50" s="29">
        <v>19.5</v>
      </c>
      <c r="AN50" s="29">
        <v>21.4</v>
      </c>
      <c r="AO50" s="29">
        <v>18.899999999999999</v>
      </c>
      <c r="AP50" s="28">
        <v>22.7</v>
      </c>
    </row>
    <row r="51" spans="1:42" ht="15.75" thickBot="1" x14ac:dyDescent="0.3">
      <c r="A51" s="27"/>
      <c r="B51" s="26">
        <v>4</v>
      </c>
      <c r="C51" s="22">
        <v>5</v>
      </c>
      <c r="D51" s="21">
        <v>4.5999999999999996</v>
      </c>
      <c r="E51" s="21">
        <v>5.7</v>
      </c>
      <c r="F51" s="21">
        <v>5.7</v>
      </c>
      <c r="G51" s="20">
        <v>4.7</v>
      </c>
      <c r="H51" s="24">
        <v>7</v>
      </c>
      <c r="I51" s="21">
        <v>6.5</v>
      </c>
      <c r="J51" s="21">
        <v>8.1999999999999993</v>
      </c>
      <c r="K51" s="21">
        <v>7.6</v>
      </c>
      <c r="L51" s="23">
        <v>7</v>
      </c>
      <c r="M51" s="22">
        <v>13.9</v>
      </c>
      <c r="N51" s="21">
        <v>13</v>
      </c>
      <c r="O51" s="21">
        <v>14.1</v>
      </c>
      <c r="P51" s="21">
        <v>13.9</v>
      </c>
      <c r="Q51" s="20">
        <v>14.1</v>
      </c>
      <c r="R51" s="24">
        <v>17.899999999999999</v>
      </c>
      <c r="S51" s="21">
        <v>17.3</v>
      </c>
      <c r="T51" s="21">
        <v>17.899999999999999</v>
      </c>
      <c r="U51" s="21">
        <v>17.8</v>
      </c>
      <c r="V51" s="23">
        <v>17.899999999999999</v>
      </c>
      <c r="W51" s="22">
        <v>19.5</v>
      </c>
      <c r="X51" s="21">
        <v>17.5</v>
      </c>
      <c r="Y51" s="21">
        <v>20</v>
      </c>
      <c r="Z51" s="21">
        <v>17.899999999999999</v>
      </c>
      <c r="AA51" s="20">
        <v>20.399999999999999</v>
      </c>
      <c r="AB51" s="25">
        <v>20.100000000000001</v>
      </c>
      <c r="AC51" s="21">
        <v>18.2</v>
      </c>
      <c r="AD51" s="21">
        <v>21</v>
      </c>
      <c r="AE51" s="21">
        <v>18.8</v>
      </c>
      <c r="AF51" s="23">
        <v>21.4</v>
      </c>
      <c r="AG51" s="22">
        <v>17.5</v>
      </c>
      <c r="AH51" s="21">
        <v>17.8</v>
      </c>
      <c r="AI51" s="21">
        <v>20.8</v>
      </c>
      <c r="AJ51" s="21">
        <v>18.5</v>
      </c>
      <c r="AK51" s="20">
        <v>20.399999999999999</v>
      </c>
      <c r="AL51" s="22">
        <v>18.100000000000001</v>
      </c>
      <c r="AM51" s="21">
        <v>19</v>
      </c>
      <c r="AN51" s="21">
        <v>21</v>
      </c>
      <c r="AO51" s="21">
        <v>19</v>
      </c>
      <c r="AP51" s="20">
        <v>20.5</v>
      </c>
    </row>
    <row r="52" spans="1:42" ht="15.75" thickBot="1" x14ac:dyDescent="0.3"/>
    <row r="53" spans="1:42" ht="15.75" thickBot="1" x14ac:dyDescent="0.3">
      <c r="C53" s="72">
        <v>44677</v>
      </c>
      <c r="D53" s="73"/>
      <c r="E53" s="73"/>
      <c r="F53" s="73"/>
      <c r="G53" s="74"/>
      <c r="H53" s="75">
        <v>44679</v>
      </c>
      <c r="I53" s="73"/>
      <c r="J53" s="73"/>
      <c r="K53" s="73"/>
      <c r="L53" s="76"/>
      <c r="M53" s="72">
        <v>44684</v>
      </c>
      <c r="N53" s="73"/>
      <c r="O53" s="73"/>
      <c r="P53" s="73"/>
      <c r="Q53" s="74"/>
      <c r="R53" s="75">
        <v>44687</v>
      </c>
      <c r="S53" s="73"/>
      <c r="T53" s="73"/>
      <c r="U53" s="73"/>
      <c r="V53" s="76"/>
      <c r="W53" s="72">
        <v>44691</v>
      </c>
      <c r="X53" s="73"/>
      <c r="Y53" s="73"/>
      <c r="Z53" s="73"/>
      <c r="AA53" s="74"/>
      <c r="AB53" s="75">
        <v>44694</v>
      </c>
      <c r="AC53" s="73"/>
      <c r="AD53" s="73"/>
      <c r="AE53" s="73"/>
      <c r="AF53" s="76"/>
      <c r="AG53" s="72">
        <v>44697</v>
      </c>
      <c r="AH53" s="73"/>
      <c r="AI53" s="73"/>
      <c r="AJ53" s="73"/>
      <c r="AK53" s="74"/>
      <c r="AL53" s="72">
        <v>44700</v>
      </c>
      <c r="AM53" s="73"/>
      <c r="AN53" s="73"/>
      <c r="AO53" s="73"/>
      <c r="AP53" s="74"/>
    </row>
    <row r="54" spans="1:42" ht="15.75" thickBot="1" x14ac:dyDescent="0.3">
      <c r="A54" s="56" t="s">
        <v>22</v>
      </c>
      <c r="B54" s="55" t="s">
        <v>23</v>
      </c>
      <c r="C54" s="19" t="s">
        <v>17</v>
      </c>
      <c r="D54" s="12"/>
      <c r="E54" s="12" t="s">
        <v>16</v>
      </c>
      <c r="F54" s="11" t="s">
        <v>15</v>
      </c>
      <c r="H54" s="19" t="s">
        <v>17</v>
      </c>
      <c r="I54" s="12"/>
      <c r="J54" s="12" t="s">
        <v>16</v>
      </c>
      <c r="K54" s="11" t="s">
        <v>15</v>
      </c>
      <c r="M54" s="19" t="s">
        <v>17</v>
      </c>
      <c r="N54" s="12"/>
      <c r="O54" s="12" t="s">
        <v>16</v>
      </c>
      <c r="P54" s="11" t="s">
        <v>15</v>
      </c>
      <c r="R54" s="19" t="s">
        <v>17</v>
      </c>
      <c r="S54" s="12"/>
      <c r="T54" s="12" t="s">
        <v>16</v>
      </c>
      <c r="U54" s="11" t="s">
        <v>15</v>
      </c>
      <c r="W54" s="19" t="s">
        <v>17</v>
      </c>
      <c r="X54" s="12"/>
      <c r="Y54" s="12" t="s">
        <v>16</v>
      </c>
      <c r="Z54" s="11" t="s">
        <v>15</v>
      </c>
      <c r="AB54" s="19" t="s">
        <v>17</v>
      </c>
      <c r="AC54" s="12"/>
      <c r="AD54" s="12" t="s">
        <v>16</v>
      </c>
      <c r="AE54" s="11" t="s">
        <v>15</v>
      </c>
      <c r="AG54" s="19" t="s">
        <v>17</v>
      </c>
      <c r="AH54" s="12"/>
      <c r="AI54" s="12" t="s">
        <v>16</v>
      </c>
      <c r="AJ54" s="11" t="s">
        <v>15</v>
      </c>
      <c r="AL54" s="19" t="s">
        <v>17</v>
      </c>
      <c r="AM54" s="12"/>
      <c r="AN54" s="12" t="s">
        <v>16</v>
      </c>
      <c r="AO54" s="11" t="s">
        <v>15</v>
      </c>
    </row>
    <row r="55" spans="1:42" x14ac:dyDescent="0.25">
      <c r="A55" s="48" t="s">
        <v>24</v>
      </c>
      <c r="B55" s="47">
        <v>1</v>
      </c>
      <c r="C55" s="10">
        <f t="shared" ref="C55:C84" si="0">AVERAGE(C4:G4)</f>
        <v>4.5400000000000009</v>
      </c>
      <c r="E55">
        <f>AVERAGE(C4:G7)</f>
        <v>5.2900000000000009</v>
      </c>
      <c r="F55" s="6">
        <f>_xlfn.STDEV.P(C55:C58)</f>
        <v>0.47085029467974143</v>
      </c>
      <c r="H55" s="10">
        <f t="shared" ref="H55:H102" si="1">AVERAGE(H4:L4)</f>
        <v>6.3400000000000007</v>
      </c>
      <c r="J55">
        <f>AVERAGE(H4:L7)</f>
        <v>7.2450000000000001</v>
      </c>
      <c r="K55" s="6">
        <f>_xlfn.STDEV.P(H55:H58)</f>
        <v>0.60239106899089967</v>
      </c>
      <c r="M55" s="10">
        <f t="shared" ref="M55:M61" si="2">AVERAGE(M4:Q4)</f>
        <v>10.459999999999999</v>
      </c>
      <c r="O55">
        <f>AVERAGE(M4:Q7)</f>
        <v>10.27</v>
      </c>
      <c r="P55" s="6">
        <f>_xlfn.STDEV.P(M55:M58)</f>
        <v>0.30380915061926594</v>
      </c>
      <c r="R55" s="10">
        <f t="shared" ref="R55:R102" si="3">AVERAGE(R4:V4)</f>
        <v>11.08</v>
      </c>
      <c r="T55">
        <f>AVERAGE(R4:V7)</f>
        <v>10.959999999999999</v>
      </c>
      <c r="U55" s="6">
        <f>_xlfn.STDEV.P(R55:R58)</f>
        <v>0.24372115213907869</v>
      </c>
      <c r="W55" s="10">
        <f t="shared" ref="W55:W102" si="4">AVERAGE(W4:AA4)</f>
        <v>11.46</v>
      </c>
      <c r="Y55">
        <f>AVERAGE(W4:AA7)</f>
        <v>11.345000000000001</v>
      </c>
      <c r="Z55" s="6">
        <f>_xlfn.STDEV.P(W55:W58)</f>
        <v>0.11258330249197726</v>
      </c>
      <c r="AB55" s="10">
        <f t="shared" ref="AB55:AB102" si="5">AVERAGE(AB4:AF4)</f>
        <v>11.32</v>
      </c>
      <c r="AD55">
        <f>AVERAGE(AB4:AF7)</f>
        <v>11.52</v>
      </c>
      <c r="AE55" s="6">
        <f>_xlfn.STDEV.P(AB55:AB58)</f>
        <v>0.14352700094407295</v>
      </c>
      <c r="AG55" s="10">
        <f t="shared" ref="AG55:AG102" si="6">AVERAGE(AG4:AK4)</f>
        <v>11.52</v>
      </c>
      <c r="AI55">
        <f>AVERAGE(AG4:AK7)</f>
        <v>11.720000000000002</v>
      </c>
      <c r="AJ55" s="6">
        <f>_xlfn.STDEV.P(AG55:AG58)</f>
        <v>0.14142135623731025</v>
      </c>
      <c r="AL55" s="10">
        <f t="shared" ref="AL55:AL102" si="7">AVERAGE(AL4:AP4)</f>
        <v>11.639999999999999</v>
      </c>
      <c r="AN55">
        <f>AVERAGE(AL4:AP7)</f>
        <v>11.745000000000001</v>
      </c>
      <c r="AO55" s="6">
        <f>_xlfn.STDEV.P(AL55:AL58)</f>
        <v>0.13955285736952891</v>
      </c>
    </row>
    <row r="56" spans="1:42" x14ac:dyDescent="0.25">
      <c r="A56" s="34"/>
      <c r="B56" s="33">
        <v>2</v>
      </c>
      <c r="C56" s="10">
        <f t="shared" si="0"/>
        <v>5.42</v>
      </c>
      <c r="E56" s="9"/>
      <c r="F56" s="6"/>
      <c r="H56" s="10">
        <f t="shared" si="1"/>
        <v>7.4799999999999995</v>
      </c>
      <c r="J56" s="9"/>
      <c r="K56" s="6"/>
      <c r="M56" s="10">
        <f t="shared" si="2"/>
        <v>10.06</v>
      </c>
      <c r="O56" s="9"/>
      <c r="P56" s="6"/>
      <c r="R56" s="10">
        <f t="shared" si="3"/>
        <v>10.7</v>
      </c>
      <c r="T56" s="9"/>
      <c r="U56" s="6"/>
      <c r="W56" s="10">
        <f t="shared" si="4"/>
        <v>11.16</v>
      </c>
      <c r="Y56" s="9"/>
      <c r="Z56" s="6"/>
      <c r="AB56" s="10">
        <f t="shared" si="5"/>
        <v>11.459999999999999</v>
      </c>
      <c r="AD56" s="9"/>
      <c r="AE56" s="6"/>
      <c r="AG56" s="10">
        <f t="shared" si="6"/>
        <v>11.719999999999999</v>
      </c>
      <c r="AI56" s="9"/>
      <c r="AJ56" s="6"/>
      <c r="AL56" s="10">
        <f t="shared" si="7"/>
        <v>11.64</v>
      </c>
      <c r="AN56" s="9"/>
      <c r="AO56" s="6"/>
    </row>
    <row r="57" spans="1:42" x14ac:dyDescent="0.25">
      <c r="A57" s="34"/>
      <c r="B57" s="33">
        <v>3</v>
      </c>
      <c r="C57" s="10">
        <f t="shared" si="0"/>
        <v>5.839999999999999</v>
      </c>
      <c r="F57" s="6"/>
      <c r="H57" s="10">
        <f t="shared" si="1"/>
        <v>7.9999999999999982</v>
      </c>
      <c r="K57" s="6"/>
      <c r="M57" s="10">
        <f t="shared" si="2"/>
        <v>10.66</v>
      </c>
      <c r="P57" s="6"/>
      <c r="R57" s="10">
        <f t="shared" si="3"/>
        <v>11.299999999999999</v>
      </c>
      <c r="U57" s="6"/>
      <c r="W57" s="10">
        <f t="shared" si="4"/>
        <v>11.4</v>
      </c>
      <c r="Z57" s="6"/>
      <c r="AB57" s="10">
        <f t="shared" si="5"/>
        <v>11.7</v>
      </c>
      <c r="AE57" s="6"/>
      <c r="AG57" s="10">
        <f t="shared" si="6"/>
        <v>11.920000000000002</v>
      </c>
      <c r="AJ57" s="6"/>
      <c r="AL57" s="10">
        <f t="shared" si="7"/>
        <v>11.98</v>
      </c>
      <c r="AO57" s="6"/>
    </row>
    <row r="58" spans="1:42" ht="15.75" thickBot="1" x14ac:dyDescent="0.3">
      <c r="A58" s="27"/>
      <c r="B58" s="26">
        <v>4</v>
      </c>
      <c r="C58" s="10">
        <f t="shared" si="0"/>
        <v>5.3599999999999994</v>
      </c>
      <c r="F58" s="6"/>
      <c r="H58" s="10">
        <f t="shared" si="1"/>
        <v>7.160000000000001</v>
      </c>
      <c r="K58" s="6"/>
      <c r="M58" s="10">
        <f t="shared" si="2"/>
        <v>9.9</v>
      </c>
      <c r="P58" s="6"/>
      <c r="R58" s="10">
        <f t="shared" si="3"/>
        <v>10.76</v>
      </c>
      <c r="U58" s="6"/>
      <c r="W58" s="10">
        <f t="shared" si="4"/>
        <v>11.360000000000001</v>
      </c>
      <c r="Z58" s="6"/>
      <c r="AB58" s="10">
        <f t="shared" si="5"/>
        <v>11.6</v>
      </c>
      <c r="AE58" s="6"/>
      <c r="AG58" s="10">
        <f t="shared" si="6"/>
        <v>11.719999999999999</v>
      </c>
      <c r="AJ58" s="6"/>
      <c r="AL58" s="10">
        <f t="shared" si="7"/>
        <v>11.72</v>
      </c>
      <c r="AO58" s="6"/>
    </row>
    <row r="59" spans="1:42" x14ac:dyDescent="0.25">
      <c r="A59" s="41" t="s">
        <v>25</v>
      </c>
      <c r="B59" s="40">
        <v>1</v>
      </c>
      <c r="C59" s="10">
        <f t="shared" si="0"/>
        <v>4.74</v>
      </c>
      <c r="E59">
        <f>AVERAGE(C8:G11)</f>
        <v>4.8950000000000005</v>
      </c>
      <c r="F59" s="6">
        <f>_xlfn.STDEV.P(C59:C62)</f>
        <v>0.4089926649709012</v>
      </c>
      <c r="H59" s="10">
        <f t="shared" si="1"/>
        <v>7.0400000000000009</v>
      </c>
      <c r="J59">
        <f>AVERAGE(H8:L11)</f>
        <v>7.089999999999999</v>
      </c>
      <c r="K59" s="6">
        <f>_xlfn.STDEV.P(H59:H62)</f>
        <v>0.42906875905849873</v>
      </c>
      <c r="M59" s="10">
        <f t="shared" si="2"/>
        <v>9.620000000000001</v>
      </c>
      <c r="O59">
        <f>AVERAGE(M8:Q11)</f>
        <v>9.5250000000000004</v>
      </c>
      <c r="P59" s="6">
        <f>_xlfn.STDEV.P(M59:M62)</f>
        <v>1.6376431235162334</v>
      </c>
      <c r="R59" s="10">
        <f t="shared" si="3"/>
        <v>10.38</v>
      </c>
      <c r="T59">
        <f>AVERAGE(R8:V11)</f>
        <v>10.115000000000004</v>
      </c>
      <c r="U59" s="6">
        <f>_xlfn.STDEV.P(R59:R62)</f>
        <v>0.28543825952384233</v>
      </c>
      <c r="W59" s="10">
        <f t="shared" si="4"/>
        <v>10.820000000000002</v>
      </c>
      <c r="Y59">
        <f>AVERAGE(W8:AA11)</f>
        <v>10.444999999999999</v>
      </c>
      <c r="Z59" s="6">
        <f>_xlfn.STDEV.P(W59:W62)</f>
        <v>0.29845435161846817</v>
      </c>
      <c r="AB59" s="10">
        <f t="shared" si="5"/>
        <v>10.879999999999999</v>
      </c>
      <c r="AD59">
        <f>AVERAGE(AB8:AF11)</f>
        <v>11.010000000000002</v>
      </c>
      <c r="AE59" s="6">
        <f>_xlfn.STDEV.P(AB59:AB62)</f>
        <v>0.85994185849974847</v>
      </c>
      <c r="AG59" s="10">
        <f t="shared" si="6"/>
        <v>10.940000000000001</v>
      </c>
      <c r="AI59">
        <f>AVERAGE(AG8:AK11)</f>
        <v>10.76</v>
      </c>
      <c r="AJ59" s="6">
        <f>_xlfn.STDEV.P(AG59:AG62)</f>
        <v>0.16431676725155023</v>
      </c>
      <c r="AL59" s="10">
        <f t="shared" si="7"/>
        <v>11.02</v>
      </c>
      <c r="AN59">
        <f>AVERAGE(AL8:AP11)</f>
        <v>10.885000000000002</v>
      </c>
      <c r="AO59" s="6">
        <f>_xlfn.STDEV.P(AL59:AL62)</f>
        <v>0.12519984025548828</v>
      </c>
    </row>
    <row r="60" spans="1:42" x14ac:dyDescent="0.25">
      <c r="A60" s="34"/>
      <c r="B60" s="33">
        <v>2</v>
      </c>
      <c r="C60" s="10">
        <f t="shared" si="0"/>
        <v>5.339999999999999</v>
      </c>
      <c r="E60" s="9"/>
      <c r="F60" s="6"/>
      <c r="H60" s="10">
        <f t="shared" si="1"/>
        <v>7.6599999999999993</v>
      </c>
      <c r="J60" s="9"/>
      <c r="K60" s="6"/>
      <c r="M60" s="10">
        <f t="shared" si="2"/>
        <v>9.1</v>
      </c>
      <c r="O60" s="9"/>
      <c r="P60" s="6"/>
      <c r="R60" s="10">
        <f t="shared" si="3"/>
        <v>10.38</v>
      </c>
      <c r="T60" s="9"/>
      <c r="U60" s="6"/>
      <c r="W60" s="10">
        <f t="shared" si="4"/>
        <v>10.620000000000001</v>
      </c>
      <c r="Y60" s="9"/>
      <c r="Z60" s="6"/>
      <c r="AB60" s="10">
        <f t="shared" si="5"/>
        <v>12.440000000000001</v>
      </c>
      <c r="AD60" s="9"/>
      <c r="AE60" s="6"/>
      <c r="AG60" s="10">
        <f t="shared" si="6"/>
        <v>10.879999999999999</v>
      </c>
      <c r="AI60" s="9"/>
      <c r="AJ60" s="6"/>
      <c r="AL60" s="10">
        <f t="shared" si="7"/>
        <v>10.919999999999998</v>
      </c>
      <c r="AN60" s="9"/>
      <c r="AO60" s="6"/>
    </row>
    <row r="61" spans="1:42" x14ac:dyDescent="0.25">
      <c r="A61" s="34"/>
      <c r="B61" s="33">
        <v>3</v>
      </c>
      <c r="C61" s="10">
        <f t="shared" si="0"/>
        <v>5.2</v>
      </c>
      <c r="F61" s="6"/>
      <c r="H61" s="10">
        <f t="shared" si="1"/>
        <v>7.2</v>
      </c>
      <c r="K61" s="6"/>
      <c r="M61" s="10">
        <f t="shared" si="2"/>
        <v>9.5599999999999987</v>
      </c>
      <c r="P61" s="6"/>
      <c r="R61" s="10">
        <f t="shared" si="3"/>
        <v>10</v>
      </c>
      <c r="U61" s="6"/>
      <c r="W61" s="10">
        <f t="shared" si="4"/>
        <v>10.3</v>
      </c>
      <c r="Z61" s="6"/>
      <c r="AB61" s="10">
        <f t="shared" si="5"/>
        <v>10.52</v>
      </c>
      <c r="AE61" s="6"/>
      <c r="AG61" s="10">
        <f t="shared" si="6"/>
        <v>10.52</v>
      </c>
      <c r="AJ61" s="6"/>
      <c r="AL61" s="10">
        <f t="shared" si="7"/>
        <v>10.680000000000001</v>
      </c>
      <c r="AO61" s="6"/>
    </row>
    <row r="62" spans="1:42" ht="15.75" thickBot="1" x14ac:dyDescent="0.3">
      <c r="A62" s="56"/>
      <c r="B62" s="55">
        <v>4</v>
      </c>
      <c r="C62" s="10">
        <f t="shared" si="0"/>
        <v>4.3</v>
      </c>
      <c r="F62" s="6"/>
      <c r="H62" s="10">
        <f t="shared" si="1"/>
        <v>6.4599999999999991</v>
      </c>
      <c r="K62" s="6"/>
      <c r="M62" s="10">
        <f>AVERAGE(M14:Q14)</f>
        <v>13.180000000000001</v>
      </c>
      <c r="P62" s="6"/>
      <c r="R62" s="10">
        <f t="shared" si="3"/>
        <v>9.6999999999999993</v>
      </c>
      <c r="U62" s="6"/>
      <c r="W62" s="10">
        <f t="shared" si="4"/>
        <v>10.040000000000001</v>
      </c>
      <c r="Z62" s="6"/>
      <c r="AB62" s="10">
        <f t="shared" si="5"/>
        <v>10.199999999999999</v>
      </c>
      <c r="AE62" s="6"/>
      <c r="AG62" s="10">
        <f t="shared" si="6"/>
        <v>10.7</v>
      </c>
      <c r="AJ62" s="6"/>
      <c r="AL62" s="10">
        <f t="shared" si="7"/>
        <v>10.92</v>
      </c>
      <c r="AO62" s="6"/>
    </row>
    <row r="63" spans="1:42" x14ac:dyDescent="0.25">
      <c r="A63" s="48" t="s">
        <v>26</v>
      </c>
      <c r="B63" s="47">
        <v>1</v>
      </c>
      <c r="C63" s="10">
        <f t="shared" si="0"/>
        <v>5.24</v>
      </c>
      <c r="E63">
        <f>AVERAGE(C12:G15)</f>
        <v>5.3100000000000005</v>
      </c>
      <c r="F63" s="6">
        <f>_xlfn.STDEV.P(C63:C66)</f>
        <v>0.17464249196572965</v>
      </c>
      <c r="H63" s="10">
        <f t="shared" si="1"/>
        <v>7.4</v>
      </c>
      <c r="J63">
        <f>AVERAGE(H12:L15)</f>
        <v>7.43</v>
      </c>
      <c r="K63" s="6">
        <f>_xlfn.STDEV.P(H63:H66)</f>
        <v>0.1910497317454278</v>
      </c>
      <c r="M63" s="10">
        <f>AVERAGE(M12:Q12)</f>
        <v>13.460000000000003</v>
      </c>
      <c r="O63">
        <f>AVERAGE(M12:Q15)</f>
        <v>13.48</v>
      </c>
      <c r="P63" s="6">
        <f>_xlfn.STDEV.P(M63:M66)</f>
        <v>1.6517869111964756</v>
      </c>
      <c r="R63" s="10">
        <f t="shared" si="3"/>
        <v>14.74</v>
      </c>
      <c r="T63">
        <f>AVERAGE(R12:V15)</f>
        <v>14.49</v>
      </c>
      <c r="U63" s="6">
        <f>_xlfn.STDEV.P(R63:R66)</f>
        <v>0.33511192160232056</v>
      </c>
      <c r="W63" s="10">
        <f t="shared" si="4"/>
        <v>15.439999999999998</v>
      </c>
      <c r="Y63">
        <f>AVERAGE(W12:AA15)</f>
        <v>15.184999999999999</v>
      </c>
      <c r="Z63" s="6">
        <f>_xlfn.STDEV.P(W63:W66)</f>
        <v>0.41746257317273339</v>
      </c>
      <c r="AB63" s="10">
        <f t="shared" si="5"/>
        <v>15.62</v>
      </c>
      <c r="AD63">
        <f>AVERAGE(AB12:AF15)</f>
        <v>15.349999999999998</v>
      </c>
      <c r="AE63" s="6">
        <f>_xlfn.STDEV.P(AB63:AB66)</f>
        <v>0.34190641994557502</v>
      </c>
      <c r="AG63" s="10">
        <f t="shared" si="6"/>
        <v>15.76</v>
      </c>
      <c r="AI63">
        <f>AVERAGE(AG12:AK15)</f>
        <v>15.664999999999997</v>
      </c>
      <c r="AJ63" s="6">
        <f>_xlfn.STDEV.P(AG63:AG66)</f>
        <v>0.29711109033491095</v>
      </c>
      <c r="AL63" s="10">
        <f t="shared" si="7"/>
        <v>15.8</v>
      </c>
      <c r="AN63">
        <f>AVERAGE(AL12:AP15)</f>
        <v>15.59</v>
      </c>
      <c r="AO63" s="6">
        <f>_xlfn.STDEV.P(AL63:AL66)</f>
        <v>0.41048751503547526</v>
      </c>
    </row>
    <row r="64" spans="1:42" x14ac:dyDescent="0.25">
      <c r="A64" s="34"/>
      <c r="B64" s="33">
        <v>2</v>
      </c>
      <c r="C64" s="10">
        <f t="shared" si="0"/>
        <v>5.58</v>
      </c>
      <c r="E64" s="9"/>
      <c r="F64" s="6"/>
      <c r="H64" s="10">
        <f t="shared" si="1"/>
        <v>7.74</v>
      </c>
      <c r="J64" s="9"/>
      <c r="K64" s="6"/>
      <c r="M64" s="10">
        <f>AVERAGE(M13:Q13)</f>
        <v>14.02</v>
      </c>
      <c r="O64" s="9"/>
      <c r="P64" s="6"/>
      <c r="R64" s="10">
        <f t="shared" si="3"/>
        <v>14.780000000000001</v>
      </c>
      <c r="T64" s="9"/>
      <c r="U64" s="6"/>
      <c r="W64" s="10">
        <f t="shared" si="4"/>
        <v>15.540000000000001</v>
      </c>
      <c r="Y64" s="9"/>
      <c r="Z64" s="6"/>
      <c r="AB64" s="10">
        <f t="shared" si="5"/>
        <v>15.7</v>
      </c>
      <c r="AD64" s="9"/>
      <c r="AE64" s="6"/>
      <c r="AG64" s="10">
        <f t="shared" si="6"/>
        <v>15.819999999999999</v>
      </c>
      <c r="AI64" s="9"/>
      <c r="AJ64" s="6"/>
      <c r="AL64" s="10">
        <f t="shared" si="7"/>
        <v>15.819999999999999</v>
      </c>
      <c r="AN64" s="9"/>
      <c r="AO64" s="6"/>
    </row>
    <row r="65" spans="1:41" x14ac:dyDescent="0.25">
      <c r="A65" s="34"/>
      <c r="B65" s="33">
        <v>3</v>
      </c>
      <c r="C65" s="10">
        <f t="shared" si="0"/>
        <v>5.1000000000000005</v>
      </c>
      <c r="F65" s="6"/>
      <c r="H65" s="10">
        <f t="shared" si="1"/>
        <v>7.2200000000000006</v>
      </c>
      <c r="K65" s="6"/>
      <c r="M65" s="10">
        <f>AVERAGE(M11:Q11)</f>
        <v>9.82</v>
      </c>
      <c r="P65" s="6"/>
      <c r="R65" s="10">
        <f t="shared" si="3"/>
        <v>14.5</v>
      </c>
      <c r="U65" s="6"/>
      <c r="W65" s="10">
        <f t="shared" si="4"/>
        <v>15.280000000000001</v>
      </c>
      <c r="Z65" s="6"/>
      <c r="AB65" s="10">
        <f t="shared" si="5"/>
        <v>15.239999999999998</v>
      </c>
      <c r="AE65" s="6"/>
      <c r="AG65" s="10">
        <f t="shared" si="6"/>
        <v>15.919999999999998</v>
      </c>
      <c r="AJ65" s="6"/>
      <c r="AL65" s="10">
        <f t="shared" si="7"/>
        <v>15.86</v>
      </c>
      <c r="AO65" s="6"/>
    </row>
    <row r="66" spans="1:41" ht="15.75" thickBot="1" x14ac:dyDescent="0.3">
      <c r="A66" s="27"/>
      <c r="B66" s="26">
        <v>4</v>
      </c>
      <c r="C66" s="10">
        <f t="shared" si="0"/>
        <v>5.32</v>
      </c>
      <c r="F66" s="6"/>
      <c r="H66" s="10">
        <f t="shared" si="1"/>
        <v>7.3600000000000012</v>
      </c>
      <c r="K66" s="6"/>
      <c r="M66" s="10">
        <f t="shared" ref="M66:M102" si="8">AVERAGE(M15:Q15)</f>
        <v>13.26</v>
      </c>
      <c r="P66" s="6"/>
      <c r="R66" s="10">
        <f t="shared" si="3"/>
        <v>13.940000000000001</v>
      </c>
      <c r="U66" s="6"/>
      <c r="W66" s="10">
        <f t="shared" si="4"/>
        <v>14.48</v>
      </c>
      <c r="Z66" s="6"/>
      <c r="AB66" s="10">
        <f t="shared" si="5"/>
        <v>14.84</v>
      </c>
      <c r="AE66" s="6"/>
      <c r="AG66" s="10">
        <f t="shared" si="6"/>
        <v>15.16</v>
      </c>
      <c r="AJ66" s="6"/>
      <c r="AL66" s="10">
        <f t="shared" si="7"/>
        <v>14.88</v>
      </c>
      <c r="AO66" s="6"/>
    </row>
    <row r="67" spans="1:41" x14ac:dyDescent="0.25">
      <c r="A67" s="41" t="s">
        <v>27</v>
      </c>
      <c r="B67" s="40">
        <v>1</v>
      </c>
      <c r="C67" s="10">
        <f t="shared" si="0"/>
        <v>4.8</v>
      </c>
      <c r="E67">
        <f>AVERAGE(C16:G19)</f>
        <v>5.08</v>
      </c>
      <c r="F67" s="6">
        <f>_xlfn.STDEV.P(C67:C70)</f>
        <v>0.42237424163885751</v>
      </c>
      <c r="H67" s="10">
        <f t="shared" si="1"/>
        <v>7.08</v>
      </c>
      <c r="J67">
        <f>AVERAGE(H16:L19)</f>
        <v>7.4800000000000013</v>
      </c>
      <c r="K67" s="6">
        <f>_xlfn.STDEV.P(H67:H70)</f>
        <v>0.30561413579872232</v>
      </c>
      <c r="M67" s="10">
        <f t="shared" si="8"/>
        <v>14.16</v>
      </c>
      <c r="O67">
        <f>AVERAGE(M16:Q19)</f>
        <v>13.844999999999999</v>
      </c>
      <c r="P67" s="6">
        <f>_xlfn.STDEV.P(M67:M70)</f>
        <v>0.18674849396983065</v>
      </c>
      <c r="R67" s="10">
        <f t="shared" si="3"/>
        <v>15.920000000000002</v>
      </c>
      <c r="T67">
        <f>AVERAGE(R16:V19)</f>
        <v>15.309999999999999</v>
      </c>
      <c r="U67" s="6">
        <f>_xlfn.STDEV.P(R67:R70)</f>
        <v>0.35482389998420405</v>
      </c>
      <c r="W67" s="10">
        <f t="shared" si="4"/>
        <v>16.84</v>
      </c>
      <c r="Y67">
        <f>AVERAGE(W16:AA19)</f>
        <v>15.74</v>
      </c>
      <c r="Z67" s="6">
        <f>_xlfn.STDEV.P(W67:W70)</f>
        <v>0.69842680360936882</v>
      </c>
      <c r="AB67" s="10">
        <f t="shared" si="5"/>
        <v>17.139999999999997</v>
      </c>
      <c r="AD67">
        <f>AVERAGE(AB16:AF19)</f>
        <v>16.445</v>
      </c>
      <c r="AE67" s="6">
        <f>_xlfn.STDEV.P(AB67:AB70)</f>
        <v>0.56167161224330953</v>
      </c>
      <c r="AG67" s="10">
        <f t="shared" si="6"/>
        <v>17.119999999999997</v>
      </c>
      <c r="AI67">
        <f>AVERAGE(AG16:AK19)</f>
        <v>16.509999999999998</v>
      </c>
      <c r="AJ67" s="6">
        <f>_xlfn.STDEV.P(AG67:AG70)</f>
        <v>0.44485952839070347</v>
      </c>
      <c r="AL67" s="10">
        <f t="shared" si="7"/>
        <v>17.04</v>
      </c>
      <c r="AN67">
        <f>AVERAGE(AL16:AP19)</f>
        <v>16.47</v>
      </c>
      <c r="AO67" s="6">
        <f>_xlfn.STDEV.P(AL67:AL70)</f>
        <v>0.39230090491866015</v>
      </c>
    </row>
    <row r="68" spans="1:41" x14ac:dyDescent="0.25">
      <c r="A68" s="34"/>
      <c r="B68" s="33">
        <v>2</v>
      </c>
      <c r="C68" s="10">
        <f t="shared" si="0"/>
        <v>5.8</v>
      </c>
      <c r="E68" s="9"/>
      <c r="F68" s="6"/>
      <c r="H68" s="10">
        <f t="shared" si="1"/>
        <v>7.9399999999999995</v>
      </c>
      <c r="J68" s="9"/>
      <c r="K68" s="6"/>
      <c r="M68" s="10">
        <f t="shared" si="8"/>
        <v>13.680000000000001</v>
      </c>
      <c r="O68" s="9"/>
      <c r="P68" s="6"/>
      <c r="R68" s="10">
        <f t="shared" si="3"/>
        <v>15.16</v>
      </c>
      <c r="T68" s="9"/>
      <c r="U68" s="6"/>
      <c r="W68" s="10">
        <f t="shared" si="4"/>
        <v>14.9</v>
      </c>
      <c r="Y68" s="9"/>
      <c r="Z68" s="6"/>
      <c r="AB68" s="10">
        <f t="shared" si="5"/>
        <v>16.84</v>
      </c>
      <c r="AD68" s="9"/>
      <c r="AE68" s="6"/>
      <c r="AG68" s="10">
        <f t="shared" si="6"/>
        <v>16.72</v>
      </c>
      <c r="AI68" s="9"/>
      <c r="AJ68" s="6"/>
      <c r="AL68" s="10">
        <f t="shared" si="7"/>
        <v>16.600000000000001</v>
      </c>
      <c r="AN68" s="9"/>
      <c r="AO68" s="6"/>
    </row>
    <row r="69" spans="1:41" x14ac:dyDescent="0.25">
      <c r="A69" s="34"/>
      <c r="B69" s="33">
        <v>3</v>
      </c>
      <c r="C69" s="10">
        <f t="shared" si="0"/>
        <v>4.96</v>
      </c>
      <c r="F69" s="6"/>
      <c r="H69" s="10">
        <f t="shared" si="1"/>
        <v>7.4599999999999991</v>
      </c>
      <c r="K69" s="6"/>
      <c r="M69" s="10">
        <f t="shared" si="8"/>
        <v>13.74</v>
      </c>
      <c r="P69" s="6"/>
      <c r="R69" s="10">
        <f t="shared" si="3"/>
        <v>15.040000000000001</v>
      </c>
      <c r="U69" s="6"/>
      <c r="W69" s="10">
        <f t="shared" si="4"/>
        <v>15.639999999999997</v>
      </c>
      <c r="Z69" s="6"/>
      <c r="AB69" s="10">
        <f t="shared" si="5"/>
        <v>16.02</v>
      </c>
      <c r="AE69" s="6"/>
      <c r="AG69" s="10">
        <f t="shared" si="6"/>
        <v>15.959999999999999</v>
      </c>
      <c r="AJ69" s="6"/>
      <c r="AL69" s="10">
        <f t="shared" si="7"/>
        <v>16</v>
      </c>
      <c r="AO69" s="6"/>
    </row>
    <row r="70" spans="1:41" ht="15.75" thickBot="1" x14ac:dyDescent="0.3">
      <c r="A70" s="56"/>
      <c r="B70" s="55">
        <v>4</v>
      </c>
      <c r="C70" s="10">
        <f t="shared" si="0"/>
        <v>4.76</v>
      </c>
      <c r="F70" s="6"/>
      <c r="H70" s="10">
        <f t="shared" si="1"/>
        <v>7.44</v>
      </c>
      <c r="K70" s="6"/>
      <c r="M70" s="10">
        <f t="shared" si="8"/>
        <v>13.8</v>
      </c>
      <c r="P70" s="6"/>
      <c r="R70" s="10">
        <f t="shared" si="3"/>
        <v>15.12</v>
      </c>
      <c r="U70" s="6"/>
      <c r="W70" s="10">
        <f t="shared" si="4"/>
        <v>15.580000000000002</v>
      </c>
      <c r="Z70" s="6"/>
      <c r="AB70" s="10">
        <f t="shared" si="5"/>
        <v>15.780000000000001</v>
      </c>
      <c r="AE70" s="6"/>
      <c r="AG70" s="10">
        <f t="shared" si="6"/>
        <v>16.240000000000002</v>
      </c>
      <c r="AJ70" s="6"/>
      <c r="AL70" s="10">
        <f t="shared" si="7"/>
        <v>16.240000000000002</v>
      </c>
      <c r="AO70" s="6"/>
    </row>
    <row r="71" spans="1:41" x14ac:dyDescent="0.25">
      <c r="A71" s="48" t="s">
        <v>28</v>
      </c>
      <c r="B71" s="47">
        <v>1</v>
      </c>
      <c r="C71" s="10">
        <f t="shared" si="0"/>
        <v>5.26</v>
      </c>
      <c r="E71">
        <f>AVERAGE(C20:G23)</f>
        <v>5.15</v>
      </c>
      <c r="F71" s="6">
        <f>_xlfn.STDEV.P(C71:C74)</f>
        <v>0.16401219466856723</v>
      </c>
      <c r="H71" s="10">
        <f t="shared" si="1"/>
        <v>7.4</v>
      </c>
      <c r="J71">
        <f>AVERAGE(H20:L23)</f>
        <v>7.1350000000000007</v>
      </c>
      <c r="K71" s="6">
        <f>_xlfn.STDEV.P(H71:H74)</f>
        <v>0.19461500456028591</v>
      </c>
      <c r="M71" s="10">
        <f t="shared" si="8"/>
        <v>13.719999999999999</v>
      </c>
      <c r="O71">
        <f>AVERAGE(M20:Q23)</f>
        <v>12.919999999999998</v>
      </c>
      <c r="P71" s="6">
        <f>_xlfn.STDEV.P(M71:M74)</f>
        <v>0.56515484603779065</v>
      </c>
      <c r="R71" s="10">
        <f t="shared" si="3"/>
        <v>15.7</v>
      </c>
      <c r="T71">
        <f>AVERAGE(R20:V23)</f>
        <v>14.874999999999996</v>
      </c>
      <c r="U71" s="6">
        <f>_xlfn.STDEV.P(R71:R74)</f>
        <v>0.59621724228673556</v>
      </c>
      <c r="W71" s="10">
        <f t="shared" si="4"/>
        <v>17.38</v>
      </c>
      <c r="Y71">
        <f>AVERAGE(W20:AA23)</f>
        <v>16.035</v>
      </c>
      <c r="Z71" s="6">
        <f>_xlfn.STDEV.P(W71:W74)</f>
        <v>0.83730221545150518</v>
      </c>
      <c r="AB71" s="10">
        <f t="shared" si="5"/>
        <v>17.96</v>
      </c>
      <c r="AD71">
        <f>AVERAGE(AB20:AF23)</f>
        <v>16.465000000000003</v>
      </c>
      <c r="AE71" s="6">
        <f>_xlfn.STDEV.P(AB71:AB74)</f>
        <v>0.88739788144890253</v>
      </c>
      <c r="AG71" s="10">
        <f t="shared" si="6"/>
        <v>18.159999999999997</v>
      </c>
      <c r="AI71">
        <f>AVERAGE(AG20:AK23)</f>
        <v>16.55</v>
      </c>
      <c r="AJ71" s="6">
        <f>_xlfn.STDEV.P(AG71:AG74)</f>
        <v>0.95650405121985616</v>
      </c>
      <c r="AL71" s="10">
        <f t="shared" si="7"/>
        <v>18.619999999999997</v>
      </c>
      <c r="AN71">
        <f>AVERAGE(AL20:AP23)</f>
        <v>16.695</v>
      </c>
      <c r="AO71" s="6">
        <f>_xlfn.STDEV.P(AL71:AL74)</f>
        <v>1.1360787824794527</v>
      </c>
    </row>
    <row r="72" spans="1:41" x14ac:dyDescent="0.25">
      <c r="A72" s="34"/>
      <c r="B72" s="33">
        <v>2</v>
      </c>
      <c r="C72" s="10">
        <f t="shared" si="0"/>
        <v>4.88</v>
      </c>
      <c r="E72" s="9"/>
      <c r="F72" s="6"/>
      <c r="H72" s="10">
        <f t="shared" si="1"/>
        <v>6.9799999999999995</v>
      </c>
      <c r="J72" s="9"/>
      <c r="K72" s="6"/>
      <c r="M72" s="10">
        <f t="shared" si="8"/>
        <v>13.1</v>
      </c>
      <c r="O72" s="9"/>
      <c r="P72" s="6"/>
      <c r="R72" s="10">
        <f t="shared" si="3"/>
        <v>14.819999999999999</v>
      </c>
      <c r="T72" s="9"/>
      <c r="U72" s="6"/>
      <c r="W72" s="10">
        <f t="shared" si="4"/>
        <v>15.779999999999998</v>
      </c>
      <c r="Y72" s="9"/>
      <c r="Z72" s="6"/>
      <c r="AB72" s="10">
        <f t="shared" si="5"/>
        <v>15.999999999999996</v>
      </c>
      <c r="AD72" s="9"/>
      <c r="AE72" s="6"/>
      <c r="AG72" s="10">
        <f t="shared" si="6"/>
        <v>16.100000000000001</v>
      </c>
      <c r="AI72" s="9"/>
      <c r="AJ72" s="6"/>
      <c r="AL72" s="10">
        <f t="shared" si="7"/>
        <v>16.160000000000004</v>
      </c>
      <c r="AN72" s="9"/>
      <c r="AO72" s="6"/>
    </row>
    <row r="73" spans="1:41" x14ac:dyDescent="0.25">
      <c r="A73" s="34"/>
      <c r="B73" s="33">
        <v>3</v>
      </c>
      <c r="C73" s="10">
        <f t="shared" si="0"/>
        <v>5.3</v>
      </c>
      <c r="F73" s="6"/>
      <c r="H73" s="10">
        <f t="shared" si="1"/>
        <v>7.24</v>
      </c>
      <c r="K73" s="6"/>
      <c r="M73" s="10">
        <f t="shared" si="8"/>
        <v>12.680000000000001</v>
      </c>
      <c r="P73" s="6"/>
      <c r="R73" s="10">
        <f t="shared" si="3"/>
        <v>14.959999999999999</v>
      </c>
      <c r="U73" s="6"/>
      <c r="W73" s="10">
        <f t="shared" si="4"/>
        <v>15.9</v>
      </c>
      <c r="Z73" s="6"/>
      <c r="AB73" s="10">
        <f t="shared" si="5"/>
        <v>16.240000000000002</v>
      </c>
      <c r="AE73" s="6"/>
      <c r="AG73" s="10">
        <f t="shared" si="6"/>
        <v>16.279999999999998</v>
      </c>
      <c r="AJ73" s="6"/>
      <c r="AL73" s="10">
        <f t="shared" si="7"/>
        <v>16.32</v>
      </c>
      <c r="AO73" s="6"/>
    </row>
    <row r="74" spans="1:41" ht="15.75" thickBot="1" x14ac:dyDescent="0.3">
      <c r="A74" s="27"/>
      <c r="B74" s="26">
        <v>4</v>
      </c>
      <c r="C74" s="10">
        <f t="shared" si="0"/>
        <v>5.16</v>
      </c>
      <c r="F74" s="6"/>
      <c r="H74" s="10">
        <f t="shared" si="1"/>
        <v>6.92</v>
      </c>
      <c r="K74" s="6"/>
      <c r="M74" s="10">
        <f t="shared" si="8"/>
        <v>12.180000000000001</v>
      </c>
      <c r="P74" s="6"/>
      <c r="R74" s="10">
        <f t="shared" si="3"/>
        <v>14.02</v>
      </c>
      <c r="U74" s="6"/>
      <c r="W74" s="10">
        <f t="shared" si="4"/>
        <v>15.080000000000002</v>
      </c>
      <c r="Z74" s="6"/>
      <c r="AB74" s="10">
        <f t="shared" si="5"/>
        <v>15.660000000000002</v>
      </c>
      <c r="AE74" s="6"/>
      <c r="AG74" s="10">
        <f t="shared" si="6"/>
        <v>15.66</v>
      </c>
      <c r="AJ74" s="6"/>
      <c r="AL74" s="10">
        <f t="shared" si="7"/>
        <v>15.680000000000001</v>
      </c>
      <c r="AO74" s="6"/>
    </row>
    <row r="75" spans="1:41" x14ac:dyDescent="0.25">
      <c r="A75" s="41" t="s">
        <v>29</v>
      </c>
      <c r="B75" s="40">
        <v>1</v>
      </c>
      <c r="C75" s="10">
        <f t="shared" si="0"/>
        <v>5.14</v>
      </c>
      <c r="E75">
        <f>AVERAGE(C24:G27)</f>
        <v>5.31</v>
      </c>
      <c r="F75" s="6">
        <f>_xlfn.STDEV.P(C75:C78)</f>
        <v>0.12529964086141684</v>
      </c>
      <c r="H75" s="10">
        <f t="shared" si="1"/>
        <v>7.32</v>
      </c>
      <c r="J75">
        <f>AVERAGE(H24:L27)</f>
        <v>7.3050000000000015</v>
      </c>
      <c r="K75" s="6">
        <f>_xlfn.STDEV.P(H75:H78)</f>
        <v>0.30606371885605776</v>
      </c>
      <c r="M75" s="10">
        <f t="shared" si="8"/>
        <v>14.74</v>
      </c>
      <c r="O75">
        <f>AVERAGE(M24:Q27)</f>
        <v>15.14</v>
      </c>
      <c r="P75" s="6">
        <f>_xlfn.STDEV.P(M75:M78)</f>
        <v>0.51516987489565069</v>
      </c>
      <c r="R75" s="10">
        <f t="shared" si="3"/>
        <v>18.82</v>
      </c>
      <c r="T75">
        <f>AVERAGE(R24:V27)</f>
        <v>19.47</v>
      </c>
      <c r="U75" s="6">
        <f>_xlfn.STDEV.P(R75:R78)</f>
        <v>0.41629316592997306</v>
      </c>
      <c r="W75" s="10">
        <f t="shared" si="4"/>
        <v>20.339999999999996</v>
      </c>
      <c r="Y75">
        <f>AVERAGE(W24:AA27)</f>
        <v>20.315000000000001</v>
      </c>
      <c r="Z75" s="6">
        <f>_xlfn.STDEV.P(W75:W78)</f>
        <v>0.68372143450384926</v>
      </c>
      <c r="AB75" s="10">
        <f t="shared" si="5"/>
        <v>20.7</v>
      </c>
      <c r="AD75">
        <f>AVERAGE(AB24:AF27)</f>
        <v>20.65</v>
      </c>
      <c r="AE75" s="6">
        <f>_xlfn.STDEV.P(AB75:AB78)</f>
        <v>0.78108898340714072</v>
      </c>
      <c r="AG75" s="10">
        <f t="shared" si="6"/>
        <v>20.399999999999999</v>
      </c>
      <c r="AI75">
        <f>AVERAGE(AG24:AK27)</f>
        <v>20.88</v>
      </c>
      <c r="AJ75" s="6">
        <f>_xlfn.STDEV.P(AG75:AG78)</f>
        <v>0.60663003552412309</v>
      </c>
      <c r="AL75" s="10">
        <f t="shared" si="7"/>
        <v>20.68</v>
      </c>
      <c r="AN75">
        <f>AVERAGE(AL24:AP27)</f>
        <v>21.234999999999996</v>
      </c>
      <c r="AO75" s="6">
        <f>_xlfn.STDEV.P(AL75:AL78)</f>
        <v>0.6119436248544472</v>
      </c>
    </row>
    <row r="76" spans="1:41" x14ac:dyDescent="0.25">
      <c r="A76" s="34"/>
      <c r="B76" s="33">
        <v>2</v>
      </c>
      <c r="C76" s="10">
        <f t="shared" si="0"/>
        <v>5.44</v>
      </c>
      <c r="E76" s="9"/>
      <c r="F76" s="6"/>
      <c r="H76" s="10">
        <f t="shared" si="1"/>
        <v>6.9399999999999995</v>
      </c>
      <c r="J76" s="9"/>
      <c r="K76" s="6"/>
      <c r="M76" s="10">
        <f t="shared" si="8"/>
        <v>14.6</v>
      </c>
      <c r="O76" s="9"/>
      <c r="P76" s="6"/>
      <c r="R76" s="10">
        <f t="shared" si="3"/>
        <v>19.560000000000002</v>
      </c>
      <c r="T76" s="9"/>
      <c r="U76" s="6"/>
      <c r="W76" s="10">
        <f t="shared" si="4"/>
        <v>19.46</v>
      </c>
      <c r="Y76" s="9"/>
      <c r="Z76" s="6"/>
      <c r="AB76" s="10">
        <f t="shared" si="5"/>
        <v>19.78</v>
      </c>
      <c r="AD76" s="9"/>
      <c r="AE76" s="6"/>
      <c r="AG76" s="10">
        <f t="shared" si="6"/>
        <v>20.64</v>
      </c>
      <c r="AI76" s="9"/>
      <c r="AJ76" s="6"/>
      <c r="AL76" s="10">
        <f t="shared" si="7"/>
        <v>21.720000000000002</v>
      </c>
      <c r="AN76" s="9"/>
      <c r="AO76" s="6"/>
    </row>
    <row r="77" spans="1:41" x14ac:dyDescent="0.25">
      <c r="A77" s="34"/>
      <c r="B77" s="33">
        <v>3</v>
      </c>
      <c r="C77" s="10">
        <f t="shared" si="0"/>
        <v>5.42</v>
      </c>
      <c r="F77" s="6"/>
      <c r="H77" s="10">
        <f t="shared" si="1"/>
        <v>7.7799999999999994</v>
      </c>
      <c r="K77" s="6"/>
      <c r="M77" s="10">
        <f t="shared" si="8"/>
        <v>15.9</v>
      </c>
      <c r="P77" s="6"/>
      <c r="R77" s="10">
        <f t="shared" si="3"/>
        <v>19.98</v>
      </c>
      <c r="U77" s="6"/>
      <c r="W77" s="10">
        <f t="shared" si="4"/>
        <v>21.360000000000003</v>
      </c>
      <c r="Z77" s="6"/>
      <c r="AB77" s="10">
        <f t="shared" si="5"/>
        <v>21.880000000000003</v>
      </c>
      <c r="AE77" s="6"/>
      <c r="AG77" s="10">
        <f t="shared" si="6"/>
        <v>21.919999999999998</v>
      </c>
      <c r="AJ77" s="6"/>
      <c r="AL77" s="10">
        <f t="shared" si="7"/>
        <v>21.96</v>
      </c>
      <c r="AO77" s="6"/>
    </row>
    <row r="78" spans="1:41" ht="15.75" thickBot="1" x14ac:dyDescent="0.3">
      <c r="A78" s="56"/>
      <c r="B78" s="55">
        <v>4</v>
      </c>
      <c r="C78" s="10">
        <f t="shared" si="0"/>
        <v>5.24</v>
      </c>
      <c r="F78" s="6"/>
      <c r="H78" s="10">
        <f t="shared" si="1"/>
        <v>7.18</v>
      </c>
      <c r="K78" s="6"/>
      <c r="M78" s="10">
        <f t="shared" si="8"/>
        <v>15.320000000000002</v>
      </c>
      <c r="P78" s="6"/>
      <c r="R78" s="10">
        <f t="shared" si="3"/>
        <v>19.52</v>
      </c>
      <c r="U78" s="6"/>
      <c r="W78" s="10">
        <f t="shared" si="4"/>
        <v>20.099999999999998</v>
      </c>
      <c r="Z78" s="6"/>
      <c r="AB78" s="10">
        <f t="shared" si="5"/>
        <v>20.240000000000002</v>
      </c>
      <c r="AE78" s="6"/>
      <c r="AG78" s="10">
        <f t="shared" si="6"/>
        <v>20.560000000000002</v>
      </c>
      <c r="AJ78" s="6"/>
      <c r="AL78" s="10">
        <f t="shared" si="7"/>
        <v>20.580000000000002</v>
      </c>
      <c r="AO78" s="6"/>
    </row>
    <row r="79" spans="1:41" x14ac:dyDescent="0.25">
      <c r="A79" s="48" t="s">
        <v>30</v>
      </c>
      <c r="B79" s="47">
        <v>1</v>
      </c>
      <c r="C79" s="10">
        <f t="shared" si="0"/>
        <v>3.9799999999999995</v>
      </c>
      <c r="E79">
        <f>AVERAGE(C28:G31)</f>
        <v>4.1899999999999995</v>
      </c>
      <c r="F79" s="6">
        <f>_xlfn.STDEV.P(C79:C82)</f>
        <v>0.18138357147217068</v>
      </c>
      <c r="H79" s="10">
        <f t="shared" si="1"/>
        <v>5.74</v>
      </c>
      <c r="J79">
        <f>AVERAGE(H28:L31)</f>
        <v>6.169999999999999</v>
      </c>
      <c r="K79" s="6">
        <f>_xlfn.STDEV.P(H79:H82)</f>
        <v>0.4423799272118934</v>
      </c>
      <c r="M79" s="10">
        <f t="shared" si="8"/>
        <v>8.9400000000000013</v>
      </c>
      <c r="O79">
        <f>AVERAGE(M28:Q31)</f>
        <v>8.8499999999999979</v>
      </c>
      <c r="P79" s="6">
        <f>_xlfn.STDEV.P(M79:M82)</f>
        <v>0.17117242768623675</v>
      </c>
      <c r="R79" s="10">
        <f t="shared" si="3"/>
        <v>9.7200000000000006</v>
      </c>
      <c r="T79">
        <f>AVERAGE(R28:V31)</f>
        <v>9.5249999999999986</v>
      </c>
      <c r="U79" s="6">
        <f>_xlfn.STDEV.P(R79:R82)</f>
        <v>0.22466641938661014</v>
      </c>
      <c r="W79" s="10">
        <f t="shared" si="4"/>
        <v>9.94</v>
      </c>
      <c r="Y79">
        <f>AVERAGE(W28:AA31)</f>
        <v>9.9949999999999992</v>
      </c>
      <c r="Z79" s="6">
        <f>_xlfn.STDEV.P(W79:W82)</f>
        <v>0.21511624764298942</v>
      </c>
      <c r="AB79" s="10">
        <f t="shared" si="5"/>
        <v>10.34</v>
      </c>
      <c r="AD79">
        <f>AVERAGE(AB28:AF31)</f>
        <v>10.334999999999997</v>
      </c>
      <c r="AE79" s="6">
        <f>_xlfn.STDEV.P(AB79:AB82)</f>
        <v>0.26167728216259056</v>
      </c>
      <c r="AG79" s="10">
        <f t="shared" si="6"/>
        <v>10.56</v>
      </c>
      <c r="AI79">
        <f>AVERAGE(AG28:AK31)</f>
        <v>10.565</v>
      </c>
      <c r="AJ79" s="6">
        <f>_xlfn.STDEV.P(AG79:AG82)</f>
        <v>0.19817921182606443</v>
      </c>
      <c r="AL79" s="10">
        <f t="shared" si="7"/>
        <v>10.6</v>
      </c>
      <c r="AN79">
        <f>AVERAGE(AL28:AP31)</f>
        <v>10.559999999999999</v>
      </c>
      <c r="AO79" s="6">
        <f>_xlfn.STDEV.P(AL79:AL82)</f>
        <v>0.2231591360442137</v>
      </c>
    </row>
    <row r="80" spans="1:41" x14ac:dyDescent="0.25">
      <c r="A80" s="34"/>
      <c r="B80" s="33">
        <v>2</v>
      </c>
      <c r="C80" s="10">
        <f t="shared" si="0"/>
        <v>4.08</v>
      </c>
      <c r="E80" s="9"/>
      <c r="F80" s="6"/>
      <c r="H80" s="10">
        <f t="shared" si="1"/>
        <v>5.92</v>
      </c>
      <c r="J80" s="9"/>
      <c r="K80" s="6"/>
      <c r="M80" s="10">
        <f t="shared" si="8"/>
        <v>9.0599999999999987</v>
      </c>
      <c r="O80" s="9"/>
      <c r="P80" s="6"/>
      <c r="R80" s="10">
        <f t="shared" si="3"/>
        <v>9.76</v>
      </c>
      <c r="T80" s="9"/>
      <c r="U80" s="6"/>
      <c r="W80" s="10">
        <f t="shared" si="4"/>
        <v>10.3</v>
      </c>
      <c r="Y80" s="9"/>
      <c r="Z80" s="6"/>
      <c r="AB80" s="10">
        <f t="shared" si="5"/>
        <v>10.7</v>
      </c>
      <c r="AD80" s="9"/>
      <c r="AE80" s="6"/>
      <c r="AG80" s="10">
        <f t="shared" si="6"/>
        <v>10.88</v>
      </c>
      <c r="AI80" s="9"/>
      <c r="AJ80" s="6"/>
      <c r="AL80" s="10">
        <f t="shared" si="7"/>
        <v>10.9</v>
      </c>
      <c r="AN80" s="9"/>
      <c r="AO80" s="6"/>
    </row>
    <row r="81" spans="1:41" x14ac:dyDescent="0.25">
      <c r="A81" s="34"/>
      <c r="B81" s="33">
        <v>3</v>
      </c>
      <c r="C81" s="10">
        <f t="shared" si="0"/>
        <v>4.24</v>
      </c>
      <c r="F81" s="6"/>
      <c r="H81" s="10">
        <f t="shared" si="1"/>
        <v>6.9</v>
      </c>
      <c r="K81" s="6"/>
      <c r="M81" s="10">
        <f t="shared" si="8"/>
        <v>8.8000000000000007</v>
      </c>
      <c r="P81" s="6"/>
      <c r="R81" s="10">
        <f t="shared" si="3"/>
        <v>9.4</v>
      </c>
      <c r="U81" s="6"/>
      <c r="W81" s="10">
        <f t="shared" si="4"/>
        <v>10.039999999999999</v>
      </c>
      <c r="Z81" s="6"/>
      <c r="AB81" s="10">
        <f t="shared" si="5"/>
        <v>10.34</v>
      </c>
      <c r="AE81" s="6"/>
      <c r="AG81" s="10">
        <f t="shared" si="6"/>
        <v>10.48</v>
      </c>
      <c r="AJ81" s="6"/>
      <c r="AL81" s="10">
        <f t="shared" si="7"/>
        <v>10.440000000000001</v>
      </c>
      <c r="AO81" s="6"/>
    </row>
    <row r="82" spans="1:41" ht="15.75" thickBot="1" x14ac:dyDescent="0.3">
      <c r="A82" s="27"/>
      <c r="B82" s="26">
        <v>4</v>
      </c>
      <c r="C82" s="10">
        <f t="shared" si="0"/>
        <v>4.46</v>
      </c>
      <c r="F82" s="6"/>
      <c r="H82" s="10">
        <f t="shared" si="1"/>
        <v>6.12</v>
      </c>
      <c r="K82" s="6"/>
      <c r="M82" s="10">
        <f t="shared" si="8"/>
        <v>8.6</v>
      </c>
      <c r="P82" s="6"/>
      <c r="R82" s="10">
        <f t="shared" si="3"/>
        <v>9.2199999999999989</v>
      </c>
      <c r="U82" s="6"/>
      <c r="W82" s="10">
        <f t="shared" si="4"/>
        <v>9.7000000000000011</v>
      </c>
      <c r="Z82" s="6"/>
      <c r="AB82" s="10">
        <f t="shared" si="5"/>
        <v>9.9599999999999991</v>
      </c>
      <c r="AE82" s="6"/>
      <c r="AG82" s="10">
        <f t="shared" si="6"/>
        <v>10.34</v>
      </c>
      <c r="AJ82" s="6"/>
      <c r="AL82" s="10">
        <f t="shared" si="7"/>
        <v>10.3</v>
      </c>
      <c r="AO82" s="6"/>
    </row>
    <row r="83" spans="1:41" x14ac:dyDescent="0.25">
      <c r="A83" s="41" t="s">
        <v>31</v>
      </c>
      <c r="B83" s="40">
        <v>1</v>
      </c>
      <c r="C83" s="10">
        <f t="shared" si="0"/>
        <v>3.96</v>
      </c>
      <c r="E83">
        <f>AVERAGE(C32:G34)</f>
        <v>4.0599999999999996</v>
      </c>
      <c r="F83" s="6">
        <f>_xlfn.STDEV.P(C83:C86)</f>
        <v>0.21470910553583922</v>
      </c>
      <c r="H83" s="10">
        <f t="shared" si="1"/>
        <v>5.44</v>
      </c>
      <c r="J83">
        <f>AVERAGE(H32:L35)</f>
        <v>5.9649999999999999</v>
      </c>
      <c r="K83" s="6">
        <f>_xlfn.STDEV.P(H83:H86)</f>
        <v>0.38996794740080837</v>
      </c>
      <c r="M83" s="10">
        <f t="shared" si="8"/>
        <v>8.5</v>
      </c>
      <c r="O83">
        <f>AVERAGE(M32:Q35)</f>
        <v>8.6950000000000003</v>
      </c>
      <c r="P83" s="6">
        <f>_xlfn.STDEV.P(M83:M86)</f>
        <v>0.31507935508376261</v>
      </c>
      <c r="R83" s="10">
        <f t="shared" si="3"/>
        <v>8.9600000000000009</v>
      </c>
      <c r="T83">
        <f>AVERAGE(R32:V35)</f>
        <v>9.2099999999999991</v>
      </c>
      <c r="U83" s="6">
        <f>_xlfn.STDEV.P(R83:R86)</f>
        <v>0.32449961479175843</v>
      </c>
      <c r="W83" s="10">
        <f t="shared" si="4"/>
        <v>9.2799999999999994</v>
      </c>
      <c r="Y83">
        <f>AVERAGE(W32:AA35)</f>
        <v>9.66</v>
      </c>
      <c r="Z83" s="6">
        <f>_xlfn.STDEV.P(W83:W86)</f>
        <v>0.33256578296631789</v>
      </c>
      <c r="AB83" s="10">
        <f t="shared" si="5"/>
        <v>9.5400000000000009</v>
      </c>
      <c r="AD83">
        <f>AVERAGE(AB32:AF35)</f>
        <v>9.8200000000000021</v>
      </c>
      <c r="AE83" s="6">
        <f>_xlfn.STDEV.P(AB83:AB86)</f>
        <v>0.30066592756745758</v>
      </c>
      <c r="AG83" s="10">
        <f t="shared" si="6"/>
        <v>9.5</v>
      </c>
      <c r="AI83">
        <f>AVERAGE(AG32:AK35)</f>
        <v>9.89</v>
      </c>
      <c r="AJ83" s="6">
        <f>_xlfn.STDEV.P(AG83:AG86)</f>
        <v>0.35566838487557434</v>
      </c>
      <c r="AL83" s="10">
        <f t="shared" si="7"/>
        <v>9.6800000000000015</v>
      </c>
      <c r="AN83">
        <f>AVERAGE(AL32:AP35)</f>
        <v>9.9500000000000011</v>
      </c>
      <c r="AO83" s="6">
        <f>_xlfn.STDEV.P(AL83:AL86)</f>
        <v>0.33749074061372442</v>
      </c>
    </row>
    <row r="84" spans="1:41" x14ac:dyDescent="0.25">
      <c r="A84" s="34"/>
      <c r="B84" s="33">
        <v>2</v>
      </c>
      <c r="C84" s="10">
        <f t="shared" si="0"/>
        <v>4</v>
      </c>
      <c r="E84" s="9"/>
      <c r="F84" s="6"/>
      <c r="H84" s="10">
        <f t="shared" si="1"/>
        <v>5.92</v>
      </c>
      <c r="J84" s="9"/>
      <c r="K84" s="6"/>
      <c r="M84" s="10">
        <f t="shared" si="8"/>
        <v>8.98</v>
      </c>
      <c r="O84" s="9"/>
      <c r="P84" s="6"/>
      <c r="R84" s="10">
        <f t="shared" si="3"/>
        <v>9.5</v>
      </c>
      <c r="T84" s="9"/>
      <c r="U84" s="6"/>
      <c r="W84" s="10">
        <f t="shared" si="4"/>
        <v>10.02</v>
      </c>
      <c r="Y84" s="9"/>
      <c r="Z84" s="6"/>
      <c r="AB84" s="10">
        <f t="shared" si="5"/>
        <v>10.099999999999998</v>
      </c>
      <c r="AD84" s="9"/>
      <c r="AE84" s="6"/>
      <c r="AG84" s="10">
        <f t="shared" si="6"/>
        <v>10.319999999999999</v>
      </c>
      <c r="AI84" s="9"/>
      <c r="AJ84" s="6"/>
      <c r="AL84" s="10">
        <f t="shared" si="7"/>
        <v>10.360000000000001</v>
      </c>
      <c r="AN84" s="9"/>
      <c r="AO84" s="6"/>
    </row>
    <row r="85" spans="1:41" x14ac:dyDescent="0.25">
      <c r="A85" s="34"/>
      <c r="B85" s="33">
        <v>3</v>
      </c>
      <c r="C85" s="10">
        <f>AVERAGE(C35:G35)</f>
        <v>4.5000000000000009</v>
      </c>
      <c r="F85" s="6"/>
      <c r="H85" s="10">
        <f t="shared" si="1"/>
        <v>5.9599999999999991</v>
      </c>
      <c r="K85" s="6"/>
      <c r="M85" s="10">
        <f t="shared" si="8"/>
        <v>8.2800000000000011</v>
      </c>
      <c r="P85" s="6"/>
      <c r="R85" s="10">
        <f t="shared" si="3"/>
        <v>8.82</v>
      </c>
      <c r="U85" s="6"/>
      <c r="W85" s="10">
        <f t="shared" si="4"/>
        <v>9.379999999999999</v>
      </c>
      <c r="Z85" s="6"/>
      <c r="AB85" s="10">
        <f t="shared" si="5"/>
        <v>9.5</v>
      </c>
      <c r="AE85" s="6"/>
      <c r="AG85" s="10">
        <f t="shared" si="6"/>
        <v>9.58</v>
      </c>
      <c r="AJ85" s="6"/>
      <c r="AL85" s="10">
        <f t="shared" si="7"/>
        <v>9.5599999999999987</v>
      </c>
      <c r="AO85" s="6"/>
    </row>
    <row r="86" spans="1:41" ht="15.75" thickBot="1" x14ac:dyDescent="0.3">
      <c r="A86" s="56"/>
      <c r="B86" s="55">
        <v>4</v>
      </c>
      <c r="C86" s="10">
        <f>AVERAGE(C34:G34)</f>
        <v>4.22</v>
      </c>
      <c r="F86" s="6"/>
      <c r="H86" s="10">
        <f t="shared" si="1"/>
        <v>6.5399999999999991</v>
      </c>
      <c r="K86" s="6"/>
      <c r="M86" s="10">
        <f t="shared" si="8"/>
        <v>9.02</v>
      </c>
      <c r="P86" s="6"/>
      <c r="R86" s="10">
        <f t="shared" si="3"/>
        <v>9.5599999999999987</v>
      </c>
      <c r="U86" s="6"/>
      <c r="W86" s="10">
        <f t="shared" si="4"/>
        <v>9.9599999999999991</v>
      </c>
      <c r="Z86" s="6"/>
      <c r="AB86" s="10">
        <f t="shared" si="5"/>
        <v>10.14</v>
      </c>
      <c r="AE86" s="6"/>
      <c r="AG86" s="10">
        <f t="shared" si="6"/>
        <v>10.16</v>
      </c>
      <c r="AJ86" s="6"/>
      <c r="AL86" s="10">
        <f t="shared" si="7"/>
        <v>10.199999999999999</v>
      </c>
      <c r="AO86" s="6"/>
    </row>
    <row r="87" spans="1:41" x14ac:dyDescent="0.25">
      <c r="A87" s="48" t="s">
        <v>32</v>
      </c>
      <c r="B87" s="47">
        <v>1</v>
      </c>
      <c r="C87" s="10">
        <f t="shared" ref="C87:C102" si="9">AVERAGE(C36:G36)</f>
        <v>4.5599999999999996</v>
      </c>
      <c r="E87">
        <f>AVERAGE(C36:G39)</f>
        <v>4.71</v>
      </c>
      <c r="F87" s="6">
        <f>_xlfn.STDEV.P(C87:C90)</f>
        <v>0.20322401432901568</v>
      </c>
      <c r="H87" s="10">
        <f t="shared" si="1"/>
        <v>6.5</v>
      </c>
      <c r="J87">
        <f>AVERAGE(H36:L39)</f>
        <v>6.7199999999999989</v>
      </c>
      <c r="K87" s="6">
        <f>_xlfn.STDEV.P(H87:H90)</f>
        <v>0.14628738838327798</v>
      </c>
      <c r="M87" s="10">
        <f t="shared" si="8"/>
        <v>11.28</v>
      </c>
      <c r="O87">
        <f>AVERAGE(M36:Q39)</f>
        <v>11.219999999999997</v>
      </c>
      <c r="P87" s="6">
        <f>_xlfn.STDEV.P(M87:M90)</f>
        <v>0.18384776310850207</v>
      </c>
      <c r="R87" s="10">
        <f t="shared" si="3"/>
        <v>13.819999999999999</v>
      </c>
      <c r="T87">
        <f>AVERAGE(R36:V39)</f>
        <v>12.920000000000002</v>
      </c>
      <c r="U87" s="6">
        <f>_xlfn.STDEV.P(R87:R90)</f>
        <v>0.55695601262577221</v>
      </c>
      <c r="W87" s="10">
        <f t="shared" si="4"/>
        <v>14.060000000000002</v>
      </c>
      <c r="Y87">
        <f>AVERAGE(W36:AA39)</f>
        <v>13.570000000000002</v>
      </c>
      <c r="Z87" s="6">
        <f>_xlfn.STDEV.P(W87:W90)</f>
        <v>0.48135226186235036</v>
      </c>
      <c r="AB87" s="10">
        <f t="shared" si="5"/>
        <v>14.6</v>
      </c>
      <c r="AD87">
        <f>AVERAGE(AB36:AF39)</f>
        <v>14.044999999999998</v>
      </c>
      <c r="AE87" s="6">
        <f>_xlfn.STDEV.P(AB87:AB90)</f>
        <v>0.46095010575983214</v>
      </c>
      <c r="AG87" s="10">
        <f t="shared" si="6"/>
        <v>14.88</v>
      </c>
      <c r="AI87">
        <f>AVERAGE(AG36:AK39)</f>
        <v>14.14</v>
      </c>
      <c r="AJ87" s="6">
        <f>_xlfn.STDEV.P(AG87:AG90)</f>
        <v>0.6028266749240605</v>
      </c>
      <c r="AL87" s="10">
        <f t="shared" si="7"/>
        <v>15.319999999999999</v>
      </c>
      <c r="AN87">
        <f>AVERAGE(AL36:AP39)</f>
        <v>14.244999999999999</v>
      </c>
      <c r="AO87" s="6">
        <f>_xlfn.STDEV.P(AL87:AL90)</f>
        <v>0.76044394928225889</v>
      </c>
    </row>
    <row r="88" spans="1:41" x14ac:dyDescent="0.25">
      <c r="A88" s="34"/>
      <c r="B88" s="33">
        <v>2</v>
      </c>
      <c r="C88" s="10">
        <f t="shared" si="9"/>
        <v>4.5999999999999996</v>
      </c>
      <c r="E88" s="9"/>
      <c r="F88" s="6"/>
      <c r="H88" s="10">
        <f t="shared" si="1"/>
        <v>6.68</v>
      </c>
      <c r="J88" s="9"/>
      <c r="K88" s="6"/>
      <c r="M88" s="10">
        <f t="shared" si="8"/>
        <v>11.48</v>
      </c>
      <c r="O88" s="9"/>
      <c r="P88" s="6"/>
      <c r="R88" s="10">
        <f t="shared" si="3"/>
        <v>12.940000000000001</v>
      </c>
      <c r="T88" s="9"/>
      <c r="U88" s="6"/>
      <c r="W88" s="10">
        <f t="shared" si="4"/>
        <v>13.940000000000001</v>
      </c>
      <c r="Y88" s="9"/>
      <c r="Z88" s="6"/>
      <c r="AB88" s="10">
        <f t="shared" si="5"/>
        <v>14.4</v>
      </c>
      <c r="AD88" s="9"/>
      <c r="AE88" s="6"/>
      <c r="AG88" s="10">
        <f t="shared" si="6"/>
        <v>14.579999999999998</v>
      </c>
      <c r="AI88" s="9"/>
      <c r="AJ88" s="6"/>
      <c r="AL88" s="10">
        <f t="shared" si="7"/>
        <v>14.579999999999998</v>
      </c>
      <c r="AN88" s="9"/>
      <c r="AO88" s="6"/>
    </row>
    <row r="89" spans="1:41" x14ac:dyDescent="0.25">
      <c r="A89" s="34"/>
      <c r="B89" s="33">
        <v>3</v>
      </c>
      <c r="C89" s="10">
        <f t="shared" si="9"/>
        <v>5.0599999999999996</v>
      </c>
      <c r="F89" s="6"/>
      <c r="H89" s="10">
        <f t="shared" si="1"/>
        <v>6.88</v>
      </c>
      <c r="K89" s="6"/>
      <c r="M89" s="10">
        <f t="shared" si="8"/>
        <v>11.140000000000002</v>
      </c>
      <c r="P89" s="6"/>
      <c r="R89" s="10">
        <f t="shared" si="3"/>
        <v>12.52</v>
      </c>
      <c r="U89" s="6"/>
      <c r="W89" s="10">
        <f t="shared" si="4"/>
        <v>13.440000000000001</v>
      </c>
      <c r="Z89" s="6"/>
      <c r="AB89" s="10">
        <f t="shared" si="5"/>
        <v>13.559999999999999</v>
      </c>
      <c r="AE89" s="6"/>
      <c r="AG89" s="10">
        <f t="shared" si="6"/>
        <v>13.64</v>
      </c>
      <c r="AJ89" s="6"/>
      <c r="AL89" s="10">
        <f t="shared" si="7"/>
        <v>13.7</v>
      </c>
      <c r="AO89" s="6"/>
    </row>
    <row r="90" spans="1:41" ht="15.75" thickBot="1" x14ac:dyDescent="0.3">
      <c r="A90" s="27"/>
      <c r="B90" s="26">
        <v>4</v>
      </c>
      <c r="C90" s="10">
        <f t="shared" si="9"/>
        <v>4.62</v>
      </c>
      <c r="F90" s="6"/>
      <c r="H90" s="10">
        <f t="shared" si="1"/>
        <v>6.82</v>
      </c>
      <c r="K90" s="6"/>
      <c r="M90" s="10">
        <f t="shared" si="8"/>
        <v>10.98</v>
      </c>
      <c r="P90" s="6"/>
      <c r="R90" s="10">
        <f t="shared" si="3"/>
        <v>12.4</v>
      </c>
      <c r="U90" s="6"/>
      <c r="W90" s="10">
        <f t="shared" si="4"/>
        <v>12.84</v>
      </c>
      <c r="Z90" s="6"/>
      <c r="AB90" s="10">
        <f t="shared" si="5"/>
        <v>13.62</v>
      </c>
      <c r="AE90" s="6"/>
      <c r="AG90" s="10">
        <f t="shared" si="6"/>
        <v>13.460000000000003</v>
      </c>
      <c r="AJ90" s="6"/>
      <c r="AL90" s="10">
        <f t="shared" si="7"/>
        <v>13.38</v>
      </c>
      <c r="AO90" s="6"/>
    </row>
    <row r="91" spans="1:41" x14ac:dyDescent="0.25">
      <c r="A91" s="41" t="s">
        <v>33</v>
      </c>
      <c r="B91" s="40">
        <v>1</v>
      </c>
      <c r="C91" s="10">
        <f t="shared" si="9"/>
        <v>3.6799999999999997</v>
      </c>
      <c r="E91">
        <f>AVERAGE(C40:G43)</f>
        <v>4.5400000000000009</v>
      </c>
      <c r="F91" s="6">
        <f>_xlfn.STDEV.P(C91:C94)</f>
        <v>0.53084837759948034</v>
      </c>
      <c r="H91" s="10">
        <f t="shared" si="1"/>
        <v>5.56</v>
      </c>
      <c r="J91">
        <f>AVERAGE(H40:L43)</f>
        <v>6.6499999999999986</v>
      </c>
      <c r="K91" s="6">
        <f>_xlfn.STDEV.P(H91:H94)</f>
        <v>0.63</v>
      </c>
      <c r="M91" s="10">
        <f t="shared" si="8"/>
        <v>11.18</v>
      </c>
      <c r="O91">
        <f>AVERAGE(M40:Q43)</f>
        <v>12.215</v>
      </c>
      <c r="P91" s="6">
        <f>_xlfn.STDEV.P(M91:M94)</f>
        <v>0.60570207197928594</v>
      </c>
      <c r="R91" s="10">
        <f t="shared" si="3"/>
        <v>13.48</v>
      </c>
      <c r="T91">
        <f>AVERAGE(R40:V43)</f>
        <v>14.015000000000001</v>
      </c>
      <c r="U91" s="6">
        <f>_xlfn.STDEV.P(R91:R94)</f>
        <v>0.39022429447690776</v>
      </c>
      <c r="W91" s="10">
        <f t="shared" si="4"/>
        <v>14.76</v>
      </c>
      <c r="Y91">
        <f>AVERAGE(W40:AA43)</f>
        <v>14.919999999999996</v>
      </c>
      <c r="Z91" s="6">
        <f>_xlfn.STDEV.P(W91:W94)</f>
        <v>0.16733200530681483</v>
      </c>
      <c r="AB91" s="10">
        <f t="shared" si="5"/>
        <v>15.319999999999999</v>
      </c>
      <c r="AD91">
        <f>AVERAGE(AB40:AF43)</f>
        <v>15.105</v>
      </c>
      <c r="AE91" s="6">
        <f>_xlfn.STDEV.P(AB91:AB94)</f>
        <v>0.22197972880423056</v>
      </c>
      <c r="AG91" s="10">
        <f t="shared" si="6"/>
        <v>15.34</v>
      </c>
      <c r="AI91">
        <f>AVERAGE(AG40:AK43)</f>
        <v>15.285000000000002</v>
      </c>
      <c r="AJ91" s="6">
        <f>_xlfn.STDEV.P(AG91:AG94)</f>
        <v>8.8741196746493445E-2</v>
      </c>
      <c r="AL91" s="10">
        <f t="shared" si="7"/>
        <v>15.38</v>
      </c>
      <c r="AN91">
        <f>AVERAGE(AL40:AP43)</f>
        <v>15.5</v>
      </c>
      <c r="AO91" s="6">
        <f>_xlfn.STDEV.P(AL91:AL94)</f>
        <v>0.24617067250182276</v>
      </c>
    </row>
    <row r="92" spans="1:41" x14ac:dyDescent="0.25">
      <c r="A92" s="34"/>
      <c r="B92" s="33">
        <v>2</v>
      </c>
      <c r="C92" s="10">
        <f t="shared" si="9"/>
        <v>4.5200000000000005</v>
      </c>
      <c r="E92" s="9"/>
      <c r="F92" s="6"/>
      <c r="H92" s="10">
        <f t="shared" si="1"/>
        <v>6.9799999999999995</v>
      </c>
      <c r="J92" s="9"/>
      <c r="K92" s="6"/>
      <c r="M92" s="10">
        <f t="shared" si="8"/>
        <v>12.66</v>
      </c>
      <c r="O92" s="9"/>
      <c r="P92" s="6"/>
      <c r="R92" s="10">
        <f t="shared" si="3"/>
        <v>14.580000000000002</v>
      </c>
      <c r="T92" s="9"/>
      <c r="U92" s="6"/>
      <c r="W92" s="10">
        <f t="shared" si="4"/>
        <v>15.2</v>
      </c>
      <c r="Y92" s="9"/>
      <c r="Z92" s="6"/>
      <c r="AB92" s="10">
        <f t="shared" si="5"/>
        <v>15.3</v>
      </c>
      <c r="AD92" s="9"/>
      <c r="AE92" s="6"/>
      <c r="AG92" s="10">
        <f t="shared" si="6"/>
        <v>15.4</v>
      </c>
      <c r="AI92" s="9"/>
      <c r="AJ92" s="6"/>
      <c r="AL92" s="10">
        <f t="shared" si="7"/>
        <v>15.6</v>
      </c>
      <c r="AN92" s="9"/>
      <c r="AO92" s="6"/>
    </row>
    <row r="93" spans="1:41" x14ac:dyDescent="0.25">
      <c r="A93" s="34"/>
      <c r="B93" s="33">
        <v>3</v>
      </c>
      <c r="C93" s="10">
        <f t="shared" si="9"/>
        <v>4.9799999999999995</v>
      </c>
      <c r="F93" s="6"/>
      <c r="H93" s="10">
        <f t="shared" si="1"/>
        <v>7.06</v>
      </c>
      <c r="K93" s="6"/>
      <c r="M93" s="10">
        <f t="shared" si="8"/>
        <v>12.62</v>
      </c>
      <c r="P93" s="6"/>
      <c r="R93" s="10">
        <f t="shared" si="3"/>
        <v>14.040000000000001</v>
      </c>
      <c r="U93" s="6"/>
      <c r="W93" s="10">
        <f t="shared" si="4"/>
        <v>14.84</v>
      </c>
      <c r="Z93" s="6"/>
      <c r="AB93" s="10">
        <f t="shared" si="5"/>
        <v>14.780000000000001</v>
      </c>
      <c r="AE93" s="6"/>
      <c r="AG93" s="10">
        <f t="shared" si="6"/>
        <v>15.220000000000002</v>
      </c>
      <c r="AJ93" s="6"/>
      <c r="AL93" s="10">
        <f t="shared" si="7"/>
        <v>15.180000000000001</v>
      </c>
      <c r="AO93" s="6"/>
    </row>
    <row r="94" spans="1:41" ht="15.75" thickBot="1" x14ac:dyDescent="0.3">
      <c r="A94" s="56"/>
      <c r="B94" s="55">
        <v>4</v>
      </c>
      <c r="C94" s="10">
        <f t="shared" si="9"/>
        <v>4.9799999999999995</v>
      </c>
      <c r="F94" s="6"/>
      <c r="H94" s="10">
        <f t="shared" si="1"/>
        <v>7</v>
      </c>
      <c r="K94" s="6"/>
      <c r="M94" s="10">
        <f t="shared" si="8"/>
        <v>12.4</v>
      </c>
      <c r="P94" s="6"/>
      <c r="R94" s="10">
        <f t="shared" si="3"/>
        <v>13.959999999999999</v>
      </c>
      <c r="U94" s="6"/>
      <c r="W94" s="10">
        <f t="shared" si="4"/>
        <v>14.88</v>
      </c>
      <c r="Z94" s="6"/>
      <c r="AB94" s="10">
        <f t="shared" si="5"/>
        <v>15.02</v>
      </c>
      <c r="AE94" s="6"/>
      <c r="AG94" s="10">
        <f t="shared" si="6"/>
        <v>15.180000000000001</v>
      </c>
      <c r="AJ94" s="6"/>
      <c r="AL94" s="10">
        <f t="shared" si="7"/>
        <v>15.84</v>
      </c>
      <c r="AO94" s="6"/>
    </row>
    <row r="95" spans="1:41" x14ac:dyDescent="0.25">
      <c r="A95" s="48" t="s">
        <v>34</v>
      </c>
      <c r="B95" s="47">
        <v>1</v>
      </c>
      <c r="C95" s="10">
        <f t="shared" si="9"/>
        <v>4</v>
      </c>
      <c r="E95">
        <f>AVERAGE(C44:G47)</f>
        <v>4.3849999999999998</v>
      </c>
      <c r="F95" s="6">
        <f>_xlfn.STDEV.P(C95:C98)</f>
        <v>0.2467285958295064</v>
      </c>
      <c r="H95" s="10">
        <f t="shared" si="1"/>
        <v>5.82</v>
      </c>
      <c r="J95">
        <f>AVERAGE(H44:L47)</f>
        <v>6.214999999999999</v>
      </c>
      <c r="K95" s="6">
        <f>_xlfn.STDEV.P(H95:H98)</f>
        <v>0.31823733281939126</v>
      </c>
      <c r="M95" s="10">
        <f t="shared" si="8"/>
        <v>11.32</v>
      </c>
      <c r="O95">
        <f>AVERAGE(M44:Q47)</f>
        <v>10.63</v>
      </c>
      <c r="P95" s="6">
        <f>_xlfn.STDEV.P(M95:M98)</f>
        <v>0.47549973711874971</v>
      </c>
      <c r="R95" s="10">
        <f t="shared" si="3"/>
        <v>13.38</v>
      </c>
      <c r="T95">
        <f>AVERAGE(R44:V47)</f>
        <v>12.62</v>
      </c>
      <c r="U95" s="6">
        <f>_xlfn.STDEV.P(R95:R98)</f>
        <v>0.55641710972974223</v>
      </c>
      <c r="W95" s="10">
        <f t="shared" si="4"/>
        <v>15.639999999999997</v>
      </c>
      <c r="Y95">
        <f>AVERAGE(W44:AA47)</f>
        <v>14.470000000000002</v>
      </c>
      <c r="Z95" s="6">
        <f>_xlfn.STDEV.P(W95:W98)</f>
        <v>0.82734515167492095</v>
      </c>
      <c r="AB95" s="10">
        <f t="shared" si="5"/>
        <v>16.52</v>
      </c>
      <c r="AD95">
        <f>AVERAGE(AB44:AF47)</f>
        <v>15.020000000000001</v>
      </c>
      <c r="AE95" s="6">
        <f>_xlfn.STDEV.P(AB95:AB98)</f>
        <v>0.95571962415762968</v>
      </c>
      <c r="AG95" s="10">
        <f t="shared" si="6"/>
        <v>16.600000000000001</v>
      </c>
      <c r="AI95">
        <f>AVERAGE(AG44:AK47)</f>
        <v>15.135</v>
      </c>
      <c r="AJ95" s="6">
        <f>_xlfn.STDEV.P(AG95:AG98)</f>
        <v>0.95198476878572047</v>
      </c>
      <c r="AL95" s="10">
        <f t="shared" si="7"/>
        <v>16.740000000000002</v>
      </c>
      <c r="AN95">
        <f>AVERAGE(AL44:AP47)</f>
        <v>15.24</v>
      </c>
      <c r="AO95" s="6">
        <f>_xlfn.STDEV.P(AL95:AL98)</f>
        <v>0.97344748189103725</v>
      </c>
    </row>
    <row r="96" spans="1:41" x14ac:dyDescent="0.25">
      <c r="A96" s="34"/>
      <c r="B96" s="33">
        <v>2</v>
      </c>
      <c r="C96" s="10">
        <f t="shared" si="9"/>
        <v>4.34</v>
      </c>
      <c r="E96" s="9"/>
      <c r="F96" s="6"/>
      <c r="H96" s="10">
        <f t="shared" si="1"/>
        <v>6.1</v>
      </c>
      <c r="J96" s="9"/>
      <c r="K96" s="6"/>
      <c r="M96" s="10">
        <f t="shared" si="8"/>
        <v>10.14</v>
      </c>
      <c r="O96" s="9"/>
      <c r="P96" s="6"/>
      <c r="R96" s="10">
        <f t="shared" si="3"/>
        <v>11.82</v>
      </c>
      <c r="T96" s="9"/>
      <c r="U96" s="6"/>
      <c r="W96" s="10">
        <f t="shared" si="4"/>
        <v>13.680000000000001</v>
      </c>
      <c r="Y96" s="9"/>
      <c r="Z96" s="6"/>
      <c r="AB96" s="10">
        <f t="shared" si="5"/>
        <v>14.2</v>
      </c>
      <c r="AD96" s="9"/>
      <c r="AE96" s="6"/>
      <c r="AG96" s="10">
        <f t="shared" si="6"/>
        <v>14.3</v>
      </c>
      <c r="AI96" s="9"/>
      <c r="AJ96" s="6"/>
      <c r="AL96" s="10">
        <f t="shared" si="7"/>
        <v>14.459999999999999</v>
      </c>
      <c r="AN96" s="9"/>
      <c r="AO96" s="6"/>
    </row>
    <row r="97" spans="1:41" x14ac:dyDescent="0.25">
      <c r="A97" s="34"/>
      <c r="B97" s="33">
        <v>3</v>
      </c>
      <c r="C97" s="10">
        <f t="shared" si="9"/>
        <v>4.6199999999999992</v>
      </c>
      <c r="F97" s="6"/>
      <c r="H97" s="10">
        <f t="shared" si="1"/>
        <v>6.7</v>
      </c>
      <c r="K97" s="6"/>
      <c r="M97" s="10">
        <f t="shared" si="8"/>
        <v>10.819999999999999</v>
      </c>
      <c r="P97" s="6"/>
      <c r="R97" s="10">
        <f t="shared" si="3"/>
        <v>12.739999999999998</v>
      </c>
      <c r="U97" s="6"/>
      <c r="W97" s="10">
        <f t="shared" si="4"/>
        <v>14.86</v>
      </c>
      <c r="Z97" s="6"/>
      <c r="AB97" s="10">
        <f t="shared" si="5"/>
        <v>15.180000000000001</v>
      </c>
      <c r="AE97" s="6"/>
      <c r="AG97" s="10">
        <f t="shared" si="6"/>
        <v>15.36</v>
      </c>
      <c r="AJ97" s="6"/>
      <c r="AL97" s="10">
        <f t="shared" si="7"/>
        <v>15.459999999999999</v>
      </c>
      <c r="AO97" s="6"/>
    </row>
    <row r="98" spans="1:41" ht="15.75" thickBot="1" x14ac:dyDescent="0.3">
      <c r="A98" s="27"/>
      <c r="B98" s="26">
        <v>4</v>
      </c>
      <c r="C98" s="10">
        <f t="shared" si="9"/>
        <v>4.58</v>
      </c>
      <c r="F98" s="6"/>
      <c r="H98" s="10">
        <f t="shared" si="1"/>
        <v>6.24</v>
      </c>
      <c r="K98" s="6"/>
      <c r="M98" s="10">
        <f t="shared" si="8"/>
        <v>10.239999999999998</v>
      </c>
      <c r="P98" s="6"/>
      <c r="R98" s="10">
        <f t="shared" si="3"/>
        <v>12.540000000000001</v>
      </c>
      <c r="U98" s="6"/>
      <c r="W98" s="10">
        <f t="shared" si="4"/>
        <v>13.7</v>
      </c>
      <c r="Z98" s="6"/>
      <c r="AB98" s="10">
        <f t="shared" si="5"/>
        <v>14.179999999999998</v>
      </c>
      <c r="AE98" s="6"/>
      <c r="AG98" s="10">
        <f t="shared" si="6"/>
        <v>14.279999999999998</v>
      </c>
      <c r="AJ98" s="6"/>
      <c r="AL98" s="10">
        <f t="shared" si="7"/>
        <v>14.3</v>
      </c>
      <c r="AO98" s="6"/>
    </row>
    <row r="99" spans="1:41" x14ac:dyDescent="0.25">
      <c r="A99" s="48" t="s">
        <v>35</v>
      </c>
      <c r="B99" s="47">
        <v>1</v>
      </c>
      <c r="C99" s="10">
        <f t="shared" si="9"/>
        <v>4.5</v>
      </c>
      <c r="E99">
        <f>AVERAGE(C48:G51)</f>
        <v>4.6949999999999994</v>
      </c>
      <c r="F99" s="6">
        <f>_xlfn.STDEV.P(C99:C102)</f>
        <v>0.2586020108197149</v>
      </c>
      <c r="H99" s="10">
        <f t="shared" si="1"/>
        <v>6.02</v>
      </c>
      <c r="J99">
        <f>AVERAGE(H48:L51)</f>
        <v>6.65</v>
      </c>
      <c r="K99" s="6">
        <f>_xlfn.STDEV.P(H99:H102)</f>
        <v>0.43943145085439672</v>
      </c>
      <c r="M99" s="10">
        <f t="shared" si="8"/>
        <v>12.419999999999998</v>
      </c>
      <c r="O99">
        <f>AVERAGE(M48:Q51)</f>
        <v>13.275</v>
      </c>
      <c r="P99" s="6">
        <f>_xlfn.STDEV.P(M99:M102)</f>
        <v>0.519879793798529</v>
      </c>
      <c r="R99" s="10">
        <f t="shared" si="3"/>
        <v>16.54</v>
      </c>
      <c r="T99">
        <f>AVERAGE(R48:V51)</f>
        <v>17.254999999999999</v>
      </c>
      <c r="U99" s="6">
        <f>_xlfn.STDEV.P(R99:R102)</f>
        <v>0.49201117873479344</v>
      </c>
      <c r="W99" s="10">
        <f t="shared" si="4"/>
        <v>19.919999999999998</v>
      </c>
      <c r="Y99">
        <f>AVERAGE(W48:AA51)</f>
        <v>19.334999999999997</v>
      </c>
      <c r="Z99" s="6">
        <f>_xlfn.STDEV.P(W99:W102)</f>
        <v>0.36942522924131627</v>
      </c>
      <c r="AB99" s="10">
        <f t="shared" si="5"/>
        <v>20.78</v>
      </c>
      <c r="AD99">
        <f>AVERAGE(AB48:AF51)</f>
        <v>20.279999999999998</v>
      </c>
      <c r="AE99" s="6">
        <f>_xlfn.STDEV.P(AB99:AB102)</f>
        <v>0.38935844667863662</v>
      </c>
      <c r="AG99" s="10">
        <f t="shared" si="6"/>
        <v>20.740000000000002</v>
      </c>
      <c r="AI99">
        <f>AVERAGE(AG48:AK51)</f>
        <v>20.16</v>
      </c>
      <c r="AJ99" s="6">
        <f>_xlfn.STDEV.P(AG99:AG102)</f>
        <v>0.69928534948188381</v>
      </c>
      <c r="AL99" s="10">
        <f t="shared" si="7"/>
        <v>20.9</v>
      </c>
      <c r="AN99">
        <f>AVERAGE(AL48:AP51)</f>
        <v>20.404999999999998</v>
      </c>
      <c r="AO99" s="6">
        <f>_xlfn.STDEV.P(AL99:AL102)</f>
        <v>0.53016506863428836</v>
      </c>
    </row>
    <row r="100" spans="1:41" x14ac:dyDescent="0.25">
      <c r="A100" s="34"/>
      <c r="B100" s="33">
        <v>2</v>
      </c>
      <c r="C100" s="10">
        <f t="shared" si="9"/>
        <v>4.58</v>
      </c>
      <c r="E100" s="9"/>
      <c r="F100" s="6"/>
      <c r="H100" s="10">
        <f t="shared" si="1"/>
        <v>6.62</v>
      </c>
      <c r="J100" s="9"/>
      <c r="K100" s="6"/>
      <c r="M100" s="10">
        <f t="shared" si="8"/>
        <v>13.34</v>
      </c>
      <c r="O100" s="9"/>
      <c r="P100" s="6"/>
      <c r="R100" s="10">
        <f t="shared" si="3"/>
        <v>17.059999999999999</v>
      </c>
      <c r="T100" s="9"/>
      <c r="U100" s="6"/>
      <c r="W100" s="10">
        <f t="shared" si="4"/>
        <v>19.38</v>
      </c>
      <c r="Y100" s="9"/>
      <c r="Z100" s="6"/>
      <c r="AB100" s="10">
        <f t="shared" si="5"/>
        <v>20.54</v>
      </c>
      <c r="AD100" s="9"/>
      <c r="AE100" s="6"/>
      <c r="AG100" s="10">
        <f t="shared" si="6"/>
        <v>20.68</v>
      </c>
      <c r="AI100" s="9"/>
      <c r="AJ100" s="6"/>
      <c r="AL100" s="10">
        <f t="shared" si="7"/>
        <v>20.7</v>
      </c>
      <c r="AN100" s="9"/>
      <c r="AO100" s="6"/>
    </row>
    <row r="101" spans="1:41" x14ac:dyDescent="0.25">
      <c r="A101" s="34"/>
      <c r="B101" s="33">
        <v>3</v>
      </c>
      <c r="C101" s="10">
        <f t="shared" si="9"/>
        <v>4.5599999999999996</v>
      </c>
      <c r="F101" s="6"/>
      <c r="H101" s="10">
        <f t="shared" si="1"/>
        <v>6.7</v>
      </c>
      <c r="K101" s="6"/>
      <c r="M101" s="10">
        <f t="shared" si="8"/>
        <v>13.540000000000001</v>
      </c>
      <c r="P101" s="6"/>
      <c r="R101" s="10">
        <f t="shared" si="3"/>
        <v>17.66</v>
      </c>
      <c r="U101" s="6"/>
      <c r="W101" s="10">
        <f t="shared" si="4"/>
        <v>18.98</v>
      </c>
      <c r="Z101" s="6"/>
      <c r="AB101" s="10">
        <f t="shared" si="5"/>
        <v>19.899999999999999</v>
      </c>
      <c r="AE101" s="6"/>
      <c r="AG101" s="10">
        <f t="shared" si="6"/>
        <v>20.22</v>
      </c>
      <c r="AJ101" s="6"/>
      <c r="AL101" s="10">
        <f t="shared" si="7"/>
        <v>20.5</v>
      </c>
      <c r="AO101" s="6"/>
    </row>
    <row r="102" spans="1:41" ht="15.75" thickBot="1" x14ac:dyDescent="0.3">
      <c r="A102" s="27"/>
      <c r="B102" s="26">
        <v>4</v>
      </c>
      <c r="C102" s="18">
        <f t="shared" si="9"/>
        <v>5.14</v>
      </c>
      <c r="D102" s="3"/>
      <c r="E102" s="3"/>
      <c r="F102" s="2"/>
      <c r="H102" s="18">
        <f t="shared" si="1"/>
        <v>7.26</v>
      </c>
      <c r="I102" s="3"/>
      <c r="J102" s="3"/>
      <c r="K102" s="2"/>
      <c r="M102" s="18">
        <f t="shared" si="8"/>
        <v>13.8</v>
      </c>
      <c r="N102" s="3"/>
      <c r="O102" s="3"/>
      <c r="P102" s="2"/>
      <c r="R102" s="18">
        <f t="shared" si="3"/>
        <v>17.760000000000002</v>
      </c>
      <c r="S102" s="3"/>
      <c r="T102" s="3"/>
      <c r="U102" s="2"/>
      <c r="W102" s="18">
        <f t="shared" si="4"/>
        <v>19.060000000000002</v>
      </c>
      <c r="X102" s="3"/>
      <c r="Y102" s="3"/>
      <c r="Z102" s="2"/>
      <c r="AB102" s="18">
        <f t="shared" si="5"/>
        <v>19.899999999999999</v>
      </c>
      <c r="AC102" s="3"/>
      <c r="AD102" s="3"/>
      <c r="AE102" s="2"/>
      <c r="AG102" s="18">
        <f t="shared" si="6"/>
        <v>19</v>
      </c>
      <c r="AH102" s="3"/>
      <c r="AI102" s="3"/>
      <c r="AJ102" s="2"/>
      <c r="AL102" s="18">
        <f t="shared" si="7"/>
        <v>19.52</v>
      </c>
      <c r="AM102" s="3"/>
      <c r="AN102" s="3"/>
      <c r="AO102" s="2"/>
    </row>
    <row r="104" spans="1:41" x14ac:dyDescent="0.25">
      <c r="A104" s="1"/>
    </row>
    <row r="107" spans="1:41" ht="21" x14ac:dyDescent="0.35">
      <c r="A107" s="17" t="s">
        <v>14</v>
      </c>
    </row>
    <row r="108" spans="1:41" ht="15.75" thickBot="1" x14ac:dyDescent="0.3"/>
    <row r="109" spans="1:41" x14ac:dyDescent="0.25">
      <c r="A109" s="13">
        <v>1</v>
      </c>
      <c r="B109" s="12">
        <f>E55</f>
        <v>5.2900000000000009</v>
      </c>
      <c r="C109" s="11"/>
      <c r="E109">
        <f>J55-E55</f>
        <v>1.9549999999999992</v>
      </c>
      <c r="G109" s="7"/>
      <c r="H109">
        <f>O55-J55</f>
        <v>3.0249999999999995</v>
      </c>
      <c r="I109" s="6"/>
      <c r="K109">
        <f>T55-O55</f>
        <v>0.6899999999999995</v>
      </c>
      <c r="M109" s="7"/>
      <c r="N109">
        <f>Y55-T55</f>
        <v>0.38500000000000156</v>
      </c>
      <c r="O109" s="6"/>
      <c r="P109" s="7"/>
      <c r="Q109">
        <f>AD55-Y55</f>
        <v>0.17499999999999893</v>
      </c>
      <c r="R109" s="6"/>
      <c r="T109">
        <f>AI55-AD55</f>
        <v>0.20000000000000284</v>
      </c>
      <c r="V109" s="7"/>
      <c r="W109">
        <f>AN55-AI55</f>
        <v>2.4999999999998579E-2</v>
      </c>
      <c r="X109" s="6"/>
      <c r="Y109" s="7"/>
      <c r="AC109" s="7">
        <f>SUM(B109,E109,H109,K109,N109,Q109,T109,W109)</f>
        <v>11.745000000000001</v>
      </c>
      <c r="AD109" s="6" t="s">
        <v>11</v>
      </c>
      <c r="AE109">
        <f>AN55</f>
        <v>11.745000000000001</v>
      </c>
      <c r="AF109" s="6" t="s">
        <v>11</v>
      </c>
    </row>
    <row r="110" spans="1:41" x14ac:dyDescent="0.25">
      <c r="A110" s="8"/>
      <c r="B110">
        <f>100/$AN$55*B109</f>
        <v>45.040442741592173</v>
      </c>
      <c r="C110" s="6" t="s">
        <v>10</v>
      </c>
      <c r="E110">
        <f>100/$AN$55*E109</f>
        <v>16.645381013197095</v>
      </c>
      <c r="F110" t="s">
        <v>10</v>
      </c>
      <c r="G110" s="7"/>
      <c r="H110">
        <f>100/$AN$55*H109</f>
        <v>25.755640698169426</v>
      </c>
      <c r="I110" s="6" t="s">
        <v>10</v>
      </c>
      <c r="K110">
        <f>100/$AN$55*K109</f>
        <v>5.8748403575989734</v>
      </c>
      <c r="L110" t="s">
        <v>10</v>
      </c>
      <c r="M110" s="7"/>
      <c r="N110">
        <f>100/$AN$55*N109</f>
        <v>3.2779906343124865</v>
      </c>
      <c r="O110" s="6" t="s">
        <v>10</v>
      </c>
      <c r="P110" s="7"/>
      <c r="Q110">
        <f>100/$AN$55*Q109</f>
        <v>1.4899957428692969</v>
      </c>
      <c r="R110" s="6" t="s">
        <v>10</v>
      </c>
      <c r="T110">
        <f>100/$AN$55*T109</f>
        <v>1.7028522775649453</v>
      </c>
      <c r="U110" t="s">
        <v>10</v>
      </c>
      <c r="V110" s="7"/>
      <c r="W110">
        <f>100/$AN$55*W109</f>
        <v>0.21285653469560303</v>
      </c>
      <c r="X110" s="6" t="s">
        <v>10</v>
      </c>
      <c r="Y110" s="7"/>
      <c r="AC110">
        <f>100/$AN$55*AC109</f>
        <v>100</v>
      </c>
      <c r="AD110" s="6" t="s">
        <v>10</v>
      </c>
      <c r="AF110" s="6"/>
    </row>
    <row r="111" spans="1:41" x14ac:dyDescent="0.25">
      <c r="A111" s="8"/>
      <c r="C111" s="6"/>
      <c r="G111" s="7"/>
      <c r="I111" s="6"/>
      <c r="M111" s="7"/>
      <c r="O111" s="6"/>
      <c r="P111" s="7"/>
      <c r="R111" s="6"/>
      <c r="V111" s="7"/>
      <c r="X111" s="6"/>
      <c r="Y111" s="7"/>
      <c r="AC111" s="7"/>
      <c r="AD111" s="6"/>
      <c r="AF111" s="6"/>
    </row>
    <row r="112" spans="1:41" x14ac:dyDescent="0.25">
      <c r="A112" s="8"/>
      <c r="C112" s="6"/>
      <c r="G112" s="7"/>
      <c r="I112" s="6"/>
      <c r="M112" s="7"/>
      <c r="O112" s="6"/>
      <c r="P112" s="7"/>
      <c r="R112" s="6"/>
      <c r="V112" s="7"/>
      <c r="X112" s="6"/>
      <c r="Y112" s="7"/>
      <c r="AC112" s="7"/>
      <c r="AD112" s="6"/>
      <c r="AF112" s="6"/>
    </row>
    <row r="113" spans="1:32" x14ac:dyDescent="0.25">
      <c r="A113" s="8">
        <v>2</v>
      </c>
      <c r="B113">
        <f>E59</f>
        <v>4.8950000000000005</v>
      </c>
      <c r="C113" s="6"/>
      <c r="E113">
        <f>J59-E59</f>
        <v>2.1949999999999985</v>
      </c>
      <c r="G113" s="7"/>
      <c r="H113">
        <f>O59-J59</f>
        <v>2.4350000000000014</v>
      </c>
      <c r="I113" s="6"/>
      <c r="K113">
        <f>T59-O59</f>
        <v>0.59000000000000341</v>
      </c>
      <c r="M113" s="7"/>
      <c r="N113">
        <f>Y59-T59</f>
        <v>0.32999999999999474</v>
      </c>
      <c r="O113" s="6"/>
      <c r="P113" s="7"/>
      <c r="Q113">
        <f>AD59-Y59</f>
        <v>0.56500000000000306</v>
      </c>
      <c r="R113" s="6"/>
      <c r="T113">
        <f>AI59-AD59</f>
        <v>-0.25000000000000178</v>
      </c>
      <c r="V113" s="7"/>
      <c r="W113">
        <f>AN59-AI59</f>
        <v>0.12500000000000178</v>
      </c>
      <c r="X113" s="6"/>
      <c r="Y113" s="7"/>
      <c r="AC113" s="10">
        <f>SUM(B113,E113,H113,K113,N113,Q113,T113,W113)</f>
        <v>10.885000000000002</v>
      </c>
      <c r="AD113" s="6" t="s">
        <v>11</v>
      </c>
      <c r="AE113" s="9">
        <f>AN59</f>
        <v>10.885000000000002</v>
      </c>
      <c r="AF113" s="6" t="s">
        <v>11</v>
      </c>
    </row>
    <row r="114" spans="1:32" x14ac:dyDescent="0.25">
      <c r="A114" s="8"/>
      <c r="B114">
        <f>100/$AN$59*B113</f>
        <v>44.970142397795129</v>
      </c>
      <c r="C114" s="6" t="s">
        <v>10</v>
      </c>
      <c r="E114">
        <f>100/$AN$59*E113</f>
        <v>20.165365181442333</v>
      </c>
      <c r="F114" t="s">
        <v>10</v>
      </c>
      <c r="G114" s="7"/>
      <c r="H114">
        <f>100/$AN$59*H113</f>
        <v>22.370234267340386</v>
      </c>
      <c r="I114" s="6" t="s">
        <v>10</v>
      </c>
      <c r="K114">
        <f>100/$AN$59*K113</f>
        <v>5.4203031694993413</v>
      </c>
      <c r="L114" t="s">
        <v>10</v>
      </c>
      <c r="M114" s="7"/>
      <c r="N114">
        <f>100/$AN$59*N113</f>
        <v>3.0316949931097352</v>
      </c>
      <c r="O114" s="6" t="s">
        <v>10</v>
      </c>
      <c r="P114" s="7"/>
      <c r="Q114">
        <f>100/$AN$59*Q113</f>
        <v>5.1906293063849605</v>
      </c>
      <c r="R114" s="6" t="s">
        <v>10</v>
      </c>
      <c r="T114">
        <f>100/$AN$59*T113</f>
        <v>-2.2967386311437918</v>
      </c>
      <c r="U114" t="s">
        <v>10</v>
      </c>
      <c r="V114" s="7"/>
      <c r="W114">
        <f>100/$AN$59*W113</f>
        <v>1.1483693155719039</v>
      </c>
      <c r="X114" s="6" t="s">
        <v>10</v>
      </c>
      <c r="Y114" s="7"/>
      <c r="AC114">
        <f>100/$AN$59*AC113</f>
        <v>100</v>
      </c>
      <c r="AD114" s="6" t="s">
        <v>10</v>
      </c>
      <c r="AF114" s="6"/>
    </row>
    <row r="115" spans="1:32" x14ac:dyDescent="0.25">
      <c r="A115" s="8"/>
      <c r="C115" s="6"/>
      <c r="G115" s="7"/>
      <c r="I115" s="6"/>
      <c r="M115" s="7"/>
      <c r="O115" s="6"/>
      <c r="P115" s="7"/>
      <c r="R115" s="6"/>
      <c r="V115" s="7"/>
      <c r="X115" s="6"/>
      <c r="Y115" s="7"/>
      <c r="AC115" s="7"/>
      <c r="AD115" s="6"/>
      <c r="AF115" s="6"/>
    </row>
    <row r="116" spans="1:32" x14ac:dyDescent="0.25">
      <c r="A116" s="8"/>
      <c r="C116" s="6"/>
      <c r="G116" s="7"/>
      <c r="I116" s="6"/>
      <c r="M116" s="7"/>
      <c r="O116" s="6"/>
      <c r="P116" s="7"/>
      <c r="R116" s="6"/>
      <c r="V116" s="7"/>
      <c r="X116" s="6"/>
      <c r="Y116" s="7"/>
      <c r="AC116" s="7"/>
      <c r="AD116" s="6"/>
      <c r="AF116" s="6"/>
    </row>
    <row r="117" spans="1:32" x14ac:dyDescent="0.25">
      <c r="A117" s="8">
        <v>3</v>
      </c>
      <c r="B117">
        <f>E63</f>
        <v>5.3100000000000005</v>
      </c>
      <c r="C117" s="6"/>
      <c r="E117">
        <f>J63-E63</f>
        <v>2.1199999999999992</v>
      </c>
      <c r="G117" s="7"/>
      <c r="H117">
        <f>O63-J63</f>
        <v>6.0500000000000007</v>
      </c>
      <c r="I117" s="6"/>
      <c r="K117">
        <f>T63-O63</f>
        <v>1.0099999999999998</v>
      </c>
      <c r="M117" s="7"/>
      <c r="N117">
        <f>Y63-T63</f>
        <v>0.69499999999999851</v>
      </c>
      <c r="O117" s="6"/>
      <c r="P117" s="7"/>
      <c r="Q117">
        <f>AD63-Y63</f>
        <v>0.16499999999999915</v>
      </c>
      <c r="R117" s="6"/>
      <c r="T117">
        <f>AI63-AD63</f>
        <v>0.3149999999999995</v>
      </c>
      <c r="V117" s="7"/>
      <c r="W117">
        <f>AN63-AI63</f>
        <v>-7.4999999999997513E-2</v>
      </c>
      <c r="X117" s="6"/>
      <c r="Y117" s="7"/>
      <c r="AC117" s="10">
        <f>SUM(B117,E117,H117,K117,N117,Q117,T117,W117)</f>
        <v>15.59</v>
      </c>
      <c r="AD117" s="6" t="s">
        <v>11</v>
      </c>
      <c r="AE117">
        <f>AN63</f>
        <v>15.59</v>
      </c>
      <c r="AF117" s="6" t="s">
        <v>11</v>
      </c>
    </row>
    <row r="118" spans="1:32" x14ac:dyDescent="0.25">
      <c r="A118" s="8"/>
      <c r="B118">
        <f>100/$AN$63*B117</f>
        <v>34.060295060936504</v>
      </c>
      <c r="C118" s="6" t="s">
        <v>10</v>
      </c>
      <c r="E118">
        <f>100/$AN$63*E117</f>
        <v>13.598460551635659</v>
      </c>
      <c r="F118" t="s">
        <v>10</v>
      </c>
      <c r="G118" s="7"/>
      <c r="H118">
        <f>100/$AN$63*H117</f>
        <v>38.806927517639515</v>
      </c>
      <c r="I118" s="6" t="s">
        <v>10</v>
      </c>
      <c r="K118">
        <f>100/$AN$63*K117</f>
        <v>6.4785118665811403</v>
      </c>
      <c r="L118" t="s">
        <v>10</v>
      </c>
      <c r="M118" s="7"/>
      <c r="N118">
        <f>100/$AN$63*N117</f>
        <v>4.4579858883899846</v>
      </c>
      <c r="O118" s="6" t="s">
        <v>10</v>
      </c>
      <c r="P118" s="7"/>
      <c r="Q118">
        <f>100/$AN$63*Q117</f>
        <v>1.0583707504810722</v>
      </c>
      <c r="R118" s="6" t="s">
        <v>10</v>
      </c>
      <c r="T118">
        <f>100/$AN$63*T117</f>
        <v>2.0205259781911451</v>
      </c>
      <c r="U118" t="s">
        <v>10</v>
      </c>
      <c r="V118" s="7"/>
      <c r="W118">
        <f>100/$AN$63*W117</f>
        <v>-0.48107761385501935</v>
      </c>
      <c r="X118" s="6" t="s">
        <v>10</v>
      </c>
      <c r="Y118" s="7"/>
      <c r="AC118">
        <f>100/$AN$63*AC117</f>
        <v>100</v>
      </c>
      <c r="AD118" s="6" t="s">
        <v>10</v>
      </c>
      <c r="AF118" s="6"/>
    </row>
    <row r="119" spans="1:32" x14ac:dyDescent="0.25">
      <c r="A119" s="8"/>
      <c r="C119" s="6"/>
      <c r="G119" s="7"/>
      <c r="I119" s="6"/>
      <c r="M119" s="7"/>
      <c r="O119" s="6"/>
      <c r="P119" s="7"/>
      <c r="R119" s="6"/>
      <c r="V119" s="7"/>
      <c r="X119" s="6"/>
      <c r="Y119" s="7"/>
      <c r="AC119" s="7"/>
      <c r="AD119" s="6"/>
      <c r="AF119" s="6"/>
    </row>
    <row r="120" spans="1:32" x14ac:dyDescent="0.25">
      <c r="A120" s="8"/>
      <c r="C120" s="6"/>
      <c r="G120" s="7"/>
      <c r="I120" s="6"/>
      <c r="M120" s="7"/>
      <c r="O120" s="6"/>
      <c r="P120" s="7"/>
      <c r="R120" s="6"/>
      <c r="V120" s="7"/>
      <c r="X120" s="6"/>
      <c r="Y120" s="7"/>
      <c r="AC120" s="7"/>
      <c r="AD120" s="6"/>
      <c r="AF120" s="6"/>
    </row>
    <row r="121" spans="1:32" x14ac:dyDescent="0.25">
      <c r="A121" s="8">
        <v>4</v>
      </c>
      <c r="B121">
        <f>E67</f>
        <v>5.08</v>
      </c>
      <c r="C121" s="6"/>
      <c r="E121">
        <f>J67-E67</f>
        <v>2.4000000000000012</v>
      </c>
      <c r="G121" s="7"/>
      <c r="H121">
        <f>O67-J67</f>
        <v>6.3649999999999975</v>
      </c>
      <c r="I121" s="6"/>
      <c r="K121">
        <f>T67-O67</f>
        <v>1.4649999999999999</v>
      </c>
      <c r="M121" s="7"/>
      <c r="N121">
        <f>Y67-T67</f>
        <v>0.43000000000000149</v>
      </c>
      <c r="O121" s="6"/>
      <c r="P121" s="7"/>
      <c r="Q121">
        <f>AD67-Y67</f>
        <v>0.70500000000000007</v>
      </c>
      <c r="R121" s="6"/>
      <c r="T121">
        <f>AI67-AD67</f>
        <v>6.4999999999997726E-2</v>
      </c>
      <c r="V121" s="7"/>
      <c r="W121">
        <f>AN67-AI67</f>
        <v>-3.9999999999999147E-2</v>
      </c>
      <c r="X121" s="6"/>
      <c r="Y121" s="7"/>
      <c r="AC121" s="10">
        <f>SUM(B121,E121,H121,K121,N121,Q121,T121,W121)</f>
        <v>16.47</v>
      </c>
      <c r="AD121" s="6" t="s">
        <v>11</v>
      </c>
      <c r="AE121">
        <f>AN67</f>
        <v>16.47</v>
      </c>
      <c r="AF121" s="6" t="s">
        <v>11</v>
      </c>
    </row>
    <row r="122" spans="1:32" x14ac:dyDescent="0.25">
      <c r="A122" s="8"/>
      <c r="B122">
        <f>100/$AN$67*B121</f>
        <v>30.843958712811173</v>
      </c>
      <c r="C122" s="6" t="s">
        <v>10</v>
      </c>
      <c r="E122">
        <f>100/$AN$67*E121</f>
        <v>14.571948998178515</v>
      </c>
      <c r="F122" t="s">
        <v>10</v>
      </c>
      <c r="G122" s="7"/>
      <c r="H122">
        <f>100/$AN$67*H121</f>
        <v>38.646023072252568</v>
      </c>
      <c r="I122" s="6" t="s">
        <v>10</v>
      </c>
      <c r="K122">
        <f>100/$AN$67*K121</f>
        <v>8.8949605343047953</v>
      </c>
      <c r="L122" t="s">
        <v>10</v>
      </c>
      <c r="M122" s="7"/>
      <c r="N122">
        <f>100/$AN$67*N121</f>
        <v>2.6108075288403247</v>
      </c>
      <c r="O122" s="6" t="s">
        <v>10</v>
      </c>
      <c r="P122" s="7"/>
      <c r="Q122">
        <f>100/$AN$67*Q121</f>
        <v>4.2805100182149367</v>
      </c>
      <c r="R122" s="6" t="s">
        <v>10</v>
      </c>
      <c r="T122">
        <f>100/$AN$67*T121</f>
        <v>0.39465695203398743</v>
      </c>
      <c r="U122" t="s">
        <v>10</v>
      </c>
      <c r="V122" s="7"/>
      <c r="W122">
        <f>100/$AN$67*W121</f>
        <v>-0.24286581663630327</v>
      </c>
      <c r="X122" s="6" t="s">
        <v>10</v>
      </c>
      <c r="Y122" s="7"/>
      <c r="AC122">
        <f>100/$AN$67*AC121</f>
        <v>100</v>
      </c>
      <c r="AD122" s="6" t="s">
        <v>10</v>
      </c>
      <c r="AF122" s="6"/>
    </row>
    <row r="123" spans="1:32" x14ac:dyDescent="0.25">
      <c r="A123" s="8"/>
      <c r="C123" s="6"/>
      <c r="G123" s="7"/>
      <c r="I123" s="6"/>
      <c r="M123" s="7"/>
      <c r="O123" s="6"/>
      <c r="P123" s="7"/>
      <c r="R123" s="6"/>
      <c r="V123" s="7"/>
      <c r="X123" s="6"/>
      <c r="Y123" s="7"/>
      <c r="AC123" s="7"/>
      <c r="AD123" s="6"/>
      <c r="AF123" s="6"/>
    </row>
    <row r="124" spans="1:32" x14ac:dyDescent="0.25">
      <c r="A124" s="8"/>
      <c r="C124" s="6"/>
      <c r="G124" s="7"/>
      <c r="I124" s="6"/>
      <c r="M124" s="7"/>
      <c r="O124" s="6"/>
      <c r="P124" s="7"/>
      <c r="R124" s="6"/>
      <c r="V124" s="7"/>
      <c r="X124" s="6"/>
      <c r="Y124" s="7"/>
      <c r="AC124" s="7"/>
      <c r="AD124" s="6"/>
      <c r="AF124" s="6"/>
    </row>
    <row r="125" spans="1:32" x14ac:dyDescent="0.25">
      <c r="A125" s="8">
        <v>5</v>
      </c>
      <c r="B125">
        <f>E71</f>
        <v>5.15</v>
      </c>
      <c r="C125" s="6"/>
      <c r="E125">
        <f>J71-E71</f>
        <v>1.9850000000000003</v>
      </c>
      <c r="G125" s="7"/>
      <c r="H125">
        <f>O71-J71</f>
        <v>5.7849999999999975</v>
      </c>
      <c r="I125" s="6"/>
      <c r="K125">
        <f>T71-O71</f>
        <v>1.9549999999999983</v>
      </c>
      <c r="M125" s="7"/>
      <c r="N125">
        <f>Y71-T71</f>
        <v>1.1600000000000037</v>
      </c>
      <c r="O125" s="6"/>
      <c r="P125" s="7"/>
      <c r="Q125">
        <f>AD71-Y71</f>
        <v>0.43000000000000327</v>
      </c>
      <c r="R125" s="6"/>
      <c r="T125">
        <f>AI71-AD71</f>
        <v>8.49999999999973E-2</v>
      </c>
      <c r="V125" s="7"/>
      <c r="W125">
        <f>AN71-AI71</f>
        <v>0.14499999999999957</v>
      </c>
      <c r="X125" s="6"/>
      <c r="Y125" s="7"/>
      <c r="AC125" s="10">
        <f>SUM(B125,E125,H125,K125,N125,Q125,T125,W125)</f>
        <v>16.695</v>
      </c>
      <c r="AD125" s="6" t="s">
        <v>11</v>
      </c>
      <c r="AE125" s="9">
        <f>AN71</f>
        <v>16.695</v>
      </c>
      <c r="AF125" s="6" t="s">
        <v>11</v>
      </c>
    </row>
    <row r="126" spans="1:32" x14ac:dyDescent="0.25">
      <c r="A126" s="8"/>
      <c r="B126">
        <f>100/$AN$71*B125</f>
        <v>30.847559149445942</v>
      </c>
      <c r="C126" s="6" t="s">
        <v>10</v>
      </c>
      <c r="E126">
        <f>100/$AN$71*E125</f>
        <v>11.889787361485476</v>
      </c>
      <c r="F126" s="6" t="s">
        <v>10</v>
      </c>
      <c r="H126">
        <f>100/$AN$71*H125</f>
        <v>34.65109314165916</v>
      </c>
      <c r="I126" s="6" t="s">
        <v>10</v>
      </c>
      <c r="K126">
        <f>100/$AN$71*K125</f>
        <v>11.710092842168303</v>
      </c>
      <c r="L126" s="6" t="s">
        <v>10</v>
      </c>
      <c r="N126">
        <f>100/$AN$71*N125</f>
        <v>6.9481880802635736</v>
      </c>
      <c r="O126" s="6" t="s">
        <v>10</v>
      </c>
      <c r="Q126">
        <f>100/$AN$71*Q125</f>
        <v>2.5756214435459914</v>
      </c>
      <c r="R126" s="6" t="s">
        <v>10</v>
      </c>
      <c r="T126">
        <f>100/$AN$71*T125</f>
        <v>0.50913447139860613</v>
      </c>
      <c r="U126" s="6" t="s">
        <v>10</v>
      </c>
      <c r="W126">
        <f>100/$AN$71*W125</f>
        <v>0.86852351003294137</v>
      </c>
      <c r="X126" s="6" t="s">
        <v>10</v>
      </c>
      <c r="AC126">
        <f>100/$AN$71*AC125</f>
        <v>100</v>
      </c>
      <c r="AD126" s="6" t="s">
        <v>10</v>
      </c>
      <c r="AF126" s="6"/>
    </row>
    <row r="127" spans="1:32" x14ac:dyDescent="0.25">
      <c r="A127" s="8"/>
      <c r="C127" s="6"/>
      <c r="G127" s="7"/>
      <c r="I127" s="6"/>
      <c r="M127" s="7"/>
      <c r="O127" s="6"/>
      <c r="P127" s="7"/>
      <c r="R127" s="6"/>
      <c r="V127" s="7"/>
      <c r="X127" s="6"/>
      <c r="Y127" s="7"/>
      <c r="AC127" s="7"/>
      <c r="AD127" s="6"/>
      <c r="AF127" s="6"/>
    </row>
    <row r="128" spans="1:32" x14ac:dyDescent="0.25">
      <c r="A128" s="8"/>
      <c r="C128" s="6"/>
      <c r="G128" s="7"/>
      <c r="I128" s="6"/>
      <c r="M128" s="7"/>
      <c r="O128" s="6"/>
      <c r="P128" s="7"/>
      <c r="R128" s="6"/>
      <c r="V128" s="7"/>
      <c r="X128" s="6"/>
      <c r="Y128" s="7"/>
      <c r="AC128" s="7"/>
      <c r="AD128" s="6"/>
      <c r="AF128" s="6"/>
    </row>
    <row r="129" spans="1:32" x14ac:dyDescent="0.25">
      <c r="A129" s="8">
        <v>6</v>
      </c>
      <c r="B129">
        <f>E75</f>
        <v>5.31</v>
      </c>
      <c r="C129" s="6"/>
      <c r="E129">
        <f>J75-E75</f>
        <v>1.9950000000000019</v>
      </c>
      <c r="G129" s="7"/>
      <c r="H129">
        <f>O75-J75</f>
        <v>7.8349999999999991</v>
      </c>
      <c r="I129" s="6"/>
      <c r="K129">
        <f>T75-O75</f>
        <v>4.3299999999999983</v>
      </c>
      <c r="M129" s="7"/>
      <c r="N129">
        <f>Y75-T75</f>
        <v>0.84500000000000242</v>
      </c>
      <c r="O129" s="6"/>
      <c r="P129" s="7"/>
      <c r="Q129">
        <f>AD75-Y75</f>
        <v>0.3349999999999973</v>
      </c>
      <c r="R129" s="6"/>
      <c r="T129">
        <f>AI75-AD75</f>
        <v>0.23000000000000043</v>
      </c>
      <c r="V129" s="7"/>
      <c r="W129">
        <f>AN75-AI75</f>
        <v>0.35499999999999687</v>
      </c>
      <c r="X129" s="6"/>
      <c r="Y129" s="7"/>
      <c r="AC129" s="10">
        <f>SUM(B129,E129,H129,K129,N129,Q129,T129,W129)</f>
        <v>21.234999999999996</v>
      </c>
      <c r="AD129" s="6" t="s">
        <v>11</v>
      </c>
      <c r="AE129" s="9">
        <f>AN75</f>
        <v>21.234999999999996</v>
      </c>
      <c r="AF129" s="6" t="s">
        <v>11</v>
      </c>
    </row>
    <row r="130" spans="1:32" x14ac:dyDescent="0.25">
      <c r="A130" s="8"/>
      <c r="B130">
        <f>100/$AN$75*B129</f>
        <v>25.005886508123382</v>
      </c>
      <c r="C130" s="6" t="s">
        <v>10</v>
      </c>
      <c r="E130">
        <f>100/$AN$75*E129</f>
        <v>9.3948669649164209</v>
      </c>
      <c r="F130" s="6" t="s">
        <v>10</v>
      </c>
      <c r="G130" s="7"/>
      <c r="H130">
        <f>100/$AN$75*H129</f>
        <v>36.896632917353429</v>
      </c>
      <c r="I130" s="6" t="s">
        <v>10</v>
      </c>
      <c r="K130">
        <f>100/$AN$75*K129</f>
        <v>20.390864139392509</v>
      </c>
      <c r="L130" s="6" t="s">
        <v>10</v>
      </c>
      <c r="N130">
        <f>100/$AN$75*N129</f>
        <v>3.9792794914057099</v>
      </c>
      <c r="O130" s="6" t="s">
        <v>10</v>
      </c>
      <c r="P130" s="7"/>
      <c r="Q130">
        <f>100/$AN$75*Q129</f>
        <v>1.5775841770661518</v>
      </c>
      <c r="R130" s="6" t="s">
        <v>10</v>
      </c>
      <c r="T130">
        <f>100/$AN$75*T129</f>
        <v>1.0831174947021449</v>
      </c>
      <c r="U130" s="6" t="s">
        <v>10</v>
      </c>
      <c r="W130">
        <f>100/$AN$75*W129</f>
        <v>1.6717683070402491</v>
      </c>
      <c r="X130" s="6" t="s">
        <v>10</v>
      </c>
      <c r="Y130" s="7"/>
      <c r="AC130">
        <f>100/$AN$75*AC129</f>
        <v>100</v>
      </c>
      <c r="AD130" s="6" t="s">
        <v>10</v>
      </c>
      <c r="AF130" s="6"/>
    </row>
    <row r="131" spans="1:32" x14ac:dyDescent="0.25">
      <c r="A131" s="8"/>
      <c r="C131" s="6"/>
      <c r="G131" s="7"/>
      <c r="I131" s="6"/>
      <c r="M131" s="7"/>
      <c r="O131" s="6"/>
      <c r="P131" s="7"/>
      <c r="R131" s="6"/>
      <c r="V131" s="7"/>
      <c r="X131" s="6"/>
      <c r="Y131" s="7"/>
      <c r="AC131" s="7"/>
      <c r="AD131" s="6"/>
      <c r="AF131" s="6"/>
    </row>
    <row r="132" spans="1:32" x14ac:dyDescent="0.25">
      <c r="A132" s="8"/>
      <c r="C132" s="6"/>
      <c r="G132" s="7"/>
      <c r="I132" s="6"/>
      <c r="M132" s="7"/>
      <c r="O132" s="6"/>
      <c r="P132" s="7"/>
      <c r="R132" s="6"/>
      <c r="V132" s="7"/>
      <c r="X132" s="6"/>
      <c r="Y132" s="7"/>
      <c r="AC132" s="7"/>
      <c r="AD132" s="6"/>
      <c r="AF132" s="6"/>
    </row>
    <row r="133" spans="1:32" x14ac:dyDescent="0.25">
      <c r="A133" s="8">
        <v>7</v>
      </c>
      <c r="B133">
        <f>E79</f>
        <v>4.1899999999999995</v>
      </c>
      <c r="C133" s="6"/>
      <c r="E133">
        <f>J79-E79</f>
        <v>1.9799999999999995</v>
      </c>
      <c r="G133" s="7"/>
      <c r="H133">
        <f>O79-J79</f>
        <v>2.6799999999999988</v>
      </c>
      <c r="I133" s="6"/>
      <c r="K133">
        <f>T79-O79</f>
        <v>0.67500000000000071</v>
      </c>
      <c r="M133" s="7"/>
      <c r="N133">
        <f>Y79-T79</f>
        <v>0.47000000000000064</v>
      </c>
      <c r="O133" s="6"/>
      <c r="P133" s="7"/>
      <c r="Q133">
        <f>AD79-Y79</f>
        <v>0.33999999999999808</v>
      </c>
      <c r="R133" s="6"/>
      <c r="T133">
        <f>AI79-AD79</f>
        <v>0.2300000000000022</v>
      </c>
      <c r="V133" s="7"/>
      <c r="W133">
        <f>AN79-AI79</f>
        <v>-5.0000000000007816E-3</v>
      </c>
      <c r="X133" s="6"/>
      <c r="Y133" s="7"/>
      <c r="AC133" s="10">
        <f>SUM(B133,E133,H133,K133,N133,Q133,T133,W133)</f>
        <v>10.559999999999999</v>
      </c>
      <c r="AD133" s="6" t="s">
        <v>11</v>
      </c>
      <c r="AE133">
        <f>AN79</f>
        <v>10.559999999999999</v>
      </c>
      <c r="AF133" s="6" t="s">
        <v>11</v>
      </c>
    </row>
    <row r="134" spans="1:32" x14ac:dyDescent="0.25">
      <c r="A134" s="8"/>
      <c r="B134">
        <f>100/$AN$79*B133</f>
        <v>39.678030303030305</v>
      </c>
      <c r="C134" s="6" t="s">
        <v>10</v>
      </c>
      <c r="E134">
        <f>100/$AN$79*E133</f>
        <v>18.749999999999996</v>
      </c>
      <c r="F134" s="6" t="s">
        <v>10</v>
      </c>
      <c r="G134" s="7"/>
      <c r="H134">
        <f>100/$AN$79*H133</f>
        <v>25.378787878787872</v>
      </c>
      <c r="I134" s="6" t="s">
        <v>10</v>
      </c>
      <c r="K134">
        <f>100/$AN$79*K133</f>
        <v>6.3920454545454621</v>
      </c>
      <c r="L134" s="6" t="s">
        <v>10</v>
      </c>
      <c r="N134">
        <f>100/$AN$79*N133</f>
        <v>4.4507575757575824</v>
      </c>
      <c r="O134" s="6" t="s">
        <v>10</v>
      </c>
      <c r="P134" s="7"/>
      <c r="Q134">
        <f>100/$AN$79*Q133</f>
        <v>3.219696969696952</v>
      </c>
      <c r="R134" s="6" t="s">
        <v>10</v>
      </c>
      <c r="T134">
        <f>100/$AN$79*T133</f>
        <v>2.1780303030303241</v>
      </c>
      <c r="U134" s="6" t="s">
        <v>10</v>
      </c>
      <c r="W134">
        <f>100/$AN$79*W133</f>
        <v>-4.7348484848492252E-2</v>
      </c>
      <c r="X134" s="6" t="s">
        <v>10</v>
      </c>
      <c r="Y134" s="7"/>
      <c r="AC134">
        <f>100/$AN$79*AC133</f>
        <v>100</v>
      </c>
      <c r="AD134" s="6" t="s">
        <v>10</v>
      </c>
      <c r="AF134" s="6"/>
    </row>
    <row r="135" spans="1:32" x14ac:dyDescent="0.25">
      <c r="A135" s="8"/>
      <c r="C135" s="6"/>
      <c r="G135" s="7"/>
      <c r="I135" s="6"/>
      <c r="M135" s="7"/>
      <c r="O135" s="6"/>
      <c r="P135" s="7"/>
      <c r="R135" s="6"/>
      <c r="V135" s="7"/>
      <c r="X135" s="6"/>
      <c r="Y135" s="7"/>
      <c r="AC135" s="7"/>
      <c r="AD135" s="6"/>
      <c r="AF135" s="6"/>
    </row>
    <row r="136" spans="1:32" x14ac:dyDescent="0.25">
      <c r="A136" s="8"/>
      <c r="C136" s="6"/>
      <c r="G136" s="7"/>
      <c r="I136" s="6"/>
      <c r="M136" s="7"/>
      <c r="O136" s="6"/>
      <c r="P136" s="7"/>
      <c r="R136" s="6"/>
      <c r="V136" s="7"/>
      <c r="X136" s="6"/>
      <c r="Y136" s="7"/>
      <c r="AC136" s="7"/>
      <c r="AD136" s="6"/>
      <c r="AF136" s="6"/>
    </row>
    <row r="137" spans="1:32" x14ac:dyDescent="0.25">
      <c r="A137" s="8">
        <v>8</v>
      </c>
      <c r="B137">
        <f>E83</f>
        <v>4.0599999999999996</v>
      </c>
      <c r="C137" s="6"/>
      <c r="E137">
        <f>J83-E83</f>
        <v>1.9050000000000002</v>
      </c>
      <c r="G137" s="7"/>
      <c r="H137">
        <f>O83-J83</f>
        <v>2.7300000000000004</v>
      </c>
      <c r="I137" s="6"/>
      <c r="K137">
        <f>T83-O83</f>
        <v>0.51499999999999879</v>
      </c>
      <c r="M137" s="7"/>
      <c r="N137">
        <f>Y83-T83</f>
        <v>0.45000000000000107</v>
      </c>
      <c r="O137" s="6"/>
      <c r="P137" s="7"/>
      <c r="Q137">
        <f>AD83-Y83</f>
        <v>0.16000000000000192</v>
      </c>
      <c r="R137" s="6"/>
      <c r="T137">
        <f>AI83-AD83</f>
        <v>6.9999999999998508E-2</v>
      </c>
      <c r="V137" s="7"/>
      <c r="W137">
        <f>AN83-AI83</f>
        <v>6.0000000000000497E-2</v>
      </c>
      <c r="X137" s="6"/>
      <c r="Y137" s="7"/>
      <c r="AC137" s="10">
        <f>SUM(B137,E137,H137,K137,N137,Q137,T137,W137)</f>
        <v>9.9500000000000011</v>
      </c>
      <c r="AD137" s="6" t="s">
        <v>11</v>
      </c>
      <c r="AE137">
        <f>AN83</f>
        <v>9.9500000000000011</v>
      </c>
      <c r="AF137" s="6" t="s">
        <v>11</v>
      </c>
    </row>
    <row r="138" spans="1:32" x14ac:dyDescent="0.25">
      <c r="A138" s="8"/>
      <c r="B138">
        <f>100/$AN$83*B137</f>
        <v>40.804020100502505</v>
      </c>
      <c r="C138" s="6" t="s">
        <v>10</v>
      </c>
      <c r="E138">
        <f>100/$AN$83*E137</f>
        <v>19.145728643216081</v>
      </c>
      <c r="F138" s="6" t="s">
        <v>10</v>
      </c>
      <c r="G138" s="7"/>
      <c r="H138">
        <f>100/$AN$83*H137</f>
        <v>27.437185929648244</v>
      </c>
      <c r="I138" s="6" t="s">
        <v>10</v>
      </c>
      <c r="K138">
        <f>100/$AN$83*K137</f>
        <v>5.1758793969849117</v>
      </c>
      <c r="L138" s="6" t="s">
        <v>10</v>
      </c>
      <c r="N138">
        <f>100/$AN$83*N137</f>
        <v>4.5226130653266434</v>
      </c>
      <c r="O138" s="6" t="s">
        <v>10</v>
      </c>
      <c r="P138" s="7"/>
      <c r="Q138">
        <f>100/$AN$83*Q137</f>
        <v>1.6080402010050443</v>
      </c>
      <c r="R138" s="6" t="s">
        <v>10</v>
      </c>
      <c r="T138">
        <f>100/$AN$83*T137</f>
        <v>0.70351758793968344</v>
      </c>
      <c r="U138" s="6" t="s">
        <v>10</v>
      </c>
      <c r="W138">
        <f>100/$AN$83*W137</f>
        <v>0.60301507537688936</v>
      </c>
      <c r="X138" s="6" t="s">
        <v>10</v>
      </c>
      <c r="Y138" s="7"/>
      <c r="AC138">
        <f>100/$AN$83*AC137</f>
        <v>100</v>
      </c>
      <c r="AD138" s="6" t="s">
        <v>10</v>
      </c>
      <c r="AF138" s="6"/>
    </row>
    <row r="139" spans="1:32" x14ac:dyDescent="0.25">
      <c r="A139" s="8"/>
      <c r="C139" s="6"/>
      <c r="G139" s="7"/>
      <c r="I139" s="6"/>
      <c r="M139" s="7"/>
      <c r="O139" s="6"/>
      <c r="P139" s="7"/>
      <c r="R139" s="6"/>
      <c r="V139" s="7"/>
      <c r="X139" s="6"/>
      <c r="Y139" s="7"/>
      <c r="AC139" s="7"/>
      <c r="AD139" s="6"/>
      <c r="AF139" s="6"/>
    </row>
    <row r="140" spans="1:32" x14ac:dyDescent="0.25">
      <c r="A140" s="8"/>
      <c r="C140" s="6"/>
      <c r="G140" s="7"/>
      <c r="I140" s="6"/>
      <c r="M140" s="7"/>
      <c r="O140" s="6"/>
      <c r="P140" s="7"/>
      <c r="R140" s="6"/>
      <c r="V140" s="7"/>
      <c r="X140" s="6"/>
      <c r="Y140" s="7"/>
      <c r="AC140" s="7"/>
      <c r="AD140" s="6"/>
      <c r="AF140" s="6"/>
    </row>
    <row r="141" spans="1:32" x14ac:dyDescent="0.25">
      <c r="A141" s="8">
        <v>9</v>
      </c>
      <c r="B141">
        <f>E87</f>
        <v>4.71</v>
      </c>
      <c r="C141" s="6"/>
      <c r="E141">
        <f>J87-E87</f>
        <v>2.0099999999999989</v>
      </c>
      <c r="G141" s="7"/>
      <c r="H141">
        <f>O87-J87</f>
        <v>4.4999999999999982</v>
      </c>
      <c r="I141" s="6"/>
      <c r="K141">
        <f>T87-O87</f>
        <v>1.7000000000000046</v>
      </c>
      <c r="M141" s="7"/>
      <c r="N141">
        <f>Y87-T87</f>
        <v>0.65000000000000036</v>
      </c>
      <c r="O141" s="6"/>
      <c r="P141" s="7"/>
      <c r="Q141">
        <f>AD87-Y87</f>
        <v>0.47499999999999609</v>
      </c>
      <c r="R141" s="6"/>
      <c r="T141">
        <f>AI87-AD87</f>
        <v>9.5000000000002416E-2</v>
      </c>
      <c r="V141" s="7"/>
      <c r="W141">
        <f>AN87-AI87</f>
        <v>0.10499999999999865</v>
      </c>
      <c r="X141" s="6"/>
      <c r="Y141" s="7"/>
      <c r="AC141" s="10">
        <f>SUM(B141,E141,H141,K141,N141,Q141,T141,W141)</f>
        <v>14.244999999999999</v>
      </c>
      <c r="AD141" s="6" t="s">
        <v>11</v>
      </c>
      <c r="AE141" s="9">
        <f>AN87</f>
        <v>14.244999999999999</v>
      </c>
      <c r="AF141" s="6" t="s">
        <v>11</v>
      </c>
    </row>
    <row r="142" spans="1:32" x14ac:dyDescent="0.25">
      <c r="A142" s="8"/>
      <c r="B142">
        <f>100/$AN$87*B141</f>
        <v>33.064233064233065</v>
      </c>
      <c r="C142" s="6" t="s">
        <v>10</v>
      </c>
      <c r="E142">
        <f>100/$AN$87*E141</f>
        <v>14.110214110214104</v>
      </c>
      <c r="F142" s="6" t="s">
        <v>10</v>
      </c>
      <c r="G142" s="7"/>
      <c r="H142">
        <f>100/$AN$87*H141</f>
        <v>31.590031590031579</v>
      </c>
      <c r="I142" s="6" t="s">
        <v>10</v>
      </c>
      <c r="K142">
        <f>100/$AN$87*K141</f>
        <v>11.934011934011968</v>
      </c>
      <c r="L142" s="6" t="s">
        <v>10</v>
      </c>
      <c r="N142">
        <f>100/$AN$87*N141</f>
        <v>4.5630045630045659</v>
      </c>
      <c r="O142" s="6" t="s">
        <v>10</v>
      </c>
      <c r="P142" s="7"/>
      <c r="Q142">
        <f>100/$AN$87*Q141</f>
        <v>3.3345033345033075</v>
      </c>
      <c r="R142" s="6" t="s">
        <v>10</v>
      </c>
      <c r="T142">
        <f>100/$AN$87*T141</f>
        <v>0.66690066690068395</v>
      </c>
      <c r="U142" s="6" t="s">
        <v>10</v>
      </c>
      <c r="W142">
        <f>100/$AN$87*W141</f>
        <v>0.73710073710072765</v>
      </c>
      <c r="X142" s="6" t="s">
        <v>10</v>
      </c>
      <c r="Y142" s="7"/>
      <c r="AC142">
        <f>100/$AN$87*AC141</f>
        <v>100</v>
      </c>
      <c r="AD142" s="6" t="s">
        <v>10</v>
      </c>
      <c r="AF142" s="6"/>
    </row>
    <row r="143" spans="1:32" x14ac:dyDescent="0.25">
      <c r="A143" s="8"/>
      <c r="C143" s="6"/>
      <c r="G143" s="7"/>
      <c r="I143" s="6"/>
      <c r="M143" s="7"/>
      <c r="O143" s="6"/>
      <c r="P143" s="7"/>
      <c r="R143" s="6"/>
      <c r="V143" s="7"/>
      <c r="X143" s="6"/>
      <c r="Y143" s="7"/>
      <c r="AC143" s="7"/>
      <c r="AD143" s="6"/>
      <c r="AF143" s="6"/>
    </row>
    <row r="144" spans="1:32" x14ac:dyDescent="0.25">
      <c r="A144" s="8"/>
      <c r="C144" s="6"/>
      <c r="G144" s="7"/>
      <c r="I144" s="6"/>
      <c r="M144" s="7"/>
      <c r="O144" s="6"/>
      <c r="P144" s="7"/>
      <c r="R144" s="6"/>
      <c r="V144" s="7"/>
      <c r="X144" s="6"/>
      <c r="Y144" s="7"/>
      <c r="AC144" s="7"/>
      <c r="AD144" s="6"/>
      <c r="AF144" s="6"/>
    </row>
    <row r="145" spans="1:32" x14ac:dyDescent="0.25">
      <c r="A145" s="8">
        <v>10</v>
      </c>
      <c r="B145">
        <f>E91</f>
        <v>4.5400000000000009</v>
      </c>
      <c r="C145" s="6"/>
      <c r="E145">
        <f>J91-E91</f>
        <v>2.1099999999999977</v>
      </c>
      <c r="G145" s="7"/>
      <c r="H145">
        <f>O91-J91</f>
        <v>5.5650000000000013</v>
      </c>
      <c r="I145" s="6"/>
      <c r="K145">
        <f>T91-O91</f>
        <v>1.8000000000000007</v>
      </c>
      <c r="M145" s="7"/>
      <c r="N145">
        <f>Y91-T91</f>
        <v>0.90499999999999581</v>
      </c>
      <c r="O145" s="6"/>
      <c r="P145" s="7"/>
      <c r="Q145">
        <f>AD91-Y91</f>
        <v>0.18500000000000405</v>
      </c>
      <c r="R145" s="6"/>
      <c r="T145">
        <f>AI91-AD91</f>
        <v>0.18000000000000149</v>
      </c>
      <c r="V145" s="7"/>
      <c r="W145">
        <f>AN91-AI91</f>
        <v>0.21499999999999808</v>
      </c>
      <c r="X145" s="6"/>
      <c r="Y145" s="7"/>
      <c r="AC145" s="10">
        <f>SUM(B145,E145,H145,K145,N145,Q145,T145,W145)</f>
        <v>15.5</v>
      </c>
      <c r="AD145" s="6" t="s">
        <v>11</v>
      </c>
      <c r="AE145">
        <f>AN91</f>
        <v>15.5</v>
      </c>
      <c r="AF145" s="6" t="s">
        <v>11</v>
      </c>
    </row>
    <row r="146" spans="1:32" x14ac:dyDescent="0.25">
      <c r="A146" s="8"/>
      <c r="B146">
        <f>100/$AN$91*B145</f>
        <v>29.290322580645164</v>
      </c>
      <c r="C146" s="6" t="s">
        <v>10</v>
      </c>
      <c r="E146">
        <f>100/$AN$91*E145</f>
        <v>13.612903225806436</v>
      </c>
      <c r="F146" s="6" t="s">
        <v>10</v>
      </c>
      <c r="G146" s="7"/>
      <c r="H146">
        <f>100/$AN$91*H145</f>
        <v>35.903225806451616</v>
      </c>
      <c r="I146" s="6" t="s">
        <v>10</v>
      </c>
      <c r="K146">
        <f>100/$AN$91*K145</f>
        <v>11.612903225806456</v>
      </c>
      <c r="L146" s="6" t="s">
        <v>10</v>
      </c>
      <c r="N146">
        <f>100/$AN$91*N145</f>
        <v>5.8387096774193274</v>
      </c>
      <c r="O146" s="6" t="s">
        <v>10</v>
      </c>
      <c r="P146" s="7"/>
      <c r="Q146">
        <f>100/$AN$91*Q145</f>
        <v>1.1935483870968002</v>
      </c>
      <c r="R146" s="6" t="s">
        <v>10</v>
      </c>
      <c r="T146">
        <f>100/$AN$91*T145</f>
        <v>1.1612903225806548</v>
      </c>
      <c r="U146" s="6" t="s">
        <v>10</v>
      </c>
      <c r="W146">
        <f>100/$AN$91*W145</f>
        <v>1.3870967741935358</v>
      </c>
      <c r="X146" s="6" t="s">
        <v>10</v>
      </c>
      <c r="Y146" s="7"/>
      <c r="AC146">
        <f>100/$AN$91*AC145</f>
        <v>100</v>
      </c>
      <c r="AD146" s="6" t="s">
        <v>10</v>
      </c>
      <c r="AF146" s="6"/>
    </row>
    <row r="147" spans="1:32" x14ac:dyDescent="0.25">
      <c r="A147" s="8"/>
      <c r="C147" s="6"/>
      <c r="G147" s="7"/>
      <c r="I147" s="6"/>
      <c r="M147" s="7"/>
      <c r="O147" s="6"/>
      <c r="P147" s="7"/>
      <c r="R147" s="6"/>
      <c r="V147" s="7"/>
      <c r="X147" s="6"/>
      <c r="Y147" s="7"/>
      <c r="AC147" s="7"/>
      <c r="AD147" s="6"/>
      <c r="AF147" s="6"/>
    </row>
    <row r="148" spans="1:32" x14ac:dyDescent="0.25">
      <c r="A148" s="8"/>
      <c r="C148" s="6"/>
      <c r="G148" s="7"/>
      <c r="I148" s="6"/>
      <c r="M148" s="7"/>
      <c r="O148" s="6"/>
      <c r="P148" s="7"/>
      <c r="R148" s="6"/>
      <c r="V148" s="7"/>
      <c r="X148" s="6"/>
      <c r="Y148" s="7"/>
      <c r="AC148" s="7"/>
      <c r="AD148" s="6"/>
      <c r="AF148" s="6"/>
    </row>
    <row r="149" spans="1:32" x14ac:dyDescent="0.25">
      <c r="A149" s="8">
        <v>11</v>
      </c>
      <c r="B149">
        <f>E95</f>
        <v>4.3849999999999998</v>
      </c>
      <c r="C149" s="6"/>
      <c r="E149">
        <f>J95-E95</f>
        <v>1.8299999999999992</v>
      </c>
      <c r="G149" s="7"/>
      <c r="H149">
        <f>O95-J95</f>
        <v>4.4150000000000018</v>
      </c>
      <c r="I149" s="6"/>
      <c r="K149">
        <f>T95-O95</f>
        <v>1.9899999999999984</v>
      </c>
      <c r="M149" s="7"/>
      <c r="N149">
        <f>Y95-T95</f>
        <v>1.8500000000000032</v>
      </c>
      <c r="O149" s="6"/>
      <c r="P149" s="7"/>
      <c r="Q149">
        <f>AD95-Y95</f>
        <v>0.54999999999999893</v>
      </c>
      <c r="R149" s="6"/>
      <c r="T149">
        <f>AI95-AD95</f>
        <v>0.11499999999999844</v>
      </c>
      <c r="V149" s="7"/>
      <c r="W149">
        <f>AN95-AI95</f>
        <v>0.10500000000000043</v>
      </c>
      <c r="X149" s="6"/>
      <c r="Y149" s="7"/>
      <c r="AC149" s="10">
        <f>SUM(B149,E149,H149,K149,N149,Q149,T149,W149)</f>
        <v>15.24</v>
      </c>
      <c r="AD149" s="6" t="s">
        <v>11</v>
      </c>
      <c r="AE149">
        <f>AN95</f>
        <v>15.24</v>
      </c>
      <c r="AF149" s="6" t="s">
        <v>11</v>
      </c>
    </row>
    <row r="150" spans="1:32" x14ac:dyDescent="0.25">
      <c r="A150" s="8"/>
      <c r="B150">
        <f>100/$AN$95*B149</f>
        <v>28.77296587926509</v>
      </c>
      <c r="C150" s="6" t="s">
        <v>10</v>
      </c>
      <c r="E150">
        <f>100/$AN$95*E149</f>
        <v>12.007874015748026</v>
      </c>
      <c r="F150" s="6" t="s">
        <v>10</v>
      </c>
      <c r="G150" s="7"/>
      <c r="H150">
        <f>100/$AN$95*H149</f>
        <v>28.969816272965893</v>
      </c>
      <c r="I150" s="6" t="s">
        <v>10</v>
      </c>
      <c r="K150">
        <f>100/$AN$95*K149</f>
        <v>13.057742782152221</v>
      </c>
      <c r="L150" s="6" t="s">
        <v>10</v>
      </c>
      <c r="M150" s="7"/>
      <c r="N150">
        <f>100/$AN$95*N149</f>
        <v>12.139107611548578</v>
      </c>
      <c r="O150" s="6" t="s">
        <v>10</v>
      </c>
      <c r="Q150">
        <f>100/$AN$95*Q149</f>
        <v>3.6089238845144287</v>
      </c>
      <c r="R150" s="6" t="s">
        <v>10</v>
      </c>
      <c r="S150" s="7"/>
      <c r="T150">
        <f>100/$AN$95*T149</f>
        <v>0.75459317585300811</v>
      </c>
      <c r="U150" s="6" t="s">
        <v>10</v>
      </c>
      <c r="W150">
        <f>100/$AN$95*W149</f>
        <v>0.68897637795275868</v>
      </c>
      <c r="X150" s="6" t="s">
        <v>10</v>
      </c>
      <c r="Y150" s="7"/>
      <c r="AC150">
        <f>100/$AN$95*AC149</f>
        <v>100</v>
      </c>
      <c r="AD150" s="6" t="s">
        <v>10</v>
      </c>
      <c r="AF150" s="6"/>
    </row>
    <row r="151" spans="1:32" x14ac:dyDescent="0.25">
      <c r="A151" s="8"/>
      <c r="C151" s="6"/>
      <c r="G151" s="7"/>
      <c r="I151" s="6"/>
      <c r="M151" s="7"/>
      <c r="O151" s="6"/>
      <c r="P151" s="7"/>
      <c r="R151" s="6"/>
      <c r="V151" s="7"/>
      <c r="X151" s="6"/>
      <c r="Y151" s="7"/>
      <c r="AC151" s="7"/>
      <c r="AD151" s="6"/>
      <c r="AF151" s="6"/>
    </row>
    <row r="152" spans="1:32" x14ac:dyDescent="0.25">
      <c r="A152" s="8"/>
      <c r="C152" s="6"/>
      <c r="G152" s="7"/>
      <c r="I152" s="6"/>
      <c r="M152" s="7"/>
      <c r="O152" s="6"/>
      <c r="P152" s="7"/>
      <c r="R152" s="6"/>
      <c r="V152" s="7"/>
      <c r="X152" s="6"/>
      <c r="Y152" s="7"/>
      <c r="AC152" s="7"/>
      <c r="AD152" s="6"/>
      <c r="AF152" s="6"/>
    </row>
    <row r="153" spans="1:32" x14ac:dyDescent="0.25">
      <c r="A153" s="8">
        <v>12</v>
      </c>
      <c r="B153">
        <f>E99</f>
        <v>4.6949999999999994</v>
      </c>
      <c r="C153" s="6"/>
      <c r="E153">
        <f>J99-E99</f>
        <v>1.955000000000001</v>
      </c>
      <c r="G153" s="7"/>
      <c r="H153">
        <f>O99-J99</f>
        <v>6.625</v>
      </c>
      <c r="I153" s="6"/>
      <c r="K153">
        <f>T99-O99</f>
        <v>3.9799999999999986</v>
      </c>
      <c r="M153" s="7"/>
      <c r="N153">
        <f>Y99-T99</f>
        <v>2.0799999999999983</v>
      </c>
      <c r="O153" s="6"/>
      <c r="P153" s="7"/>
      <c r="Q153">
        <f>AD99-Y99</f>
        <v>0.94500000000000028</v>
      </c>
      <c r="R153" s="6"/>
      <c r="T153">
        <f>AI99-AD99</f>
        <v>-0.11999999999999744</v>
      </c>
      <c r="V153" s="7"/>
      <c r="W153">
        <f>AN99-AI99</f>
        <v>0.24499999999999744</v>
      </c>
      <c r="X153" s="6"/>
      <c r="Y153" s="7"/>
      <c r="AC153" s="10">
        <f>SUM(B153,E153,H153,K153,N153,Q153,T153,W153)</f>
        <v>20.404999999999998</v>
      </c>
      <c r="AD153" s="6" t="s">
        <v>11</v>
      </c>
      <c r="AE153" s="9">
        <f>AN99</f>
        <v>20.404999999999998</v>
      </c>
      <c r="AF153" s="6" t="s">
        <v>11</v>
      </c>
    </row>
    <row r="154" spans="1:32" ht="15.75" thickBot="1" x14ac:dyDescent="0.3">
      <c r="A154" s="8"/>
      <c r="B154">
        <f>100/$AN$99*B153</f>
        <v>23.009066405292817</v>
      </c>
      <c r="C154" s="6" t="s">
        <v>10</v>
      </c>
      <c r="E154">
        <f>100/$AN$99*E153</f>
        <v>9.5809850526831717</v>
      </c>
      <c r="F154" s="6" t="s">
        <v>10</v>
      </c>
      <c r="G154" s="7"/>
      <c r="H154">
        <f>100/$AN$99*H153</f>
        <v>32.467532467532472</v>
      </c>
      <c r="I154" s="6" t="s">
        <v>10</v>
      </c>
      <c r="K154">
        <f>100/$AN$99*K153</f>
        <v>19.505023278608178</v>
      </c>
      <c r="L154" s="6" t="s">
        <v>10</v>
      </c>
      <c r="N154">
        <f>100/$AN$99*N153</f>
        <v>10.193580004900751</v>
      </c>
      <c r="O154" s="6" t="s">
        <v>10</v>
      </c>
      <c r="P154" s="7"/>
      <c r="Q154">
        <f>100/$AN$99*Q153</f>
        <v>4.6312178387650098</v>
      </c>
      <c r="R154" s="6" t="s">
        <v>10</v>
      </c>
      <c r="T154">
        <f>100/$AN$99*T153</f>
        <v>-0.58809115412887747</v>
      </c>
      <c r="U154" s="6" t="s">
        <v>10</v>
      </c>
      <c r="W154">
        <f>100/$AN$99*W153</f>
        <v>1.2006861063464711</v>
      </c>
      <c r="X154" s="6" t="s">
        <v>10</v>
      </c>
      <c r="Y154" s="7"/>
      <c r="AC154">
        <f>100/$AN$99*AC153</f>
        <v>99.999999999999986</v>
      </c>
      <c r="AD154" s="2" t="s">
        <v>10</v>
      </c>
      <c r="AF154" s="2"/>
    </row>
    <row r="155" spans="1:32" x14ac:dyDescent="0.25">
      <c r="A155" s="8"/>
      <c r="C155" s="6"/>
      <c r="G155" s="7"/>
      <c r="I155" s="6"/>
      <c r="M155" s="7"/>
      <c r="O155" s="6"/>
      <c r="P155" s="7"/>
      <c r="R155" s="6"/>
      <c r="V155" s="7"/>
      <c r="X155" s="6"/>
      <c r="Y155" s="7"/>
    </row>
    <row r="156" spans="1:32" ht="15.75" thickBot="1" x14ac:dyDescent="0.3">
      <c r="A156" s="5"/>
      <c r="B156" s="3"/>
      <c r="C156" s="2"/>
      <c r="D156" s="3"/>
      <c r="E156" s="3"/>
      <c r="F156" s="3"/>
      <c r="G156" s="4"/>
      <c r="H156" s="3"/>
      <c r="I156" s="2"/>
      <c r="J156" s="3"/>
      <c r="K156" s="3"/>
      <c r="L156" s="3"/>
      <c r="M156" s="4"/>
      <c r="N156" s="3"/>
      <c r="O156" s="2"/>
      <c r="P156" s="4"/>
      <c r="Q156" s="3"/>
      <c r="R156" s="2"/>
      <c r="S156" s="3"/>
      <c r="T156" s="3"/>
      <c r="U156" s="3"/>
      <c r="V156" s="4"/>
      <c r="W156" s="3"/>
      <c r="X156" s="2"/>
    </row>
  </sheetData>
  <mergeCells count="16">
    <mergeCell ref="AB53:AF53"/>
    <mergeCell ref="AG53:AK53"/>
    <mergeCell ref="AL53:AP53"/>
    <mergeCell ref="C53:G53"/>
    <mergeCell ref="H53:L53"/>
    <mergeCell ref="M53:Q53"/>
    <mergeCell ref="R53:V53"/>
    <mergeCell ref="W53:AA53"/>
    <mergeCell ref="AG2:AK2"/>
    <mergeCell ref="AL2:AP2"/>
    <mergeCell ref="C2:G2"/>
    <mergeCell ref="H2:L2"/>
    <mergeCell ref="M2:Q2"/>
    <mergeCell ref="R2:V2"/>
    <mergeCell ref="W2:AA2"/>
    <mergeCell ref="AB2:AF2"/>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AB3F-4FC9-464A-879F-79933A85332F}">
  <dimension ref="A1"/>
  <sheetViews>
    <sheetView topLeftCell="A7" workbookViewId="0">
      <selection activeCell="D23" sqref="D23"/>
    </sheetView>
  </sheetViews>
  <sheetFormatPr baseColWidth="10" defaultRowHeight="15" x14ac:dyDescent="0.2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Infos</vt:lpstr>
      <vt:lpstr>1.DL</vt:lpstr>
      <vt:lpstr>1.DL - Abb</vt:lpstr>
      <vt:lpstr>2.DL</vt:lpstr>
      <vt:lpstr>2.DL - Abb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Otting</dc:creator>
  <cp:lastModifiedBy>Jonas Otting</cp:lastModifiedBy>
  <dcterms:created xsi:type="dcterms:W3CDTF">2022-06-21T20:23:17Z</dcterms:created>
  <dcterms:modified xsi:type="dcterms:W3CDTF">2022-07-07T21:51:05Z</dcterms:modified>
</cp:coreProperties>
</file>