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OneDrive\Hochschule Osnabrück\6.Semester\"/>
    </mc:Choice>
  </mc:AlternateContent>
  <xr:revisionPtr revIDLastSave="0" documentId="13_ncr:1_{C60CB52F-7980-40CC-874B-0455756E6E5D}" xr6:coauthVersionLast="47" xr6:coauthVersionMax="47" xr10:uidLastSave="{00000000-0000-0000-0000-000000000000}"/>
  <bookViews>
    <workbookView xWindow="-120" yWindow="-120" windowWidth="24240" windowHeight="13140" xr2:uid="{96606D94-8548-4FD8-986D-A656BE7E3E85}"/>
  </bookViews>
  <sheets>
    <sheet name="Infos" sheetId="16" r:id="rId1"/>
    <sheet name="1.DL" sheetId="3" r:id="rId2"/>
    <sheet name="1.DL - Abb" sheetId="4" r:id="rId3"/>
    <sheet name="2.DL" sheetId="2" r:id="rId4"/>
    <sheet name="2.DL - Ab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" i="3" l="1"/>
  <c r="AT4" i="3" s="1"/>
  <c r="AS5" i="3"/>
  <c r="AT5" i="3"/>
  <c r="AS6" i="3"/>
  <c r="AT6" i="3"/>
  <c r="AS7" i="3"/>
  <c r="AT7" i="3"/>
  <c r="AS8" i="3"/>
  <c r="AT8" i="3"/>
  <c r="AS9" i="3"/>
  <c r="AT9" i="3"/>
  <c r="AS13" i="3"/>
  <c r="AT13" i="3"/>
  <c r="AS14" i="3"/>
  <c r="AT14" i="3"/>
  <c r="AS15" i="3"/>
  <c r="AT15" i="3"/>
  <c r="AS16" i="3"/>
  <c r="AT16" i="3"/>
  <c r="AS17" i="3"/>
  <c r="AT17" i="3"/>
  <c r="AS18" i="3"/>
  <c r="AT18" i="3"/>
  <c r="X22" i="3"/>
  <c r="AA22" i="3" s="1"/>
  <c r="Y22" i="3"/>
  <c r="AB22" i="3"/>
  <c r="X23" i="3"/>
  <c r="Y23" i="3"/>
  <c r="X24" i="3"/>
  <c r="Y24" i="3"/>
  <c r="X25" i="3"/>
  <c r="Y25" i="3"/>
  <c r="X26" i="3"/>
  <c r="AA26" i="3" s="1"/>
  <c r="Y26" i="3"/>
  <c r="AB26" i="3"/>
  <c r="X27" i="3"/>
  <c r="Y27" i="3"/>
  <c r="X28" i="3"/>
  <c r="Y28" i="3"/>
  <c r="X29" i="3"/>
  <c r="Y29" i="3"/>
  <c r="X30" i="3"/>
  <c r="Y30" i="3"/>
  <c r="AB30" i="3"/>
  <c r="X31" i="3"/>
  <c r="AA30" i="3" s="1"/>
  <c r="Y31" i="3"/>
  <c r="X32" i="3"/>
  <c r="Y32" i="3"/>
  <c r="X33" i="3"/>
  <c r="Y33" i="3"/>
  <c r="X34" i="3"/>
  <c r="Y34" i="3"/>
  <c r="AB34" i="3"/>
  <c r="X35" i="3"/>
  <c r="AA34" i="3" s="1"/>
  <c r="Y35" i="3"/>
  <c r="X36" i="3"/>
  <c r="Y36" i="3"/>
  <c r="X37" i="3"/>
  <c r="Y37" i="3"/>
  <c r="X38" i="3"/>
  <c r="Y38" i="3"/>
  <c r="AB38" i="3"/>
  <c r="X39" i="3"/>
  <c r="AA38" i="3" s="1"/>
  <c r="Y39" i="3"/>
  <c r="X40" i="3"/>
  <c r="Y40" i="3"/>
  <c r="X41" i="3"/>
  <c r="Y41" i="3"/>
  <c r="X42" i="3"/>
  <c r="AA42" i="3" s="1"/>
  <c r="Y42" i="3"/>
  <c r="AB42" i="3"/>
  <c r="X43" i="3"/>
  <c r="Y43" i="3"/>
  <c r="X44" i="3"/>
  <c r="Y44" i="3"/>
  <c r="X45" i="3"/>
  <c r="Y45" i="3"/>
  <c r="X46" i="3"/>
  <c r="Y46" i="3"/>
  <c r="AB46" i="3"/>
  <c r="X47" i="3"/>
  <c r="Y47" i="3"/>
  <c r="X48" i="3"/>
  <c r="AA46" i="3" s="1"/>
  <c r="Y48" i="3"/>
  <c r="X49" i="3"/>
  <c r="Y49" i="3"/>
  <c r="X50" i="3"/>
  <c r="AA50" i="3" s="1"/>
  <c r="Y50" i="3"/>
  <c r="AB50" i="3"/>
  <c r="X51" i="3"/>
  <c r="Y51" i="3"/>
  <c r="X52" i="3"/>
  <c r="Y52" i="3"/>
  <c r="X53" i="3"/>
  <c r="Y53" i="3"/>
  <c r="X54" i="3"/>
  <c r="Y54" i="3"/>
  <c r="AB54" i="3"/>
  <c r="X55" i="3"/>
  <c r="Y55" i="3"/>
  <c r="X56" i="3"/>
  <c r="AA54" i="3" s="1"/>
  <c r="Y56" i="3"/>
  <c r="X57" i="3"/>
  <c r="Y57" i="3"/>
  <c r="X58" i="3"/>
  <c r="AA58" i="3" s="1"/>
  <c r="Y58" i="3"/>
  <c r="AB58" i="3"/>
  <c r="X59" i="3"/>
  <c r="Y59" i="3"/>
  <c r="X60" i="3"/>
  <c r="Y60" i="3"/>
  <c r="X61" i="3"/>
  <c r="Y61" i="3"/>
  <c r="X62" i="3"/>
  <c r="Y62" i="3"/>
  <c r="AB62" i="3"/>
  <c r="X63" i="3"/>
  <c r="Y63" i="3"/>
  <c r="X64" i="3"/>
  <c r="AA62" i="3" s="1"/>
  <c r="Y64" i="3"/>
  <c r="X65" i="3"/>
  <c r="Y65" i="3"/>
  <c r="X66" i="3"/>
  <c r="AA66" i="3" s="1"/>
  <c r="Y66" i="3"/>
  <c r="AB66" i="3"/>
  <c r="X67" i="3"/>
  <c r="Y67" i="3"/>
  <c r="X68" i="3"/>
  <c r="Y68" i="3"/>
  <c r="X69" i="3"/>
  <c r="Y69" i="3"/>
  <c r="X73" i="3"/>
  <c r="Y73" i="3"/>
  <c r="AB73" i="3"/>
  <c r="X74" i="3"/>
  <c r="Y74" i="3"/>
  <c r="X75" i="3"/>
  <c r="AA73" i="3" s="1"/>
  <c r="Y75" i="3"/>
  <c r="X76" i="3"/>
  <c r="Y76" i="3"/>
  <c r="X77" i="3"/>
  <c r="AA77" i="3" s="1"/>
  <c r="Y77" i="3"/>
  <c r="AB77" i="3"/>
  <c r="X78" i="3"/>
  <c r="Y78" i="3"/>
  <c r="X79" i="3"/>
  <c r="Y79" i="3"/>
  <c r="X80" i="3"/>
  <c r="Y80" i="3"/>
  <c r="X81" i="3"/>
  <c r="Y81" i="3"/>
  <c r="AB81" i="3"/>
  <c r="X82" i="3"/>
  <c r="Y82" i="3"/>
  <c r="X83" i="3"/>
  <c r="AA81" i="3" s="1"/>
  <c r="Y83" i="3"/>
  <c r="X84" i="3"/>
  <c r="Y84" i="3"/>
  <c r="X85" i="3"/>
  <c r="AA85" i="3" s="1"/>
  <c r="Y85" i="3"/>
  <c r="AB85" i="3"/>
  <c r="X86" i="3"/>
  <c r="Y86" i="3"/>
  <c r="X87" i="3"/>
  <c r="Y87" i="3"/>
  <c r="X88" i="3"/>
  <c r="Y88" i="3"/>
  <c r="X89" i="3"/>
  <c r="Y89" i="3"/>
  <c r="AB89" i="3"/>
  <c r="X90" i="3"/>
  <c r="AA89" i="3" s="1"/>
  <c r="Y90" i="3"/>
  <c r="X91" i="3"/>
  <c r="Y91" i="3"/>
  <c r="X92" i="3"/>
  <c r="Y92" i="3"/>
  <c r="X93" i="3"/>
  <c r="AA93" i="3" s="1"/>
  <c r="Y93" i="3"/>
  <c r="AB93" i="3"/>
  <c r="X94" i="3"/>
  <c r="Y94" i="3"/>
  <c r="X95" i="3"/>
  <c r="Y95" i="3"/>
  <c r="X96" i="3"/>
  <c r="Y96" i="3"/>
  <c r="X97" i="3"/>
  <c r="AA97" i="3" s="1"/>
  <c r="Y97" i="3"/>
  <c r="AB97" i="3"/>
  <c r="X98" i="3"/>
  <c r="Y98" i="3"/>
  <c r="X99" i="3"/>
  <c r="Y99" i="3"/>
  <c r="X100" i="3"/>
  <c r="Y100" i="3"/>
  <c r="X101" i="3"/>
  <c r="Y101" i="3"/>
  <c r="AA101" i="3"/>
  <c r="AB101" i="3"/>
  <c r="X102" i="3"/>
  <c r="Y102" i="3"/>
  <c r="X103" i="3"/>
  <c r="Y103" i="3"/>
  <c r="X104" i="3"/>
  <c r="Y104" i="3"/>
  <c r="X105" i="3"/>
  <c r="AA105" i="3" s="1"/>
  <c r="Y105" i="3"/>
  <c r="AB105" i="3"/>
  <c r="X106" i="3"/>
  <c r="Y106" i="3"/>
  <c r="X107" i="3"/>
  <c r="Y107" i="3"/>
  <c r="X108" i="3"/>
  <c r="Y108" i="3"/>
  <c r="X109" i="3"/>
  <c r="Y109" i="3"/>
  <c r="AA109" i="3"/>
  <c r="AB109" i="3"/>
  <c r="X110" i="3"/>
  <c r="Y110" i="3"/>
  <c r="X111" i="3"/>
  <c r="Y111" i="3"/>
  <c r="X112" i="3"/>
  <c r="Y112" i="3"/>
  <c r="X113" i="3"/>
  <c r="AA113" i="3" s="1"/>
  <c r="Y113" i="3"/>
  <c r="AB113" i="3"/>
  <c r="X114" i="3"/>
  <c r="Y114" i="3"/>
  <c r="X115" i="3"/>
  <c r="Y115" i="3"/>
  <c r="X116" i="3"/>
  <c r="Y116" i="3"/>
  <c r="X117" i="3"/>
  <c r="Y117" i="3"/>
  <c r="AA117" i="3"/>
  <c r="AB117" i="3"/>
  <c r="X118" i="3"/>
  <c r="Y118" i="3"/>
  <c r="X119" i="3"/>
  <c r="Y119" i="3"/>
  <c r="X120" i="3"/>
  <c r="Y120" i="3"/>
  <c r="X3" i="2"/>
  <c r="Y3" i="2"/>
  <c r="AB3" i="2"/>
  <c r="X4" i="2"/>
  <c r="Y4" i="2"/>
  <c r="X5" i="2"/>
  <c r="Y5" i="2"/>
  <c r="X6" i="2"/>
  <c r="Y6" i="2"/>
  <c r="X7" i="2"/>
  <c r="AB7" i="2" s="1"/>
  <c r="Y7" i="2"/>
  <c r="X8" i="2"/>
  <c r="Y8" i="2"/>
  <c r="X9" i="2"/>
  <c r="AA7" i="2" s="1"/>
  <c r="Y9" i="2"/>
  <c r="X10" i="2"/>
  <c r="Y10" i="2"/>
  <c r="X11" i="2"/>
  <c r="AB11" i="2" s="1"/>
  <c r="Y11" i="2"/>
  <c r="X12" i="2"/>
  <c r="Y12" i="2"/>
  <c r="X13" i="2"/>
  <c r="Y13" i="2"/>
  <c r="X14" i="2"/>
  <c r="Y14" i="2"/>
  <c r="X15" i="2"/>
  <c r="AB15" i="2" s="1"/>
  <c r="Y15" i="2"/>
  <c r="X16" i="2"/>
  <c r="Y16" i="2"/>
  <c r="X17" i="2"/>
  <c r="Y17" i="2"/>
  <c r="X18" i="2"/>
  <c r="Y18" i="2"/>
  <c r="X19" i="2"/>
  <c r="Y19" i="2"/>
  <c r="X20" i="2"/>
  <c r="AB19" i="2" s="1"/>
  <c r="Y20" i="2"/>
  <c r="X21" i="2"/>
  <c r="Y21" i="2"/>
  <c r="X22" i="2"/>
  <c r="Y22" i="2"/>
  <c r="X23" i="2"/>
  <c r="Y23" i="2"/>
  <c r="AB23" i="2"/>
  <c r="X24" i="2"/>
  <c r="Y24" i="2"/>
  <c r="X25" i="2"/>
  <c r="AA23" i="2" s="1"/>
  <c r="Y25" i="2"/>
  <c r="X26" i="2"/>
  <c r="Y26" i="2"/>
  <c r="X27" i="2"/>
  <c r="AB27" i="2" s="1"/>
  <c r="Y27" i="2"/>
  <c r="X28" i="2"/>
  <c r="Y28" i="2"/>
  <c r="X29" i="2"/>
  <c r="Y29" i="2"/>
  <c r="X30" i="2"/>
  <c r="Y30" i="2"/>
  <c r="X31" i="2"/>
  <c r="AB31" i="2" s="1"/>
  <c r="Y31" i="2"/>
  <c r="X32" i="2"/>
  <c r="Y32" i="2"/>
  <c r="X33" i="2"/>
  <c r="Y33" i="2"/>
  <c r="X34" i="2"/>
  <c r="Y34" i="2"/>
  <c r="X35" i="2"/>
  <c r="Y35" i="2"/>
  <c r="X36" i="2"/>
  <c r="AB35" i="2" s="1"/>
  <c r="Y36" i="2"/>
  <c r="X37" i="2"/>
  <c r="Y37" i="2"/>
  <c r="X38" i="2"/>
  <c r="Y38" i="2"/>
  <c r="X39" i="2"/>
  <c r="Y39" i="2"/>
  <c r="AB39" i="2"/>
  <c r="X40" i="2"/>
  <c r="Y40" i="2"/>
  <c r="X41" i="2"/>
  <c r="Y41" i="2"/>
  <c r="X42" i="2"/>
  <c r="Y42" i="2"/>
  <c r="X43" i="2"/>
  <c r="AB43" i="2" s="1"/>
  <c r="Y43" i="2"/>
  <c r="X44" i="2"/>
  <c r="Y44" i="2"/>
  <c r="X45" i="2"/>
  <c r="Y45" i="2"/>
  <c r="X46" i="2"/>
  <c r="Y46" i="2"/>
  <c r="X47" i="2"/>
  <c r="AB47" i="2" s="1"/>
  <c r="Y47" i="2"/>
  <c r="X48" i="2"/>
  <c r="Y48" i="2"/>
  <c r="X49" i="2"/>
  <c r="Y49" i="2"/>
  <c r="X50" i="2"/>
  <c r="Y50" i="2"/>
  <c r="X55" i="2"/>
  <c r="Y55" i="2"/>
  <c r="X56" i="2"/>
  <c r="AB55" i="2" s="1"/>
  <c r="Y56" i="2"/>
  <c r="X57" i="2"/>
  <c r="Y57" i="2"/>
  <c r="X58" i="2"/>
  <c r="Y58" i="2"/>
  <c r="X59" i="2"/>
  <c r="Y59" i="2"/>
  <c r="AB59" i="2"/>
  <c r="X60" i="2"/>
  <c r="Y60" i="2"/>
  <c r="X61" i="2"/>
  <c r="Y61" i="2"/>
  <c r="X62" i="2"/>
  <c r="Y62" i="2"/>
  <c r="X63" i="2"/>
  <c r="AB63" i="2" s="1"/>
  <c r="Y63" i="2"/>
  <c r="X64" i="2"/>
  <c r="Y64" i="2"/>
  <c r="X65" i="2"/>
  <c r="Y65" i="2"/>
  <c r="X66" i="2"/>
  <c r="Y66" i="2"/>
  <c r="X67" i="2"/>
  <c r="AB67" i="2" s="1"/>
  <c r="Y67" i="2"/>
  <c r="X68" i="2"/>
  <c r="Y68" i="2"/>
  <c r="X69" i="2"/>
  <c r="Y69" i="2"/>
  <c r="X70" i="2"/>
  <c r="Y70" i="2"/>
  <c r="X71" i="2"/>
  <c r="Y71" i="2"/>
  <c r="X72" i="2"/>
  <c r="Y72" i="2"/>
  <c r="X73" i="2"/>
  <c r="Y73" i="2"/>
  <c r="X74" i="2"/>
  <c r="Y74" i="2"/>
  <c r="X75" i="2"/>
  <c r="Y75" i="2"/>
  <c r="AB75" i="2"/>
  <c r="X76" i="2"/>
  <c r="Y76" i="2"/>
  <c r="X77" i="2"/>
  <c r="Y77" i="2"/>
  <c r="X78" i="2"/>
  <c r="Y78" i="2"/>
  <c r="X79" i="2"/>
  <c r="AB79" i="2" s="1"/>
  <c r="Y79" i="2"/>
  <c r="X80" i="2"/>
  <c r="Y80" i="2"/>
  <c r="X81" i="2"/>
  <c r="AA79" i="2" s="1"/>
  <c r="Y81" i="2"/>
  <c r="X82" i="2"/>
  <c r="Y82" i="2"/>
  <c r="X83" i="2"/>
  <c r="AA83" i="2" s="1"/>
  <c r="Y83" i="2"/>
  <c r="X84" i="2"/>
  <c r="Y84" i="2"/>
  <c r="X85" i="2"/>
  <c r="Y85" i="2"/>
  <c r="X86" i="2"/>
  <c r="Y86" i="2"/>
  <c r="X87" i="2"/>
  <c r="Y87" i="2"/>
  <c r="X88" i="2"/>
  <c r="AB87" i="2" s="1"/>
  <c r="Y88" i="2"/>
  <c r="X89" i="2"/>
  <c r="Y89" i="2"/>
  <c r="X90" i="2"/>
  <c r="Y90" i="2"/>
  <c r="X91" i="2"/>
  <c r="Y91" i="2"/>
  <c r="AB91" i="2"/>
  <c r="X92" i="2"/>
  <c r="Y92" i="2"/>
  <c r="X93" i="2"/>
  <c r="Y93" i="2"/>
  <c r="X94" i="2"/>
  <c r="Y94" i="2"/>
  <c r="X95" i="2"/>
  <c r="AB95" i="2" s="1"/>
  <c r="Y95" i="2"/>
  <c r="X96" i="2"/>
  <c r="Y96" i="2"/>
  <c r="X97" i="2"/>
  <c r="Y97" i="2"/>
  <c r="X98" i="2"/>
  <c r="Y98" i="2"/>
  <c r="X99" i="2"/>
  <c r="AA99" i="2" s="1"/>
  <c r="Y99" i="2"/>
  <c r="X100" i="2"/>
  <c r="Y100" i="2"/>
  <c r="X101" i="2"/>
  <c r="Y101" i="2"/>
  <c r="X102" i="2"/>
  <c r="Y102" i="2"/>
  <c r="X106" i="2"/>
  <c r="Y106" i="2"/>
  <c r="X107" i="2"/>
  <c r="AB106" i="2" s="1"/>
  <c r="Y107" i="2"/>
  <c r="X108" i="2"/>
  <c r="Y108" i="2"/>
  <c r="X109" i="2"/>
  <c r="Y109" i="2"/>
  <c r="X110" i="2"/>
  <c r="Y110" i="2"/>
  <c r="AB110" i="2"/>
  <c r="X111" i="2"/>
  <c r="Y111" i="2"/>
  <c r="X112" i="2"/>
  <c r="Y112" i="2"/>
  <c r="X113" i="2"/>
  <c r="Y113" i="2"/>
  <c r="X114" i="2"/>
  <c r="AB114" i="2" s="1"/>
  <c r="Y114" i="2"/>
  <c r="X115" i="2"/>
  <c r="Y115" i="2"/>
  <c r="X116" i="2"/>
  <c r="AA114" i="2" s="1"/>
  <c r="Y116" i="2"/>
  <c r="X117" i="2"/>
  <c r="Y117" i="2"/>
  <c r="X118" i="2"/>
  <c r="AA118" i="2" s="1"/>
  <c r="Y118" i="2"/>
  <c r="X119" i="2"/>
  <c r="Y119" i="2"/>
  <c r="X120" i="2"/>
  <c r="Y120" i="2"/>
  <c r="X121" i="2"/>
  <c r="Y121" i="2"/>
  <c r="X122" i="2"/>
  <c r="Y122" i="2"/>
  <c r="X123" i="2"/>
  <c r="AB122" i="2" s="1"/>
  <c r="Y123" i="2"/>
  <c r="X124" i="2"/>
  <c r="Y124" i="2"/>
  <c r="X125" i="2"/>
  <c r="Y125" i="2"/>
  <c r="X126" i="2"/>
  <c r="Y126" i="2"/>
  <c r="AB126" i="2"/>
  <c r="X127" i="2"/>
  <c r="Y127" i="2"/>
  <c r="X128" i="2"/>
  <c r="Y128" i="2"/>
  <c r="X129" i="2"/>
  <c r="Y129" i="2"/>
  <c r="X130" i="2"/>
  <c r="AB130" i="2" s="1"/>
  <c r="Y130" i="2"/>
  <c r="X131" i="2"/>
  <c r="Y131" i="2"/>
  <c r="X132" i="2"/>
  <c r="AA130" i="2" s="1"/>
  <c r="Y132" i="2"/>
  <c r="X133" i="2"/>
  <c r="Y133" i="2"/>
  <c r="X134" i="2"/>
  <c r="AA134" i="2" s="1"/>
  <c r="Y134" i="2"/>
  <c r="X135" i="2"/>
  <c r="Y135" i="2"/>
  <c r="X136" i="2"/>
  <c r="Y136" i="2"/>
  <c r="X137" i="2"/>
  <c r="Y137" i="2"/>
  <c r="X138" i="2"/>
  <c r="Y138" i="2"/>
  <c r="X139" i="2"/>
  <c r="AB138" i="2" s="1"/>
  <c r="Y139" i="2"/>
  <c r="X140" i="2"/>
  <c r="Y140" i="2"/>
  <c r="X141" i="2"/>
  <c r="Y141" i="2"/>
  <c r="X142" i="2"/>
  <c r="Y142" i="2"/>
  <c r="AB142" i="2"/>
  <c r="X143" i="2"/>
  <c r="Y143" i="2"/>
  <c r="X144" i="2"/>
  <c r="Y144" i="2"/>
  <c r="X145" i="2"/>
  <c r="Y145" i="2"/>
  <c r="X146" i="2"/>
  <c r="AB146" i="2" s="1"/>
  <c r="Y146" i="2"/>
  <c r="X147" i="2"/>
  <c r="Y147" i="2"/>
  <c r="X148" i="2"/>
  <c r="AA146" i="2" s="1"/>
  <c r="Y148" i="2"/>
  <c r="X149" i="2"/>
  <c r="Y149" i="2"/>
  <c r="X150" i="2"/>
  <c r="AA150" i="2" s="1"/>
  <c r="Y150" i="2"/>
  <c r="X151" i="2"/>
  <c r="Y151" i="2"/>
  <c r="X152" i="2"/>
  <c r="Y152" i="2"/>
  <c r="X153" i="2"/>
  <c r="Y153" i="2"/>
  <c r="AA95" i="2" l="1"/>
  <c r="AA71" i="2"/>
  <c r="AB150" i="2"/>
  <c r="AA142" i="2"/>
  <c r="AA138" i="2"/>
  <c r="AB134" i="2"/>
  <c r="AA126" i="2"/>
  <c r="AA122" i="2"/>
  <c r="AB118" i="2"/>
  <c r="AA110" i="2"/>
  <c r="AA106" i="2"/>
  <c r="AB99" i="2"/>
  <c r="AA91" i="2"/>
  <c r="AA87" i="2"/>
  <c r="AB83" i="2"/>
  <c r="AA75" i="2"/>
  <c r="AA59" i="2"/>
  <c r="AA55" i="2"/>
  <c r="AA39" i="2"/>
  <c r="AA35" i="2"/>
  <c r="AA19" i="2"/>
  <c r="AA15" i="2"/>
  <c r="AA3" i="2"/>
  <c r="AB71" i="2"/>
  <c r="AA67" i="2"/>
  <c r="AA63" i="2"/>
  <c r="AA47" i="2"/>
  <c r="AA43" i="2"/>
  <c r="AA31" i="2"/>
  <c r="AA27" i="2"/>
  <c r="AA11" i="2"/>
</calcChain>
</file>

<file path=xl/sharedStrings.xml><?xml version="1.0" encoding="utf-8"?>
<sst xmlns="http://schemas.openxmlformats.org/spreadsheetml/2006/main" count="106" uniqueCount="40">
  <si>
    <t>SD ge</t>
  </si>
  <si>
    <t>x ge</t>
  </si>
  <si>
    <t>SD</t>
  </si>
  <si>
    <t>x</t>
  </si>
  <si>
    <t>ng</t>
  </si>
  <si>
    <t>PG 12.1</t>
  </si>
  <si>
    <t>k</t>
  </si>
  <si>
    <t>33,3,</t>
  </si>
  <si>
    <t>PG 11.1</t>
  </si>
  <si>
    <t>PG 10.1</t>
  </si>
  <si>
    <t>PG 9.1</t>
  </si>
  <si>
    <t>PG 8.1</t>
  </si>
  <si>
    <t>PG 7.1</t>
  </si>
  <si>
    <t>PG 6.1</t>
  </si>
  <si>
    <t>PG 5.1</t>
  </si>
  <si>
    <t>PG 4.1</t>
  </si>
  <si>
    <t>PG 3.1</t>
  </si>
  <si>
    <t>o</t>
  </si>
  <si>
    <t>29,31,5</t>
  </si>
  <si>
    <t>PG 2.1</t>
  </si>
  <si>
    <t>PG 1.1</t>
  </si>
  <si>
    <t>Messung nur von einer Wiederholung am 11.04.2022</t>
  </si>
  <si>
    <t>Der Chlorophyllgehalt wurde an 20 ausgwählten Pflanzen pro Behandlung (Prüfglied) und pro Block durchgeführt.</t>
  </si>
  <si>
    <t>Die Messung wurde an 3 verschiedenen Tagen durchgeführt.</t>
  </si>
  <si>
    <r>
      <t xml:space="preserve">Durch einen Versuchsfehler sind die Daten des 1.Durchlaufes lückenhaft und fehlerhaft. Der 1.Durchlauf wird hier </t>
    </r>
    <r>
      <rPr>
        <u/>
        <sz val="11"/>
        <color theme="1"/>
        <rFont val="Calibri"/>
        <family val="2"/>
        <scheme val="minor"/>
      </rPr>
      <t>nicht</t>
    </r>
    <r>
      <rPr>
        <sz val="11"/>
        <color theme="1"/>
        <rFont val="Calibri"/>
        <family val="2"/>
        <scheme val="minor"/>
      </rPr>
      <t xml:space="preserve"> statistisch ausgewertet.</t>
    </r>
  </si>
  <si>
    <t>Behandlung</t>
  </si>
  <si>
    <t>Block</t>
  </si>
  <si>
    <t>lowN</t>
  </si>
  <si>
    <t>lowNP</t>
  </si>
  <si>
    <t>medN</t>
  </si>
  <si>
    <t>medNP</t>
  </si>
  <si>
    <t>highN</t>
  </si>
  <si>
    <t>highNP</t>
  </si>
  <si>
    <t>lowN1</t>
  </si>
  <si>
    <t>lowNP1</t>
  </si>
  <si>
    <t>medN1</t>
  </si>
  <si>
    <t>medNP1</t>
  </si>
  <si>
    <t>highN1</t>
  </si>
  <si>
    <t>highNP1</t>
  </si>
  <si>
    <t>Messwert/Pflanze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</si>
</sst>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1" xfId="0" applyFill="1" applyBorder="1"/>
    <xf numFmtId="0" fontId="0" fillId="2" borderId="14" xfId="0" applyFill="1" applyBorder="1"/>
    <xf numFmtId="0" fontId="0" fillId="0" borderId="15" xfId="0" applyBorder="1"/>
    <xf numFmtId="16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2" borderId="18" xfId="0" applyFill="1" applyBorder="1"/>
    <xf numFmtId="0" fontId="0" fillId="2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2" borderId="20" xfId="0" applyFill="1" applyBorder="1"/>
    <xf numFmtId="0" fontId="0" fillId="2" borderId="23" xfId="0" applyFill="1" applyBorder="1"/>
    <xf numFmtId="0" fontId="0" fillId="0" borderId="24" xfId="0" applyBorder="1"/>
    <xf numFmtId="0" fontId="0" fillId="0" borderId="16" xfId="0" applyBorder="1"/>
    <xf numFmtId="0" fontId="0" fillId="2" borderId="24" xfId="0" applyFill="1" applyBorder="1"/>
    <xf numFmtId="0" fontId="0" fillId="2" borderId="25" xfId="0" applyFill="1" applyBorder="1"/>
    <xf numFmtId="0" fontId="0" fillId="0" borderId="26" xfId="0" applyBorder="1"/>
    <xf numFmtId="0" fontId="0" fillId="0" borderId="8" xfId="0" applyBorder="1"/>
    <xf numFmtId="0" fontId="0" fillId="0" borderId="14" xfId="0" applyBorder="1"/>
    <xf numFmtId="0" fontId="0" fillId="0" borderId="27" xfId="0" applyBorder="1"/>
    <xf numFmtId="0" fontId="0" fillId="0" borderId="23" xfId="0" applyBorder="1"/>
    <xf numFmtId="0" fontId="0" fillId="0" borderId="25" xfId="0" applyBorder="1"/>
    <xf numFmtId="0" fontId="0" fillId="0" borderId="19" xfId="0" applyBorder="1"/>
    <xf numFmtId="0" fontId="0" fillId="0" borderId="28" xfId="0" applyBorder="1"/>
    <xf numFmtId="2" fontId="0" fillId="0" borderId="5" xfId="0" applyNumberFormat="1" applyBorder="1"/>
    <xf numFmtId="2" fontId="0" fillId="0" borderId="8" xfId="0" applyNumberFormat="1" applyBorder="1"/>
    <xf numFmtId="0" fontId="0" fillId="2" borderId="12" xfId="0" applyFill="1" applyBorder="1"/>
    <xf numFmtId="2" fontId="0" fillId="0" borderId="11" xfId="0" applyNumberFormat="1" applyBorder="1"/>
    <xf numFmtId="2" fontId="0" fillId="0" borderId="14" xfId="0" applyNumberFormat="1" applyBorder="1"/>
    <xf numFmtId="16" fontId="0" fillId="2" borderId="12" xfId="0" applyNumberFormat="1" applyFill="1" applyBorder="1"/>
    <xf numFmtId="0" fontId="0" fillId="2" borderId="26" xfId="0" applyFill="1" applyBorder="1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Chlorophyllgehalt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('2.DL'!$A$1,'2.DL'!$A$53,'2.DL'!$A$104)</c:f>
              <c:numCache>
                <c:formatCode>m/d/yyyy</c:formatCode>
                <c:ptCount val="3"/>
                <c:pt idx="0">
                  <c:v>44686</c:v>
                </c:pt>
                <c:pt idx="1">
                  <c:v>44693</c:v>
                </c:pt>
                <c:pt idx="2">
                  <c:v>44699</c:v>
                </c:pt>
              </c:numCache>
            </c:numRef>
          </c:cat>
          <c:val>
            <c:numRef>
              <c:f>('2.DL'!$AA$3,'2.DL'!$AA$55,'2.DL'!$AA$106)</c:f>
              <c:numCache>
                <c:formatCode>0.0</c:formatCode>
                <c:ptCount val="3"/>
                <c:pt idx="0">
                  <c:v>30.973750000000003</c:v>
                </c:pt>
                <c:pt idx="1">
                  <c:v>29.808749999999996</c:v>
                </c:pt>
                <c:pt idx="2">
                  <c:v>27.728750000000002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1-4ED5-9DD0-6C6AC730FAC7}"/>
            </c:ext>
          </c:extLst>
        </c:ser>
        <c:ser>
          <c:idx val="1"/>
          <c:order val="1"/>
          <c:tx>
            <c:v>PG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('2.DL'!$A$1,'2.DL'!$A$53,'2.DL'!$A$104)</c:f>
              <c:numCache>
                <c:formatCode>m/d/yyyy</c:formatCode>
                <c:ptCount val="3"/>
                <c:pt idx="0">
                  <c:v>44686</c:v>
                </c:pt>
                <c:pt idx="1">
                  <c:v>44693</c:v>
                </c:pt>
                <c:pt idx="2">
                  <c:v>44699</c:v>
                </c:pt>
              </c:numCache>
            </c:numRef>
          </c:cat>
          <c:val>
            <c:numRef>
              <c:f>('2.DL'!$AA$7,'2.DL'!$AA$59,'2.DL'!$AA$110)</c:f>
              <c:numCache>
                <c:formatCode>0.0</c:formatCode>
                <c:ptCount val="3"/>
                <c:pt idx="0">
                  <c:v>29.283750000000001</c:v>
                </c:pt>
                <c:pt idx="1">
                  <c:v>27.262500000000003</c:v>
                </c:pt>
                <c:pt idx="2">
                  <c:v>24.24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1-4ED5-9DD0-6C6AC730FAC7}"/>
            </c:ext>
          </c:extLst>
        </c:ser>
        <c:ser>
          <c:idx val="3"/>
          <c:order val="2"/>
          <c:tx>
            <c:v>PG 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('2.DL'!$AA$11,'2.DL'!$AA$63,'2.DL'!$AA$114)</c:f>
              <c:numCache>
                <c:formatCode>0.0</c:formatCode>
                <c:ptCount val="3"/>
                <c:pt idx="0">
                  <c:v>34.5075</c:v>
                </c:pt>
                <c:pt idx="1">
                  <c:v>32.607499999999995</c:v>
                </c:pt>
                <c:pt idx="2">
                  <c:v>29.041249999999998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81-4ED5-9DD0-6C6AC730FAC7}"/>
            </c:ext>
          </c:extLst>
        </c:ser>
        <c:ser>
          <c:idx val="4"/>
          <c:order val="3"/>
          <c:tx>
            <c:v>PG 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('2.DL'!$AA$15,'2.DL'!$AA$67,'2.DL'!$AA$118)</c:f>
              <c:numCache>
                <c:formatCode>0.0</c:formatCode>
                <c:ptCount val="3"/>
                <c:pt idx="0">
                  <c:v>31.6325</c:v>
                </c:pt>
                <c:pt idx="1">
                  <c:v>28.507499999999997</c:v>
                </c:pt>
                <c:pt idx="2">
                  <c:v>24.201249999999998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81-4ED5-9DD0-6C6AC730FAC7}"/>
            </c:ext>
          </c:extLst>
        </c:ser>
        <c:ser>
          <c:idx val="5"/>
          <c:order val="4"/>
          <c:tx>
            <c:v>PG 5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('2.DL'!$AA$19,'2.DL'!$AA$71,'2.DL'!$AA$122)</c:f>
              <c:numCache>
                <c:formatCode>0.0</c:formatCode>
                <c:ptCount val="3"/>
                <c:pt idx="0">
                  <c:v>35.683750000000003</c:v>
                </c:pt>
                <c:pt idx="1">
                  <c:v>36.063749999999999</c:v>
                </c:pt>
                <c:pt idx="2">
                  <c:v>33.096249999999998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81-4ED5-9DD0-6C6AC730FAC7}"/>
            </c:ext>
          </c:extLst>
        </c:ser>
        <c:ser>
          <c:idx val="2"/>
          <c:order val="5"/>
          <c:tx>
            <c:v>PG 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('2.DL'!$A$1,'2.DL'!$A$53,'2.DL'!$A$104)</c:f>
              <c:numCache>
                <c:formatCode>m/d/yyyy</c:formatCode>
                <c:ptCount val="3"/>
                <c:pt idx="0">
                  <c:v>44686</c:v>
                </c:pt>
                <c:pt idx="1">
                  <c:v>44693</c:v>
                </c:pt>
                <c:pt idx="2">
                  <c:v>44699</c:v>
                </c:pt>
              </c:numCache>
            </c:numRef>
          </c:cat>
          <c:val>
            <c:numRef>
              <c:f>('2.DL'!$AA$23,'2.DL'!$AA$75,'2.DL'!$AA$126)</c:f>
              <c:numCache>
                <c:formatCode>0.0</c:formatCode>
                <c:ptCount val="3"/>
                <c:pt idx="0">
                  <c:v>36.195</c:v>
                </c:pt>
                <c:pt idx="1">
                  <c:v>33.012500000000003</c:v>
                </c:pt>
                <c:pt idx="2">
                  <c:v>27.7925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81-4ED5-9DD0-6C6AC730F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815024"/>
        <c:axId val="1750825424"/>
      </c:lineChart>
      <c:dateAx>
        <c:axId val="1750815024"/>
        <c:scaling>
          <c:orientation val="minMax"/>
          <c:max val="4469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0825424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1750825424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Blatt-Stickstoff-Konzentartion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5081502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Chlorophyllgehalt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PG 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('2.DL'!$A$1,'2.DL'!$A$53,'2.DL'!$A$104)</c:f>
              <c:numCache>
                <c:formatCode>m/d/yyyy</c:formatCode>
                <c:ptCount val="3"/>
                <c:pt idx="0">
                  <c:v>44686</c:v>
                </c:pt>
                <c:pt idx="1">
                  <c:v>44693</c:v>
                </c:pt>
                <c:pt idx="2">
                  <c:v>44699</c:v>
                </c:pt>
              </c:numCache>
            </c:numRef>
          </c:cat>
          <c:val>
            <c:numRef>
              <c:f>('2.DL'!$AA$27,'2.DL'!$AA$79,'2.DL'!$AA$130)</c:f>
              <c:numCache>
                <c:formatCode>0.0</c:formatCode>
                <c:ptCount val="3"/>
                <c:pt idx="0">
                  <c:v>35.667500000000004</c:v>
                </c:pt>
                <c:pt idx="1">
                  <c:v>34.106250000000003</c:v>
                </c:pt>
                <c:pt idx="2">
                  <c:v>31.158750000000001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F-40B3-94D9-5C42E84239F6}"/>
            </c:ext>
          </c:extLst>
        </c:ser>
        <c:ser>
          <c:idx val="1"/>
          <c:order val="1"/>
          <c:tx>
            <c:v>PG 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('2.DL'!$AA$31,'2.DL'!$AA$83,'2.DL'!$AA$134)</c:f>
              <c:numCache>
                <c:formatCode>0.0</c:formatCode>
                <c:ptCount val="3"/>
                <c:pt idx="0">
                  <c:v>33.597499999999997</c:v>
                </c:pt>
                <c:pt idx="1">
                  <c:v>31.7575</c:v>
                </c:pt>
                <c:pt idx="2">
                  <c:v>26.945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F-40B3-94D9-5C42E84239F6}"/>
            </c:ext>
          </c:extLst>
        </c:ser>
        <c:ser>
          <c:idx val="2"/>
          <c:order val="2"/>
          <c:tx>
            <c:v>PG 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('2.DL'!$AA$35,'2.DL'!$AA$87,'2.DL'!$AA$138)</c:f>
              <c:numCache>
                <c:formatCode>0.0</c:formatCode>
                <c:ptCount val="3"/>
                <c:pt idx="0">
                  <c:v>41.311250000000008</c:v>
                </c:pt>
                <c:pt idx="1">
                  <c:v>38.911249999999995</c:v>
                </c:pt>
                <c:pt idx="2">
                  <c:v>35.579124999999998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F-40B3-94D9-5C42E84239F6}"/>
            </c:ext>
          </c:extLst>
        </c:ser>
        <c:ser>
          <c:idx val="3"/>
          <c:order val="3"/>
          <c:tx>
            <c:v>PG 10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('2.DL'!$AA$39,'2.DL'!$AA$91,'2.DL'!$AA$142)</c:f>
              <c:numCache>
                <c:formatCode>0.0</c:formatCode>
                <c:ptCount val="3"/>
                <c:pt idx="0">
                  <c:v>36.003749999999997</c:v>
                </c:pt>
                <c:pt idx="1">
                  <c:v>31.64</c:v>
                </c:pt>
                <c:pt idx="2">
                  <c:v>26.111249999999998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AF-40B3-94D9-5C42E84239F6}"/>
            </c:ext>
          </c:extLst>
        </c:ser>
        <c:ser>
          <c:idx val="4"/>
          <c:order val="4"/>
          <c:tx>
            <c:v>PG 11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('2.DL'!$AA$43,'2.DL'!$AA$95,'2.DL'!$AA$146)</c:f>
              <c:numCache>
                <c:formatCode>0.0</c:formatCode>
                <c:ptCount val="3"/>
                <c:pt idx="0">
                  <c:v>39.882500000000007</c:v>
                </c:pt>
                <c:pt idx="1">
                  <c:v>39.431250000000006</c:v>
                </c:pt>
                <c:pt idx="2">
                  <c:v>36.167500000000004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AF-40B3-94D9-5C42E84239F6}"/>
            </c:ext>
          </c:extLst>
        </c:ser>
        <c:ser>
          <c:idx val="5"/>
          <c:order val="5"/>
          <c:tx>
            <c:v>PG 12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('2.DL'!$AA$47,'2.DL'!$AA$99,'2.DL'!$AA$150)</c:f>
              <c:numCache>
                <c:formatCode>0.0</c:formatCode>
                <c:ptCount val="3"/>
                <c:pt idx="0">
                  <c:v>36.186249999999994</c:v>
                </c:pt>
                <c:pt idx="1">
                  <c:v>35.796250000000001</c:v>
                </c:pt>
                <c:pt idx="2">
                  <c:v>30.387500000000003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AF-40B3-94D9-5C42E8423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530240"/>
        <c:axId val="2109531488"/>
      </c:lineChart>
      <c:dateAx>
        <c:axId val="210953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Datum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9531488"/>
        <c:crosses val="autoZero"/>
        <c:auto val="1"/>
        <c:lblOffset val="100"/>
        <c:baseTimeUnit val="days"/>
      </c:dateAx>
      <c:valAx>
        <c:axId val="21095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Blatt-Stickstoff-Konzentration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953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</xdr:row>
      <xdr:rowOff>85725</xdr:rowOff>
    </xdr:from>
    <xdr:to>
      <xdr:col>6</xdr:col>
      <xdr:colOff>380319</xdr:colOff>
      <xdr:row>15</xdr:row>
      <xdr:rowOff>149678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9353B16-D633-488F-B2EF-EB1F0734B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</xdr:row>
      <xdr:rowOff>57150</xdr:rowOff>
    </xdr:from>
    <xdr:to>
      <xdr:col>13</xdr:col>
      <xdr:colOff>114300</xdr:colOff>
      <xdr:row>15</xdr:row>
      <xdr:rowOff>133350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B6EC7FB-FD6A-48B9-B08F-C523E67B6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953F-F439-4183-94F5-4B929F284684}">
  <dimension ref="A2:A4"/>
  <sheetViews>
    <sheetView tabSelected="1" workbookViewId="0">
      <selection activeCell="A5" sqref="A5"/>
    </sheetView>
  </sheetViews>
  <sheetFormatPr baseColWidth="10" defaultRowHeight="15" x14ac:dyDescent="0.25"/>
  <sheetData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878D-7D82-4AE7-A0FC-B276C8C7BB2E}">
  <dimension ref="A2:AT120"/>
  <sheetViews>
    <sheetView zoomScale="90" zoomScaleNormal="90" workbookViewId="0">
      <selection activeCell="H21" sqref="H21"/>
    </sheetView>
  </sheetViews>
  <sheetFormatPr baseColWidth="10" defaultRowHeight="15" x14ac:dyDescent="0.25"/>
  <cols>
    <col min="1" max="1" width="15.7109375" customWidth="1"/>
    <col min="2" max="21" width="6.7109375" customWidth="1"/>
    <col min="22" max="46" width="5.7109375" customWidth="1"/>
  </cols>
  <sheetData>
    <row r="2" spans="1:46" ht="21.75" thickBot="1" x14ac:dyDescent="0.4">
      <c r="A2" s="49" t="s">
        <v>21</v>
      </c>
    </row>
    <row r="3" spans="1:46" x14ac:dyDescent="0.25">
      <c r="A3" s="44"/>
      <c r="B3" s="44">
        <v>1</v>
      </c>
      <c r="C3" s="44">
        <v>2</v>
      </c>
      <c r="D3" s="44">
        <v>3</v>
      </c>
      <c r="E3" s="44">
        <v>4</v>
      </c>
      <c r="F3" s="44">
        <v>5</v>
      </c>
      <c r="G3" s="44">
        <v>6</v>
      </c>
      <c r="H3" s="44">
        <v>7</v>
      </c>
      <c r="I3" s="44">
        <v>8</v>
      </c>
      <c r="J3" s="44">
        <v>9</v>
      </c>
      <c r="K3" s="44">
        <v>10</v>
      </c>
      <c r="L3" s="44">
        <v>11</v>
      </c>
      <c r="M3" s="44">
        <v>12</v>
      </c>
      <c r="N3" s="44">
        <v>13</v>
      </c>
      <c r="O3" s="44">
        <v>14</v>
      </c>
      <c r="P3" s="44">
        <v>15</v>
      </c>
      <c r="Q3" s="44">
        <v>16</v>
      </c>
      <c r="R3" s="44">
        <v>17</v>
      </c>
      <c r="S3" s="44">
        <v>18</v>
      </c>
      <c r="T3" s="44">
        <v>19</v>
      </c>
      <c r="U3" s="44">
        <v>20</v>
      </c>
      <c r="V3" s="44">
        <v>21</v>
      </c>
      <c r="W3" s="44">
        <v>22</v>
      </c>
      <c r="X3" s="44">
        <v>23</v>
      </c>
      <c r="Y3" s="44">
        <v>24</v>
      </c>
      <c r="Z3" s="44">
        <v>25</v>
      </c>
      <c r="AA3" s="44">
        <v>26</v>
      </c>
      <c r="AB3" s="44">
        <v>27</v>
      </c>
      <c r="AC3" s="44">
        <v>28</v>
      </c>
      <c r="AD3" s="44">
        <v>29</v>
      </c>
      <c r="AE3" s="44">
        <v>30</v>
      </c>
      <c r="AF3" s="44">
        <v>31</v>
      </c>
      <c r="AG3" s="44">
        <v>32</v>
      </c>
      <c r="AH3" s="44">
        <v>33</v>
      </c>
      <c r="AI3" s="44">
        <v>34</v>
      </c>
      <c r="AJ3" s="44">
        <v>35</v>
      </c>
      <c r="AK3" s="44">
        <v>36</v>
      </c>
      <c r="AL3" s="44">
        <v>37</v>
      </c>
      <c r="AM3" s="44">
        <v>38</v>
      </c>
      <c r="AN3" s="44">
        <v>39</v>
      </c>
      <c r="AO3" s="44">
        <v>40</v>
      </c>
      <c r="AP3" s="44">
        <v>41</v>
      </c>
      <c r="AQ3" s="44">
        <v>42</v>
      </c>
      <c r="AR3" s="48">
        <v>43</v>
      </c>
      <c r="AS3" s="29" t="s">
        <v>3</v>
      </c>
      <c r="AT3" s="28" t="s">
        <v>2</v>
      </c>
    </row>
    <row r="4" spans="1:46" x14ac:dyDescent="0.25">
      <c r="A4" s="44" t="s">
        <v>20</v>
      </c>
      <c r="B4" s="15">
        <v>29.8</v>
      </c>
      <c r="C4" s="15">
        <v>21.7</v>
      </c>
      <c r="D4" s="15">
        <v>22.8</v>
      </c>
      <c r="E4" s="15">
        <v>26.5</v>
      </c>
      <c r="F4" s="15">
        <v>29.5</v>
      </c>
      <c r="G4" s="15">
        <v>26.8</v>
      </c>
      <c r="H4" s="15">
        <v>28.4</v>
      </c>
      <c r="I4" s="15">
        <v>31</v>
      </c>
      <c r="J4" s="15">
        <v>30.3</v>
      </c>
      <c r="K4" s="15" t="s">
        <v>4</v>
      </c>
      <c r="L4" s="15">
        <v>27</v>
      </c>
      <c r="M4" s="15">
        <v>28.4</v>
      </c>
      <c r="N4" s="15">
        <v>26.4</v>
      </c>
      <c r="O4" s="15">
        <v>26</v>
      </c>
      <c r="P4" s="15">
        <v>33.200000000000003</v>
      </c>
      <c r="Q4" s="15">
        <v>32.4</v>
      </c>
      <c r="R4" s="15">
        <v>31.5</v>
      </c>
      <c r="S4" s="15">
        <v>29.5</v>
      </c>
      <c r="T4" s="15">
        <v>31.3</v>
      </c>
      <c r="U4" s="15">
        <v>27</v>
      </c>
      <c r="V4" s="15">
        <v>32.799999999999997</v>
      </c>
      <c r="W4" s="15">
        <v>27</v>
      </c>
      <c r="X4" s="15">
        <v>33.1</v>
      </c>
      <c r="Y4" s="15">
        <v>33.9</v>
      </c>
      <c r="Z4" s="15">
        <v>32.4</v>
      </c>
      <c r="AA4" s="15">
        <v>30.1</v>
      </c>
      <c r="AB4" s="15">
        <v>28.1</v>
      </c>
      <c r="AC4" s="15">
        <v>24.6</v>
      </c>
      <c r="AD4" s="15">
        <v>28</v>
      </c>
      <c r="AE4" s="15">
        <v>29.9</v>
      </c>
      <c r="AF4" s="15" t="s">
        <v>17</v>
      </c>
      <c r="AG4" s="15">
        <v>31.1</v>
      </c>
      <c r="AH4" s="15">
        <v>29.2</v>
      </c>
      <c r="AI4" s="15">
        <v>32.6</v>
      </c>
      <c r="AJ4" s="15">
        <v>27.6</v>
      </c>
      <c r="AK4" s="15">
        <v>29.9</v>
      </c>
      <c r="AL4" s="15">
        <v>36.700000000000003</v>
      </c>
      <c r="AM4" s="15">
        <v>25.8</v>
      </c>
      <c r="AN4" s="15">
        <v>28.3</v>
      </c>
      <c r="AO4" s="15" t="s">
        <v>6</v>
      </c>
      <c r="AP4" s="15">
        <v>30.6</v>
      </c>
      <c r="AQ4" s="15">
        <v>29.1</v>
      </c>
      <c r="AR4" s="34">
        <v>23.9</v>
      </c>
      <c r="AS4" s="46">
        <f t="shared" ref="AS4:AS9" si="0">AVERAGE(B4:AR4)</f>
        <v>29.104999999999997</v>
      </c>
      <c r="AT4" s="45">
        <f t="shared" ref="AT4:AT9" si="1">_xlfn.STDEV.P(B4:AS4)</f>
        <v>3.0731686991862572</v>
      </c>
    </row>
    <row r="5" spans="1:46" x14ac:dyDescent="0.25">
      <c r="A5" s="47" t="s">
        <v>19</v>
      </c>
      <c r="B5" s="15">
        <v>28</v>
      </c>
      <c r="C5" s="15" t="s">
        <v>4</v>
      </c>
      <c r="D5" s="15">
        <v>29.4</v>
      </c>
      <c r="E5" s="15">
        <v>26.1</v>
      </c>
      <c r="F5" s="15">
        <v>28.7</v>
      </c>
      <c r="G5" s="15">
        <v>28.5</v>
      </c>
      <c r="H5" s="15">
        <v>27.8</v>
      </c>
      <c r="I5" s="15">
        <v>34.299999999999997</v>
      </c>
      <c r="J5" s="15">
        <v>31.2</v>
      </c>
      <c r="K5" s="15">
        <v>33.200000000000003</v>
      </c>
      <c r="L5" s="15">
        <v>37.200000000000003</v>
      </c>
      <c r="M5" s="15" t="s">
        <v>4</v>
      </c>
      <c r="N5" s="15">
        <v>28.7</v>
      </c>
      <c r="O5" s="15">
        <v>31.8</v>
      </c>
      <c r="P5" s="15">
        <v>29.5</v>
      </c>
      <c r="Q5" s="15" t="s">
        <v>18</v>
      </c>
      <c r="R5" s="15">
        <v>29.4</v>
      </c>
      <c r="S5" s="15">
        <v>33.200000000000003</v>
      </c>
      <c r="T5" s="15">
        <v>33.5</v>
      </c>
      <c r="U5" s="15">
        <v>31</v>
      </c>
      <c r="V5" s="15">
        <v>28.5</v>
      </c>
      <c r="W5" s="15">
        <v>33.4</v>
      </c>
      <c r="X5" s="15">
        <v>28.4</v>
      </c>
      <c r="Y5" s="15">
        <v>22.1</v>
      </c>
      <c r="Z5" s="15">
        <v>30.3</v>
      </c>
      <c r="AA5" s="15">
        <v>26.9</v>
      </c>
      <c r="AB5" s="15">
        <v>32.299999999999997</v>
      </c>
      <c r="AC5" s="15">
        <v>32.799999999999997</v>
      </c>
      <c r="AD5" s="15">
        <v>28.8</v>
      </c>
      <c r="AE5" s="15">
        <v>33</v>
      </c>
      <c r="AF5" s="15">
        <v>29.9</v>
      </c>
      <c r="AG5" s="15">
        <v>28.3</v>
      </c>
      <c r="AH5" s="15">
        <v>32.1</v>
      </c>
      <c r="AI5" s="15">
        <v>28.7</v>
      </c>
      <c r="AJ5" s="15">
        <v>32</v>
      </c>
      <c r="AK5" s="15" t="s">
        <v>17</v>
      </c>
      <c r="AL5" s="15">
        <v>24.7</v>
      </c>
      <c r="AM5" s="15">
        <v>29</v>
      </c>
      <c r="AN5" s="15">
        <v>35</v>
      </c>
      <c r="AO5" s="15">
        <v>32.299999999999997</v>
      </c>
      <c r="AP5" s="15">
        <v>29.2</v>
      </c>
      <c r="AQ5" s="15">
        <v>33.700000000000003</v>
      </c>
      <c r="AR5" s="34">
        <v>31.6</v>
      </c>
      <c r="AS5" s="46">
        <f t="shared" si="0"/>
        <v>30.371794871794865</v>
      </c>
      <c r="AT5" s="45">
        <f t="shared" si="1"/>
        <v>2.8953366572774151</v>
      </c>
    </row>
    <row r="6" spans="1:46" x14ac:dyDescent="0.25">
      <c r="A6" s="44" t="s">
        <v>16</v>
      </c>
      <c r="B6" s="15">
        <v>30.4</v>
      </c>
      <c r="C6" s="15">
        <v>30.85</v>
      </c>
      <c r="D6" s="15">
        <v>28.2</v>
      </c>
      <c r="E6" s="15">
        <v>24</v>
      </c>
      <c r="F6" s="15">
        <v>30.5</v>
      </c>
      <c r="G6" s="15">
        <v>28.9</v>
      </c>
      <c r="H6" s="15">
        <v>24.6</v>
      </c>
      <c r="I6" s="15">
        <v>30</v>
      </c>
      <c r="J6" s="15">
        <v>30.85</v>
      </c>
      <c r="K6" s="15">
        <v>24.1</v>
      </c>
      <c r="L6" s="15">
        <v>33.6</v>
      </c>
      <c r="M6" s="15">
        <v>31.3</v>
      </c>
      <c r="N6" s="15">
        <v>32.9</v>
      </c>
      <c r="O6" s="15">
        <v>26.4</v>
      </c>
      <c r="P6" s="15">
        <v>34.5</v>
      </c>
      <c r="Q6" s="15">
        <v>31.5</v>
      </c>
      <c r="R6" s="15">
        <v>29.2</v>
      </c>
      <c r="S6" s="15">
        <v>30.4</v>
      </c>
      <c r="T6" s="15">
        <v>32.1</v>
      </c>
      <c r="U6" s="15">
        <v>29.1</v>
      </c>
      <c r="V6" s="15">
        <v>31</v>
      </c>
      <c r="W6" s="15">
        <v>29.3</v>
      </c>
      <c r="X6" s="15">
        <v>22.8</v>
      </c>
      <c r="Y6" s="15">
        <v>27.4</v>
      </c>
      <c r="Z6" s="15">
        <v>25.8</v>
      </c>
      <c r="AA6" s="15">
        <v>25.6</v>
      </c>
      <c r="AB6" s="15">
        <v>31.9</v>
      </c>
      <c r="AC6" s="15">
        <v>31.2</v>
      </c>
      <c r="AD6" s="15">
        <v>29.5</v>
      </c>
      <c r="AE6" s="15">
        <v>24.6</v>
      </c>
      <c r="AF6" s="15">
        <v>22.8</v>
      </c>
      <c r="AG6" s="15">
        <v>28.8</v>
      </c>
      <c r="AH6" s="15">
        <v>31.2</v>
      </c>
      <c r="AI6" s="15">
        <v>26.1</v>
      </c>
      <c r="AJ6" s="15">
        <v>28.3</v>
      </c>
      <c r="AK6" s="15">
        <v>30.4</v>
      </c>
      <c r="AL6" s="15">
        <v>27</v>
      </c>
      <c r="AM6" s="15">
        <v>29.2</v>
      </c>
      <c r="AN6" s="15">
        <v>25.5</v>
      </c>
      <c r="AO6" s="15">
        <v>31.4</v>
      </c>
      <c r="AP6" s="15">
        <v>26.1</v>
      </c>
      <c r="AQ6" s="15">
        <v>32.200000000000003</v>
      </c>
      <c r="AR6" s="34">
        <v>31.5</v>
      </c>
      <c r="AS6" s="46">
        <f t="shared" si="0"/>
        <v>28.906976744186046</v>
      </c>
      <c r="AT6" s="45">
        <f t="shared" si="1"/>
        <v>2.9315017365318767</v>
      </c>
    </row>
    <row r="7" spans="1:46" x14ac:dyDescent="0.25">
      <c r="A7" s="44" t="s">
        <v>15</v>
      </c>
      <c r="B7" s="15">
        <v>29.6</v>
      </c>
      <c r="C7" s="15">
        <v>32.700000000000003</v>
      </c>
      <c r="D7" s="15">
        <v>30.5</v>
      </c>
      <c r="E7" s="15">
        <v>29</v>
      </c>
      <c r="F7" s="15">
        <v>30.2</v>
      </c>
      <c r="G7" s="15">
        <v>24.2</v>
      </c>
      <c r="H7" s="15">
        <v>38.4</v>
      </c>
      <c r="I7" s="15">
        <v>28.4</v>
      </c>
      <c r="J7" s="15">
        <v>31</v>
      </c>
      <c r="K7" s="15">
        <v>27.9</v>
      </c>
      <c r="L7" s="15">
        <v>32</v>
      </c>
      <c r="M7" s="15">
        <v>27</v>
      </c>
      <c r="N7" s="15">
        <v>33.5</v>
      </c>
      <c r="O7" s="15">
        <v>27.1</v>
      </c>
      <c r="P7" s="15">
        <v>31.8</v>
      </c>
      <c r="Q7" s="15">
        <v>30.4</v>
      </c>
      <c r="R7" s="15">
        <v>28</v>
      </c>
      <c r="S7" s="15">
        <v>34</v>
      </c>
      <c r="T7" s="15">
        <v>29.6</v>
      </c>
      <c r="U7" s="15">
        <v>28.6</v>
      </c>
      <c r="V7" s="15">
        <v>27.6</v>
      </c>
      <c r="W7" s="15">
        <v>28</v>
      </c>
      <c r="X7" s="15">
        <v>33.700000000000003</v>
      </c>
      <c r="Y7" s="15">
        <v>25.3</v>
      </c>
      <c r="Z7" s="15">
        <v>31</v>
      </c>
      <c r="AA7" s="15">
        <v>26.1</v>
      </c>
      <c r="AB7" s="15">
        <v>30.7</v>
      </c>
      <c r="AC7" s="15">
        <v>32</v>
      </c>
      <c r="AD7" s="15">
        <v>25.1</v>
      </c>
      <c r="AE7" s="15">
        <v>33.299999999999997</v>
      </c>
      <c r="AF7" s="15">
        <v>28.7</v>
      </c>
      <c r="AG7" s="15">
        <v>24.3</v>
      </c>
      <c r="AH7" s="15">
        <v>31.2</v>
      </c>
      <c r="AI7" s="15">
        <v>27.5</v>
      </c>
      <c r="AJ7" s="15">
        <v>29.8</v>
      </c>
      <c r="AK7" s="15" t="s">
        <v>4</v>
      </c>
      <c r="AL7" s="15">
        <v>33.5</v>
      </c>
      <c r="AM7" s="15">
        <v>34.1</v>
      </c>
      <c r="AN7" s="15">
        <v>29.2</v>
      </c>
      <c r="AO7" s="15">
        <v>29.9</v>
      </c>
      <c r="AP7" s="15">
        <v>28.3</v>
      </c>
      <c r="AQ7" s="15">
        <v>30.6</v>
      </c>
      <c r="AR7" s="34">
        <v>33.4</v>
      </c>
      <c r="AS7" s="46">
        <f t="shared" si="0"/>
        <v>29.933333333333341</v>
      </c>
      <c r="AT7" s="45">
        <f t="shared" si="1"/>
        <v>2.923335675708183</v>
      </c>
    </row>
    <row r="8" spans="1:46" x14ac:dyDescent="0.25">
      <c r="A8" s="44" t="s">
        <v>14</v>
      </c>
      <c r="B8" s="15">
        <v>27</v>
      </c>
      <c r="C8" s="15">
        <v>26.8</v>
      </c>
      <c r="D8" s="15">
        <v>28.5</v>
      </c>
      <c r="E8" s="15">
        <v>30.5</v>
      </c>
      <c r="F8" s="15">
        <v>27.3</v>
      </c>
      <c r="G8" s="15">
        <v>26.4</v>
      </c>
      <c r="H8" s="15">
        <v>28.2</v>
      </c>
      <c r="I8" s="15">
        <v>28.8</v>
      </c>
      <c r="J8" s="15">
        <v>27.9</v>
      </c>
      <c r="K8" s="15">
        <v>33.9</v>
      </c>
      <c r="L8" s="15">
        <v>29.4</v>
      </c>
      <c r="M8" s="15">
        <v>31</v>
      </c>
      <c r="N8" s="15">
        <v>25.6</v>
      </c>
      <c r="O8" s="15">
        <v>27</v>
      </c>
      <c r="P8" s="15">
        <v>28.3</v>
      </c>
      <c r="Q8" s="15">
        <v>32.9</v>
      </c>
      <c r="R8" s="15">
        <v>24.6</v>
      </c>
      <c r="S8" s="15" t="s">
        <v>4</v>
      </c>
      <c r="T8" s="15">
        <v>28.9</v>
      </c>
      <c r="U8" s="15">
        <v>32.1</v>
      </c>
      <c r="V8" s="15">
        <v>36.200000000000003</v>
      </c>
      <c r="W8" s="15">
        <v>29.9</v>
      </c>
      <c r="X8" s="15">
        <v>31.6</v>
      </c>
      <c r="Y8" s="15">
        <v>28.5</v>
      </c>
      <c r="Z8" s="15">
        <v>28.1</v>
      </c>
      <c r="AA8" s="15">
        <v>31.1</v>
      </c>
      <c r="AB8" s="15">
        <v>24</v>
      </c>
      <c r="AC8" s="15">
        <v>30.5</v>
      </c>
      <c r="AD8" s="15">
        <v>29.2</v>
      </c>
      <c r="AE8" s="15">
        <v>26.8</v>
      </c>
      <c r="AF8" s="15">
        <v>34.6</v>
      </c>
      <c r="AG8" s="15">
        <v>31.1</v>
      </c>
      <c r="AH8" s="15" t="s">
        <v>4</v>
      </c>
      <c r="AI8" s="15">
        <v>31.6</v>
      </c>
      <c r="AJ8" s="15">
        <v>30.4</v>
      </c>
      <c r="AK8" s="15">
        <v>21.8</v>
      </c>
      <c r="AL8" s="15">
        <v>27.2</v>
      </c>
      <c r="AM8" s="15">
        <v>29.5</v>
      </c>
      <c r="AN8" s="15">
        <v>31.4</v>
      </c>
      <c r="AO8" s="15">
        <v>33.299999999999997</v>
      </c>
      <c r="AP8" s="15">
        <v>32</v>
      </c>
      <c r="AQ8" s="15">
        <v>24.4</v>
      </c>
      <c r="AR8" s="34">
        <v>26.4</v>
      </c>
      <c r="AS8" s="46">
        <f t="shared" si="0"/>
        <v>29.139024390243915</v>
      </c>
      <c r="AT8" s="45">
        <f t="shared" si="1"/>
        <v>2.9620518989037627</v>
      </c>
    </row>
    <row r="9" spans="1:46" ht="15.75" thickBot="1" x14ac:dyDescent="0.3">
      <c r="A9" s="44" t="s">
        <v>13</v>
      </c>
      <c r="B9" s="15">
        <v>32.700000000000003</v>
      </c>
      <c r="C9" s="15">
        <v>31</v>
      </c>
      <c r="D9" s="15">
        <v>31.9</v>
      </c>
      <c r="E9" s="15">
        <v>28</v>
      </c>
      <c r="F9" s="15">
        <v>26.7</v>
      </c>
      <c r="G9" s="15">
        <v>28.7</v>
      </c>
      <c r="H9" s="15">
        <v>29.3</v>
      </c>
      <c r="I9" s="15">
        <v>30.8</v>
      </c>
      <c r="J9" s="15">
        <v>30.8</v>
      </c>
      <c r="K9" s="15">
        <v>24.9</v>
      </c>
      <c r="L9" s="15">
        <v>30.9</v>
      </c>
      <c r="M9" s="15">
        <v>29</v>
      </c>
      <c r="N9" s="15">
        <v>26.1</v>
      </c>
      <c r="O9" s="15">
        <v>28.3</v>
      </c>
      <c r="P9" s="15">
        <v>29.4</v>
      </c>
      <c r="Q9" s="15">
        <v>33.9</v>
      </c>
      <c r="R9" s="15">
        <v>33.5</v>
      </c>
      <c r="S9" s="15" t="s">
        <v>4</v>
      </c>
      <c r="T9" s="15">
        <v>31.5</v>
      </c>
      <c r="U9" s="15">
        <v>32.4</v>
      </c>
      <c r="V9" s="15">
        <v>29.1</v>
      </c>
      <c r="W9" s="15">
        <v>33.299999999999997</v>
      </c>
      <c r="X9" s="15">
        <v>24.6</v>
      </c>
      <c r="Y9" s="15">
        <v>31.6</v>
      </c>
      <c r="Z9" s="15">
        <v>31.8</v>
      </c>
      <c r="AA9" s="15">
        <v>29.1</v>
      </c>
      <c r="AB9" s="15" t="s">
        <v>6</v>
      </c>
      <c r="AC9" s="15">
        <v>29.4</v>
      </c>
      <c r="AD9" s="15">
        <v>34</v>
      </c>
      <c r="AE9" s="15">
        <v>29.9</v>
      </c>
      <c r="AF9" s="15">
        <v>28.7</v>
      </c>
      <c r="AG9" s="15">
        <v>24.7</v>
      </c>
      <c r="AH9" s="15">
        <v>27.4</v>
      </c>
      <c r="AI9" s="15">
        <v>29.5</v>
      </c>
      <c r="AJ9" s="15">
        <v>32.4</v>
      </c>
      <c r="AK9" s="15">
        <v>29.4</v>
      </c>
      <c r="AL9" s="15">
        <v>32.9</v>
      </c>
      <c r="AM9" s="15">
        <v>28.3</v>
      </c>
      <c r="AN9" s="15">
        <v>24.3</v>
      </c>
      <c r="AO9" s="15">
        <v>31.7</v>
      </c>
      <c r="AP9" s="15">
        <v>29</v>
      </c>
      <c r="AQ9" s="15">
        <v>30.7</v>
      </c>
      <c r="AR9" s="34">
        <v>32</v>
      </c>
      <c r="AS9" s="43">
        <f t="shared" si="0"/>
        <v>29.843902439024387</v>
      </c>
      <c r="AT9" s="42">
        <f t="shared" si="1"/>
        <v>2.5350916937007195</v>
      </c>
    </row>
    <row r="11" spans="1:46" ht="15.75" thickBot="1" x14ac:dyDescent="0.3"/>
    <row r="12" spans="1:46" x14ac:dyDescent="0.25">
      <c r="A12" s="44"/>
      <c r="B12" s="44">
        <v>1</v>
      </c>
      <c r="C12" s="44">
        <v>2</v>
      </c>
      <c r="D12" s="44">
        <v>3</v>
      </c>
      <c r="E12" s="44">
        <v>4</v>
      </c>
      <c r="F12" s="44">
        <v>5</v>
      </c>
      <c r="G12" s="44">
        <v>6</v>
      </c>
      <c r="H12" s="44">
        <v>7</v>
      </c>
      <c r="I12" s="44">
        <v>8</v>
      </c>
      <c r="J12" s="44">
        <v>9</v>
      </c>
      <c r="K12" s="44">
        <v>10</v>
      </c>
      <c r="L12" s="44">
        <v>11</v>
      </c>
      <c r="M12" s="44">
        <v>12</v>
      </c>
      <c r="N12" s="44">
        <v>13</v>
      </c>
      <c r="O12" s="44">
        <v>14</v>
      </c>
      <c r="P12" s="44">
        <v>15</v>
      </c>
      <c r="Q12" s="44">
        <v>16</v>
      </c>
      <c r="R12" s="44">
        <v>17</v>
      </c>
      <c r="S12" s="44">
        <v>18</v>
      </c>
      <c r="T12" s="44">
        <v>19</v>
      </c>
      <c r="U12" s="44">
        <v>20</v>
      </c>
      <c r="V12" s="44">
        <v>21</v>
      </c>
      <c r="W12" s="44">
        <v>22</v>
      </c>
      <c r="X12" s="44">
        <v>23</v>
      </c>
      <c r="Y12" s="44">
        <v>24</v>
      </c>
      <c r="Z12" s="44">
        <v>25</v>
      </c>
      <c r="AA12" s="44">
        <v>26</v>
      </c>
      <c r="AB12" s="44">
        <v>27</v>
      </c>
      <c r="AC12" s="44">
        <v>28</v>
      </c>
      <c r="AD12" s="44">
        <v>29</v>
      </c>
      <c r="AE12" s="44">
        <v>30</v>
      </c>
      <c r="AF12" s="44">
        <v>31</v>
      </c>
      <c r="AG12" s="44">
        <v>32</v>
      </c>
      <c r="AH12" s="44">
        <v>33</v>
      </c>
      <c r="AI12" s="44">
        <v>34</v>
      </c>
      <c r="AJ12" s="44">
        <v>35</v>
      </c>
      <c r="AK12" s="44">
        <v>36</v>
      </c>
      <c r="AL12" s="44">
        <v>37</v>
      </c>
      <c r="AM12" s="44">
        <v>38</v>
      </c>
      <c r="AN12" s="44">
        <v>39</v>
      </c>
      <c r="AO12" s="44">
        <v>40</v>
      </c>
      <c r="AP12" s="44">
        <v>41</v>
      </c>
      <c r="AQ12" s="44">
        <v>42</v>
      </c>
      <c r="AR12" s="48">
        <v>43</v>
      </c>
      <c r="AS12" s="29" t="s">
        <v>3</v>
      </c>
      <c r="AT12" s="28" t="s">
        <v>2</v>
      </c>
    </row>
    <row r="13" spans="1:46" x14ac:dyDescent="0.25">
      <c r="A13" s="44" t="s">
        <v>12</v>
      </c>
      <c r="B13" s="15" t="s">
        <v>4</v>
      </c>
      <c r="C13" s="15">
        <v>36.6</v>
      </c>
      <c r="D13" s="15">
        <v>36.299999999999997</v>
      </c>
      <c r="E13" s="15">
        <v>34.5</v>
      </c>
      <c r="F13" s="15">
        <v>35.1</v>
      </c>
      <c r="G13" s="15">
        <v>25.2</v>
      </c>
      <c r="H13" s="15" t="s">
        <v>6</v>
      </c>
      <c r="I13" s="15">
        <v>33.6</v>
      </c>
      <c r="J13" s="15">
        <v>33.6</v>
      </c>
      <c r="K13" s="15">
        <v>33.799999999999997</v>
      </c>
      <c r="L13" s="15">
        <v>35</v>
      </c>
      <c r="M13" s="15">
        <v>27.7</v>
      </c>
      <c r="N13" s="15">
        <v>27.6</v>
      </c>
      <c r="O13" s="15">
        <v>24.9</v>
      </c>
      <c r="P13" s="15">
        <v>35.5</v>
      </c>
      <c r="Q13" s="15">
        <v>25.6</v>
      </c>
      <c r="R13" s="15">
        <v>38.299999999999997</v>
      </c>
      <c r="S13" s="15">
        <v>32.200000000000003</v>
      </c>
      <c r="T13" s="15">
        <v>35.799999999999997</v>
      </c>
      <c r="U13" s="15">
        <v>36.5</v>
      </c>
      <c r="V13" s="15">
        <v>34.700000000000003</v>
      </c>
      <c r="W13" s="15">
        <v>31.1</v>
      </c>
      <c r="X13" s="15">
        <v>38.700000000000003</v>
      </c>
      <c r="Y13" s="15">
        <v>31.8</v>
      </c>
      <c r="Z13" s="15">
        <v>32.700000000000003</v>
      </c>
      <c r="AA13" s="15">
        <v>36.4</v>
      </c>
      <c r="AB13" s="15">
        <v>33.799999999999997</v>
      </c>
      <c r="AC13" s="15">
        <v>32.200000000000003</v>
      </c>
      <c r="AD13" s="15">
        <v>36.4</v>
      </c>
      <c r="AE13" s="15">
        <v>37.299999999999997</v>
      </c>
      <c r="AF13" s="15">
        <v>36.5</v>
      </c>
      <c r="AG13" s="15">
        <v>35</v>
      </c>
      <c r="AH13" s="15">
        <v>26.6</v>
      </c>
      <c r="AI13" s="15">
        <v>36.799999999999997</v>
      </c>
      <c r="AJ13" s="15">
        <v>33</v>
      </c>
      <c r="AK13" s="15">
        <v>33.299999999999997</v>
      </c>
      <c r="AL13" s="15" t="s">
        <v>6</v>
      </c>
      <c r="AM13" s="15">
        <v>31.9</v>
      </c>
      <c r="AN13" s="15">
        <v>36.299999999999997</v>
      </c>
      <c r="AO13" s="15">
        <v>27</v>
      </c>
      <c r="AP13" s="15">
        <v>33.6</v>
      </c>
      <c r="AQ13" s="15">
        <v>39.9</v>
      </c>
      <c r="AR13" s="34">
        <v>36.200000000000003</v>
      </c>
      <c r="AS13" s="46">
        <f t="shared" ref="AS13:AS18" si="2">AVERAGE(B13:AR13)</f>
        <v>33.475000000000001</v>
      </c>
      <c r="AT13" s="45">
        <f t="shared" ref="AT13:AT18" si="3">_xlfn.STDEV.P(B13:AS13)</f>
        <v>3.7671073200767466</v>
      </c>
    </row>
    <row r="14" spans="1:46" x14ac:dyDescent="0.25">
      <c r="A14" s="47" t="s">
        <v>11</v>
      </c>
      <c r="B14" s="15">
        <v>35.299999999999997</v>
      </c>
      <c r="C14" s="15">
        <v>33.799999999999997</v>
      </c>
      <c r="D14" s="15">
        <v>33.1</v>
      </c>
      <c r="E14" s="15">
        <v>28.1</v>
      </c>
      <c r="F14" s="15">
        <v>35.299999999999997</v>
      </c>
      <c r="G14" s="15">
        <v>29.6</v>
      </c>
      <c r="H14" s="15">
        <v>33.5</v>
      </c>
      <c r="I14" s="15">
        <v>37.6</v>
      </c>
      <c r="J14" s="15">
        <v>37.6</v>
      </c>
      <c r="K14" s="15">
        <v>34.700000000000003</v>
      </c>
      <c r="L14" s="15">
        <v>35.700000000000003</v>
      </c>
      <c r="M14" s="15">
        <v>27.3</v>
      </c>
      <c r="N14" s="15">
        <v>33.200000000000003</v>
      </c>
      <c r="O14" s="15">
        <v>34.4</v>
      </c>
      <c r="P14" s="15">
        <v>33.200000000000003</v>
      </c>
      <c r="Q14" s="15">
        <v>32.799999999999997</v>
      </c>
      <c r="R14" s="15">
        <v>32</v>
      </c>
      <c r="S14" s="15">
        <v>32.6</v>
      </c>
      <c r="T14" s="15">
        <v>30</v>
      </c>
      <c r="U14" s="15" t="s">
        <v>4</v>
      </c>
      <c r="V14" s="15">
        <v>26.2</v>
      </c>
      <c r="W14" s="15">
        <v>31.9</v>
      </c>
      <c r="X14" s="15">
        <v>34.1</v>
      </c>
      <c r="Y14" s="15">
        <v>24.7</v>
      </c>
      <c r="Z14" s="15">
        <v>33.299999999999997</v>
      </c>
      <c r="AA14" s="15">
        <v>32.799999999999997</v>
      </c>
      <c r="AB14" s="15">
        <v>25.6</v>
      </c>
      <c r="AC14" s="15">
        <v>34.1</v>
      </c>
      <c r="AD14" s="15">
        <v>33.9</v>
      </c>
      <c r="AE14" s="15">
        <v>25</v>
      </c>
      <c r="AF14" s="15">
        <v>33.799999999999997</v>
      </c>
      <c r="AG14" s="15">
        <v>25.4</v>
      </c>
      <c r="AH14" s="15">
        <v>32.299999999999997</v>
      </c>
      <c r="AI14" s="15">
        <v>33.5</v>
      </c>
      <c r="AJ14" s="15">
        <v>29.6</v>
      </c>
      <c r="AK14" s="15">
        <v>34.1</v>
      </c>
      <c r="AL14" s="15">
        <v>36.9</v>
      </c>
      <c r="AM14" s="15">
        <v>31.4</v>
      </c>
      <c r="AN14" s="15">
        <v>34</v>
      </c>
      <c r="AO14" s="15">
        <v>36.1</v>
      </c>
      <c r="AP14" s="15">
        <v>30.4</v>
      </c>
      <c r="AQ14" s="15">
        <v>32.700000000000003</v>
      </c>
      <c r="AR14" s="34">
        <v>27.2</v>
      </c>
      <c r="AS14" s="46">
        <f t="shared" si="2"/>
        <v>32.114285714285714</v>
      </c>
      <c r="AT14" s="45">
        <f t="shared" si="3"/>
        <v>3.3776675197174706</v>
      </c>
    </row>
    <row r="15" spans="1:46" x14ac:dyDescent="0.25">
      <c r="A15" s="44" t="s">
        <v>10</v>
      </c>
      <c r="B15" s="15">
        <v>35.700000000000003</v>
      </c>
      <c r="C15" s="15">
        <v>31.8</v>
      </c>
      <c r="D15" s="15">
        <v>27.8</v>
      </c>
      <c r="E15" s="15">
        <v>31.8</v>
      </c>
      <c r="F15" s="15">
        <v>33.5</v>
      </c>
      <c r="G15" s="15">
        <v>26.3</v>
      </c>
      <c r="H15" s="15">
        <v>31.4</v>
      </c>
      <c r="I15" s="15">
        <v>34.4</v>
      </c>
      <c r="J15" s="15">
        <v>31.6</v>
      </c>
      <c r="K15" s="15">
        <v>31.2</v>
      </c>
      <c r="L15" s="15">
        <v>31.4</v>
      </c>
      <c r="M15" s="15">
        <v>34</v>
      </c>
      <c r="N15" s="15">
        <v>32.700000000000003</v>
      </c>
      <c r="O15" s="15">
        <v>37.799999999999997</v>
      </c>
      <c r="P15" s="15">
        <v>38.9</v>
      </c>
      <c r="Q15" s="15">
        <v>33.700000000000003</v>
      </c>
      <c r="R15" s="15">
        <v>32.799999999999997</v>
      </c>
      <c r="S15" s="15">
        <v>36.700000000000003</v>
      </c>
      <c r="T15" s="15">
        <v>33.5</v>
      </c>
      <c r="U15" s="15">
        <v>27.8</v>
      </c>
      <c r="V15" s="15">
        <v>33.4</v>
      </c>
      <c r="W15" s="15">
        <v>33.4</v>
      </c>
      <c r="X15" s="15">
        <v>31.4</v>
      </c>
      <c r="Y15" s="15">
        <v>29.7</v>
      </c>
      <c r="Z15" s="15">
        <v>28.2</v>
      </c>
      <c r="AA15" s="15">
        <v>31.7</v>
      </c>
      <c r="AB15" s="15">
        <v>33</v>
      </c>
      <c r="AC15" s="15">
        <v>37.700000000000003</v>
      </c>
      <c r="AD15" s="15">
        <v>39.700000000000003</v>
      </c>
      <c r="AE15" s="15">
        <v>28.6</v>
      </c>
      <c r="AF15" s="15">
        <v>30</v>
      </c>
      <c r="AG15" s="15">
        <v>32.9</v>
      </c>
      <c r="AH15" s="15">
        <v>31</v>
      </c>
      <c r="AI15" s="15">
        <v>28.7</v>
      </c>
      <c r="AJ15" s="15">
        <v>32.299999999999997</v>
      </c>
      <c r="AK15" s="15">
        <v>30.9</v>
      </c>
      <c r="AL15" s="15">
        <v>35.9</v>
      </c>
      <c r="AM15" s="15">
        <v>29.6</v>
      </c>
      <c r="AN15" s="15">
        <v>30.4</v>
      </c>
      <c r="AO15" s="15">
        <v>34.799999999999997</v>
      </c>
      <c r="AP15" s="15">
        <v>32.799999999999997</v>
      </c>
      <c r="AQ15" s="15">
        <v>33.1</v>
      </c>
      <c r="AR15" s="34">
        <v>33.4</v>
      </c>
      <c r="AS15" s="46">
        <f t="shared" si="2"/>
        <v>32.49767441860466</v>
      </c>
      <c r="AT15" s="45">
        <f t="shared" si="3"/>
        <v>2.9218991622894412</v>
      </c>
    </row>
    <row r="16" spans="1:46" x14ac:dyDescent="0.25">
      <c r="A16" s="44" t="s">
        <v>9</v>
      </c>
      <c r="B16" s="15">
        <v>29</v>
      </c>
      <c r="C16" s="15">
        <v>33.9</v>
      </c>
      <c r="D16" s="15">
        <v>30.4</v>
      </c>
      <c r="E16" s="15">
        <v>36.799999999999997</v>
      </c>
      <c r="F16" s="15">
        <v>34</v>
      </c>
      <c r="G16" s="15">
        <v>32.799999999999997</v>
      </c>
      <c r="H16" s="15">
        <v>34</v>
      </c>
      <c r="I16" s="15">
        <v>31.1</v>
      </c>
      <c r="J16" s="15">
        <v>31.4</v>
      </c>
      <c r="K16" s="15">
        <v>31.6</v>
      </c>
      <c r="L16" s="15">
        <v>35.9</v>
      </c>
      <c r="M16" s="15">
        <v>37.799999999999997</v>
      </c>
      <c r="N16" s="15">
        <v>43.5</v>
      </c>
      <c r="O16" s="15">
        <v>28.2</v>
      </c>
      <c r="P16" s="15">
        <v>32.200000000000003</v>
      </c>
      <c r="Q16" s="15">
        <v>27.8</v>
      </c>
      <c r="R16" s="15">
        <v>34.799999999999997</v>
      </c>
      <c r="S16" s="15">
        <v>32.9</v>
      </c>
      <c r="T16" s="15">
        <v>33.700000000000003</v>
      </c>
      <c r="U16" s="15">
        <v>31.7</v>
      </c>
      <c r="V16" s="15">
        <v>33.9</v>
      </c>
      <c r="W16" s="15">
        <v>34.5</v>
      </c>
      <c r="X16" s="15" t="s">
        <v>4</v>
      </c>
      <c r="Y16" s="15">
        <v>28.3</v>
      </c>
      <c r="Z16" s="15">
        <v>33.1</v>
      </c>
      <c r="AA16" s="15">
        <v>33.9</v>
      </c>
      <c r="AB16" s="15">
        <v>31.3</v>
      </c>
      <c r="AC16" s="15">
        <v>29.7</v>
      </c>
      <c r="AD16" s="15">
        <v>35.200000000000003</v>
      </c>
      <c r="AE16" s="15">
        <v>35.299999999999997</v>
      </c>
      <c r="AF16" s="15">
        <v>32.200000000000003</v>
      </c>
      <c r="AG16" s="15">
        <v>31.2</v>
      </c>
      <c r="AH16" s="15">
        <v>34.5</v>
      </c>
      <c r="AI16" s="15">
        <v>29.2</v>
      </c>
      <c r="AJ16" s="15">
        <v>31</v>
      </c>
      <c r="AK16" s="15">
        <v>34</v>
      </c>
      <c r="AL16" s="15">
        <v>35.200000000000003</v>
      </c>
      <c r="AM16" s="15">
        <v>31.3</v>
      </c>
      <c r="AN16" s="15">
        <v>31.9</v>
      </c>
      <c r="AO16" s="15">
        <v>25.3</v>
      </c>
      <c r="AP16" s="15">
        <v>34.6</v>
      </c>
      <c r="AQ16" s="15">
        <v>29.9</v>
      </c>
      <c r="AR16" s="34">
        <v>35.299999999999997</v>
      </c>
      <c r="AS16" s="46">
        <f t="shared" si="2"/>
        <v>32.721428571428568</v>
      </c>
      <c r="AT16" s="45">
        <f t="shared" si="3"/>
        <v>3.0648446005057366</v>
      </c>
    </row>
    <row r="17" spans="1:46" x14ac:dyDescent="0.25">
      <c r="A17" s="44" t="s">
        <v>8</v>
      </c>
      <c r="B17" s="15">
        <v>36</v>
      </c>
      <c r="C17" s="15">
        <v>33.5</v>
      </c>
      <c r="D17" s="15">
        <v>28.3</v>
      </c>
      <c r="E17" s="15" t="s">
        <v>7</v>
      </c>
      <c r="F17" s="15">
        <v>36</v>
      </c>
      <c r="G17" s="15">
        <v>32</v>
      </c>
      <c r="H17" s="15">
        <v>36.799999999999997</v>
      </c>
      <c r="I17" s="15">
        <v>34.9</v>
      </c>
      <c r="J17" s="15">
        <v>36.200000000000003</v>
      </c>
      <c r="K17" s="15">
        <v>36.5</v>
      </c>
      <c r="L17" s="15">
        <v>35.5</v>
      </c>
      <c r="M17" s="15">
        <v>33.6</v>
      </c>
      <c r="N17" s="15">
        <v>34.799999999999997</v>
      </c>
      <c r="O17" s="15">
        <v>33.4</v>
      </c>
      <c r="P17" s="15">
        <v>31.5</v>
      </c>
      <c r="Q17" s="15">
        <v>31.9</v>
      </c>
      <c r="R17" s="15">
        <v>33.700000000000003</v>
      </c>
      <c r="S17" s="15">
        <v>33.1</v>
      </c>
      <c r="T17" s="15">
        <v>30.6</v>
      </c>
      <c r="U17" s="15" t="s">
        <v>6</v>
      </c>
      <c r="V17" s="15">
        <v>33.200000000000003</v>
      </c>
      <c r="W17" s="15">
        <v>37.9</v>
      </c>
      <c r="X17" s="15">
        <v>33.700000000000003</v>
      </c>
      <c r="Y17" s="15">
        <v>36.869999999999997</v>
      </c>
      <c r="Z17" s="15">
        <v>28.5</v>
      </c>
      <c r="AA17" s="15">
        <v>37.1</v>
      </c>
      <c r="AB17" s="15">
        <v>32.1</v>
      </c>
      <c r="AC17" s="15">
        <v>34</v>
      </c>
      <c r="AD17" s="15">
        <v>35.6</v>
      </c>
      <c r="AE17" s="15">
        <v>30.7</v>
      </c>
      <c r="AF17" s="15">
        <v>27.4</v>
      </c>
      <c r="AG17" s="15" t="s">
        <v>6</v>
      </c>
      <c r="AH17" s="15">
        <v>32.799999999999997</v>
      </c>
      <c r="AI17" s="15">
        <v>33.4</v>
      </c>
      <c r="AJ17" s="15">
        <v>32.200000000000003</v>
      </c>
      <c r="AK17" s="15">
        <v>25.6</v>
      </c>
      <c r="AL17" s="15">
        <v>36.700000000000003</v>
      </c>
      <c r="AM17" s="15">
        <v>37.299999999999997</v>
      </c>
      <c r="AN17" s="15">
        <v>33.5</v>
      </c>
      <c r="AO17" s="15">
        <v>33.4</v>
      </c>
      <c r="AP17" s="15">
        <v>36.799999999999997</v>
      </c>
      <c r="AQ17" s="15">
        <v>26.2</v>
      </c>
      <c r="AR17" s="34">
        <v>30.4</v>
      </c>
      <c r="AS17" s="46">
        <f t="shared" si="2"/>
        <v>33.341750000000005</v>
      </c>
      <c r="AT17" s="45">
        <f t="shared" si="3"/>
        <v>3.0217309588718972</v>
      </c>
    </row>
    <row r="18" spans="1:46" ht="15.75" thickBot="1" x14ac:dyDescent="0.3">
      <c r="A18" s="44" t="s">
        <v>5</v>
      </c>
      <c r="B18" s="15">
        <v>36.700000000000003</v>
      </c>
      <c r="C18" s="15">
        <v>35</v>
      </c>
      <c r="D18" s="15">
        <v>34.9</v>
      </c>
      <c r="E18" s="15">
        <v>25.7</v>
      </c>
      <c r="F18" s="15">
        <v>34.1</v>
      </c>
      <c r="G18" s="15">
        <v>33.700000000000003</v>
      </c>
      <c r="H18" s="15">
        <v>35.5</v>
      </c>
      <c r="I18" s="15">
        <v>34.299999999999997</v>
      </c>
      <c r="J18" s="15">
        <v>34.6</v>
      </c>
      <c r="K18" s="15">
        <v>38.4</v>
      </c>
      <c r="L18" s="15">
        <v>35.4</v>
      </c>
      <c r="M18" s="15">
        <v>34.4</v>
      </c>
      <c r="N18" s="15">
        <v>33</v>
      </c>
      <c r="O18" s="15">
        <v>31.2</v>
      </c>
      <c r="P18" s="15">
        <v>31.9</v>
      </c>
      <c r="Q18" s="15">
        <v>33.5</v>
      </c>
      <c r="R18" s="15">
        <v>28</v>
      </c>
      <c r="S18" s="15">
        <v>30.7</v>
      </c>
      <c r="T18" s="15">
        <v>26.7</v>
      </c>
      <c r="U18" s="15">
        <v>33.799999999999997</v>
      </c>
      <c r="V18" s="15">
        <v>32.200000000000003</v>
      </c>
      <c r="W18" s="15">
        <v>30.1</v>
      </c>
      <c r="X18" s="15">
        <v>27.2</v>
      </c>
      <c r="Y18" s="15">
        <v>35.1</v>
      </c>
      <c r="Z18" s="15">
        <v>35.9</v>
      </c>
      <c r="AA18" s="15">
        <v>36.4</v>
      </c>
      <c r="AB18" s="15">
        <v>31.9</v>
      </c>
      <c r="AC18" s="15">
        <v>32.799999999999997</v>
      </c>
      <c r="AD18" s="15">
        <v>32.9</v>
      </c>
      <c r="AE18" s="15">
        <v>31.2</v>
      </c>
      <c r="AF18" s="15">
        <v>34.4</v>
      </c>
      <c r="AG18" s="15">
        <v>34.700000000000003</v>
      </c>
      <c r="AH18" s="15">
        <v>37.299999999999997</v>
      </c>
      <c r="AI18" s="15" t="s">
        <v>4</v>
      </c>
      <c r="AJ18" s="15">
        <v>37.4</v>
      </c>
      <c r="AK18" s="15">
        <v>26.9</v>
      </c>
      <c r="AL18" s="15">
        <v>31.5</v>
      </c>
      <c r="AM18" s="15">
        <v>32.9</v>
      </c>
      <c r="AN18" s="15">
        <v>32.200000000000003</v>
      </c>
      <c r="AO18" s="15">
        <v>28.2</v>
      </c>
      <c r="AP18" s="15">
        <v>29.6</v>
      </c>
      <c r="AQ18" s="15">
        <v>35.6</v>
      </c>
      <c r="AR18" s="34">
        <v>35.299999999999997</v>
      </c>
      <c r="AS18" s="43">
        <f t="shared" si="2"/>
        <v>32.933333333333337</v>
      </c>
      <c r="AT18" s="42">
        <f t="shared" si="3"/>
        <v>3.049335929739966</v>
      </c>
    </row>
    <row r="21" spans="1:46" ht="21.75" thickBot="1" x14ac:dyDescent="0.4">
      <c r="A21" s="50">
        <v>44671</v>
      </c>
      <c r="B21" s="50"/>
      <c r="C21" s="50"/>
      <c r="X21" s="15" t="s">
        <v>3</v>
      </c>
      <c r="Y21" s="34" t="s">
        <v>2</v>
      </c>
      <c r="Z21" s="3"/>
      <c r="AA21" s="15" t="s">
        <v>1</v>
      </c>
      <c r="AB21" s="16" t="s">
        <v>0</v>
      </c>
    </row>
    <row r="22" spans="1:46" x14ac:dyDescent="0.25">
      <c r="A22" s="29">
        <v>1</v>
      </c>
      <c r="B22" s="28">
        <v>1</v>
      </c>
      <c r="C22" s="38">
        <v>29.1</v>
      </c>
      <c r="D22" s="26">
        <v>25.4</v>
      </c>
      <c r="E22" s="26">
        <v>30.2</v>
      </c>
      <c r="F22" s="26">
        <v>26.2</v>
      </c>
      <c r="G22" s="26">
        <v>29.6</v>
      </c>
      <c r="H22" s="26">
        <v>27.5</v>
      </c>
      <c r="I22" s="26">
        <v>21.8</v>
      </c>
      <c r="J22" s="26">
        <v>24.3</v>
      </c>
      <c r="K22" s="26">
        <v>36.700000000000003</v>
      </c>
      <c r="L22" s="26">
        <v>31.3</v>
      </c>
      <c r="M22" s="26">
        <v>28.1</v>
      </c>
      <c r="N22" s="26">
        <v>25.1</v>
      </c>
      <c r="O22" s="26">
        <v>26.6</v>
      </c>
      <c r="P22" s="26">
        <v>30.6</v>
      </c>
      <c r="Q22" s="26">
        <v>25</v>
      </c>
      <c r="R22" s="26">
        <v>26.1</v>
      </c>
      <c r="S22" s="26">
        <v>28.6</v>
      </c>
      <c r="T22" s="26">
        <v>35.799999999999997</v>
      </c>
      <c r="U22" s="26">
        <v>32.200000000000003</v>
      </c>
      <c r="V22" s="25">
        <v>31.5</v>
      </c>
      <c r="X22" s="20">
        <f t="shared" ref="X22:X69" si="4">AVERAGE(C22:V22)</f>
        <v>28.585000000000008</v>
      </c>
      <c r="Y22" s="21">
        <f t="shared" ref="Y22:Y69" si="5">_xlfn.STDEV.P(C22:V22)</f>
        <v>3.6848710967955931</v>
      </c>
      <c r="Z22" s="3"/>
      <c r="AA22" s="20">
        <f>AVERAGE(X22:X25)</f>
        <v>30.062500000000004</v>
      </c>
      <c r="AB22" s="19">
        <f>_xlfn.STDEV.P(X22:X25)</f>
        <v>1.8622214556813597</v>
      </c>
    </row>
    <row r="23" spans="1:46" x14ac:dyDescent="0.25">
      <c r="A23" s="18"/>
      <c r="B23" s="17">
        <v>2</v>
      </c>
      <c r="C23" s="36">
        <v>32.5</v>
      </c>
      <c r="D23" s="15">
        <v>34.200000000000003</v>
      </c>
      <c r="E23" s="15">
        <v>26</v>
      </c>
      <c r="F23" s="15">
        <v>27.4</v>
      </c>
      <c r="G23" s="15">
        <v>32.799999999999997</v>
      </c>
      <c r="H23" s="15">
        <v>33.6</v>
      </c>
      <c r="I23" s="15">
        <v>29.3</v>
      </c>
      <c r="J23" s="15">
        <v>34.200000000000003</v>
      </c>
      <c r="K23" s="15">
        <v>31.3</v>
      </c>
      <c r="L23" s="15">
        <v>25</v>
      </c>
      <c r="M23" s="15">
        <v>23.3</v>
      </c>
      <c r="N23" s="15">
        <v>26.4</v>
      </c>
      <c r="O23" s="15">
        <v>28.1</v>
      </c>
      <c r="P23" s="15">
        <v>36.799999999999997</v>
      </c>
      <c r="Q23" s="15">
        <v>36.1</v>
      </c>
      <c r="R23" s="15">
        <v>32</v>
      </c>
      <c r="S23" s="15">
        <v>25.9</v>
      </c>
      <c r="T23" s="15">
        <v>34</v>
      </c>
      <c r="U23" s="15">
        <v>33.1</v>
      </c>
      <c r="V23" s="14">
        <v>27.5</v>
      </c>
      <c r="X23" s="20">
        <f t="shared" si="4"/>
        <v>30.475000000000005</v>
      </c>
      <c r="Y23" s="21">
        <f t="shared" si="5"/>
        <v>3.9072848629194814</v>
      </c>
      <c r="Z23" s="3"/>
      <c r="AA23" s="12"/>
      <c r="AB23" s="11"/>
    </row>
    <row r="24" spans="1:46" x14ac:dyDescent="0.25">
      <c r="A24" s="18"/>
      <c r="B24" s="17">
        <v>3</v>
      </c>
      <c r="C24" s="36">
        <v>28.2</v>
      </c>
      <c r="D24" s="15">
        <v>25.6</v>
      </c>
      <c r="E24" s="15">
        <v>27.8</v>
      </c>
      <c r="F24" s="15">
        <v>25.4</v>
      </c>
      <c r="G24" s="15">
        <v>30.8</v>
      </c>
      <c r="H24" s="15">
        <v>29.2</v>
      </c>
      <c r="I24" s="15">
        <v>22.7</v>
      </c>
      <c r="J24" s="15">
        <v>21.5</v>
      </c>
      <c r="K24" s="15">
        <v>27.3</v>
      </c>
      <c r="L24" s="15">
        <v>30.1</v>
      </c>
      <c r="M24" s="15">
        <v>31.5</v>
      </c>
      <c r="N24" s="15">
        <v>27.8</v>
      </c>
      <c r="O24" s="15">
        <v>32.200000000000003</v>
      </c>
      <c r="P24" s="15">
        <v>28.2</v>
      </c>
      <c r="Q24" s="15">
        <v>30.8</v>
      </c>
      <c r="R24" s="15">
        <v>30.2</v>
      </c>
      <c r="S24" s="15">
        <v>35.9</v>
      </c>
      <c r="T24" s="15">
        <v>31.3</v>
      </c>
      <c r="U24" s="15">
        <v>20.8</v>
      </c>
      <c r="V24" s="14">
        <v>27.8</v>
      </c>
      <c r="X24" s="20">
        <f t="shared" si="4"/>
        <v>28.254999999999995</v>
      </c>
      <c r="Y24" s="21">
        <f t="shared" si="5"/>
        <v>3.630767825130143</v>
      </c>
      <c r="Z24" s="3"/>
      <c r="AA24" s="12"/>
      <c r="AB24" s="11"/>
    </row>
    <row r="25" spans="1:46" ht="15.75" thickBot="1" x14ac:dyDescent="0.3">
      <c r="A25" s="10"/>
      <c r="B25" s="9">
        <v>4</v>
      </c>
      <c r="C25" s="39">
        <v>26.4</v>
      </c>
      <c r="D25" s="31">
        <v>33.5</v>
      </c>
      <c r="E25" s="31">
        <v>35.4</v>
      </c>
      <c r="F25" s="31">
        <v>33.9</v>
      </c>
      <c r="G25" s="31">
        <v>33.6</v>
      </c>
      <c r="H25" s="31">
        <v>32.4</v>
      </c>
      <c r="I25" s="31">
        <v>26.1</v>
      </c>
      <c r="J25" s="31">
        <v>35.9</v>
      </c>
      <c r="K25" s="31">
        <v>24.1</v>
      </c>
      <c r="L25" s="31">
        <v>38.1</v>
      </c>
      <c r="M25" s="31">
        <v>39.4</v>
      </c>
      <c r="N25" s="31">
        <v>34.200000000000003</v>
      </c>
      <c r="O25" s="31">
        <v>29.5</v>
      </c>
      <c r="P25" s="31">
        <v>25.9</v>
      </c>
      <c r="Q25" s="31">
        <v>30.3</v>
      </c>
      <c r="R25" s="31">
        <v>37.299999999999997</v>
      </c>
      <c r="S25" s="31">
        <v>37.6</v>
      </c>
      <c r="T25" s="31">
        <v>36.200000000000003</v>
      </c>
      <c r="U25" s="31">
        <v>36.9</v>
      </c>
      <c r="V25" s="30">
        <v>32</v>
      </c>
      <c r="X25" s="20">
        <f t="shared" si="4"/>
        <v>32.935000000000002</v>
      </c>
      <c r="Y25" s="21">
        <f t="shared" si="5"/>
        <v>4.4198727357244083</v>
      </c>
      <c r="Z25" s="3"/>
      <c r="AA25" s="2"/>
      <c r="AB25" s="1"/>
    </row>
    <row r="26" spans="1:46" x14ac:dyDescent="0.25">
      <c r="A26" s="24">
        <v>2</v>
      </c>
      <c r="B26" s="23">
        <v>1</v>
      </c>
      <c r="C26" s="38">
        <v>30.3</v>
      </c>
      <c r="D26" s="26">
        <v>36.299999999999997</v>
      </c>
      <c r="E26" s="26">
        <v>32.700000000000003</v>
      </c>
      <c r="F26" s="26">
        <v>28.4</v>
      </c>
      <c r="G26" s="26">
        <v>26.3</v>
      </c>
      <c r="H26" s="26">
        <v>29.6</v>
      </c>
      <c r="I26" s="26">
        <v>31.2</v>
      </c>
      <c r="J26" s="26">
        <v>28</v>
      </c>
      <c r="K26" s="26">
        <v>28.9</v>
      </c>
      <c r="L26" s="26">
        <v>35.6</v>
      </c>
      <c r="M26" s="26">
        <v>27.3</v>
      </c>
      <c r="N26" s="26">
        <v>27.2</v>
      </c>
      <c r="O26" s="26">
        <v>33.4</v>
      </c>
      <c r="P26" s="26">
        <v>29.4</v>
      </c>
      <c r="Q26" s="26">
        <v>29.5</v>
      </c>
      <c r="R26" s="26">
        <v>34.5</v>
      </c>
      <c r="S26" s="26">
        <v>33.299999999999997</v>
      </c>
      <c r="T26" s="26">
        <v>30.8</v>
      </c>
      <c r="U26" s="26">
        <v>32.5</v>
      </c>
      <c r="V26" s="25">
        <v>38.9</v>
      </c>
      <c r="X26" s="20">
        <f t="shared" si="4"/>
        <v>31.204999999999995</v>
      </c>
      <c r="Y26" s="21">
        <f t="shared" si="5"/>
        <v>3.2938541254888989</v>
      </c>
      <c r="Z26" s="3"/>
      <c r="AA26" s="20">
        <f>AVERAGE(X26:X29)</f>
        <v>29.02375</v>
      </c>
      <c r="AB26" s="19">
        <f>_xlfn.STDEV.P(X26:X29)</f>
        <v>1.8437101690612843</v>
      </c>
    </row>
    <row r="27" spans="1:46" x14ac:dyDescent="0.25">
      <c r="A27" s="18"/>
      <c r="B27" s="17">
        <v>2</v>
      </c>
      <c r="C27" s="36">
        <v>23.3</v>
      </c>
      <c r="D27" s="15">
        <v>26.6</v>
      </c>
      <c r="E27" s="15">
        <v>26.8</v>
      </c>
      <c r="F27" s="15">
        <v>26.5</v>
      </c>
      <c r="G27" s="15">
        <v>22.8</v>
      </c>
      <c r="H27" s="15">
        <v>30.2</v>
      </c>
      <c r="I27" s="15">
        <v>25.6</v>
      </c>
      <c r="J27" s="15">
        <v>29.5</v>
      </c>
      <c r="K27" s="15">
        <v>25.3</v>
      </c>
      <c r="L27" s="15">
        <v>28</v>
      </c>
      <c r="M27" s="15">
        <v>26.2</v>
      </c>
      <c r="N27" s="15">
        <v>32.4</v>
      </c>
      <c r="O27" s="15">
        <v>24.8</v>
      </c>
      <c r="P27" s="15">
        <v>29.4</v>
      </c>
      <c r="Q27" s="15">
        <v>26.7</v>
      </c>
      <c r="R27" s="15">
        <v>26.6</v>
      </c>
      <c r="S27" s="15">
        <v>27.4</v>
      </c>
      <c r="T27" s="15">
        <v>24.8</v>
      </c>
      <c r="U27" s="15">
        <v>26.1</v>
      </c>
      <c r="V27" s="14">
        <v>29.4</v>
      </c>
      <c r="X27" s="20">
        <f t="shared" si="4"/>
        <v>26.919999999999998</v>
      </c>
      <c r="Y27" s="21">
        <f t="shared" si="5"/>
        <v>2.3044739095941176</v>
      </c>
      <c r="Z27" s="3"/>
      <c r="AA27" s="12"/>
      <c r="AB27" s="11"/>
    </row>
    <row r="28" spans="1:46" x14ac:dyDescent="0.25">
      <c r="A28" s="18"/>
      <c r="B28" s="17">
        <v>3</v>
      </c>
      <c r="C28" s="36">
        <v>29</v>
      </c>
      <c r="D28" s="15">
        <v>27</v>
      </c>
      <c r="E28" s="15">
        <v>32.200000000000003</v>
      </c>
      <c r="F28" s="15">
        <v>37.700000000000003</v>
      </c>
      <c r="G28" s="15">
        <v>32</v>
      </c>
      <c r="H28" s="15">
        <v>33.799999999999997</v>
      </c>
      <c r="I28" s="15">
        <v>29.9</v>
      </c>
      <c r="J28" s="15">
        <v>31.5</v>
      </c>
      <c r="K28" s="15">
        <v>30.3</v>
      </c>
      <c r="L28" s="15">
        <v>34.4</v>
      </c>
      <c r="M28" s="15">
        <v>33.799999999999997</v>
      </c>
      <c r="N28" s="15">
        <v>29.7</v>
      </c>
      <c r="O28" s="15">
        <v>27.2</v>
      </c>
      <c r="P28" s="15">
        <v>27.2</v>
      </c>
      <c r="Q28" s="15">
        <v>25.6</v>
      </c>
      <c r="R28" s="15">
        <v>35.299999999999997</v>
      </c>
      <c r="S28" s="15">
        <v>36.4</v>
      </c>
      <c r="T28" s="15">
        <v>24.2</v>
      </c>
      <c r="U28" s="15">
        <v>24.9</v>
      </c>
      <c r="V28" s="14">
        <v>27.3</v>
      </c>
      <c r="X28" s="20">
        <f t="shared" si="4"/>
        <v>30.47</v>
      </c>
      <c r="Y28" s="21">
        <f t="shared" si="5"/>
        <v>3.8433188782613401</v>
      </c>
      <c r="Z28" s="3"/>
      <c r="AA28" s="12"/>
      <c r="AB28" s="11"/>
    </row>
    <row r="29" spans="1:46" ht="15.75" thickBot="1" x14ac:dyDescent="0.3">
      <c r="A29" s="33"/>
      <c r="B29" s="32">
        <v>4</v>
      </c>
      <c r="C29" s="35">
        <v>24.3</v>
      </c>
      <c r="D29" s="7">
        <v>24.7</v>
      </c>
      <c r="E29" s="7">
        <v>26.2</v>
      </c>
      <c r="F29" s="7">
        <v>28</v>
      </c>
      <c r="G29" s="7">
        <v>28.6</v>
      </c>
      <c r="H29" s="7">
        <v>31.8</v>
      </c>
      <c r="I29" s="7">
        <v>23.8</v>
      </c>
      <c r="J29" s="7">
        <v>26.8</v>
      </c>
      <c r="K29" s="7">
        <v>29.4</v>
      </c>
      <c r="L29" s="7">
        <v>26.4</v>
      </c>
      <c r="M29" s="7">
        <v>27.5</v>
      </c>
      <c r="N29" s="7">
        <v>27.9</v>
      </c>
      <c r="O29" s="7">
        <v>27.1</v>
      </c>
      <c r="P29" s="7">
        <v>28</v>
      </c>
      <c r="Q29" s="7">
        <v>31.2</v>
      </c>
      <c r="R29" s="7">
        <v>28.3</v>
      </c>
      <c r="S29" s="7">
        <v>28.1</v>
      </c>
      <c r="T29" s="7">
        <v>31.6</v>
      </c>
      <c r="U29" s="7">
        <v>24.3</v>
      </c>
      <c r="V29" s="6">
        <v>26</v>
      </c>
      <c r="X29" s="20">
        <f t="shared" si="4"/>
        <v>27.500000000000007</v>
      </c>
      <c r="Y29" s="21">
        <f t="shared" si="5"/>
        <v>2.2724436186625181</v>
      </c>
      <c r="Z29" s="3"/>
      <c r="AA29" s="2"/>
      <c r="AB29" s="1"/>
    </row>
    <row r="30" spans="1:46" x14ac:dyDescent="0.25">
      <c r="A30" s="29">
        <v>3</v>
      </c>
      <c r="B30" s="28">
        <v>1</v>
      </c>
      <c r="C30" s="40">
        <v>36.299999999999997</v>
      </c>
      <c r="D30" s="2">
        <v>41.3</v>
      </c>
      <c r="E30" s="2">
        <v>26.3</v>
      </c>
      <c r="F30" s="2">
        <v>36.1</v>
      </c>
      <c r="G30" s="2">
        <v>27.8</v>
      </c>
      <c r="H30" s="2">
        <v>37.4</v>
      </c>
      <c r="I30" s="2">
        <v>38</v>
      </c>
      <c r="J30" s="2">
        <v>40</v>
      </c>
      <c r="K30" s="2">
        <v>36.200000000000003</v>
      </c>
      <c r="L30" s="2">
        <v>39.6</v>
      </c>
      <c r="M30" s="2">
        <v>38.6</v>
      </c>
      <c r="N30" s="2">
        <v>37</v>
      </c>
      <c r="O30" s="2">
        <v>33.200000000000003</v>
      </c>
      <c r="P30" s="2">
        <v>40.1</v>
      </c>
      <c r="Q30" s="2">
        <v>39.700000000000003</v>
      </c>
      <c r="R30" s="2">
        <v>39.6</v>
      </c>
      <c r="S30" s="2">
        <v>34.1</v>
      </c>
      <c r="T30" s="2">
        <v>37.299999999999997</v>
      </c>
      <c r="U30" s="2">
        <v>24.1</v>
      </c>
      <c r="V30" s="22">
        <v>33.700000000000003</v>
      </c>
      <c r="X30" s="20">
        <f t="shared" si="4"/>
        <v>35.820000000000007</v>
      </c>
      <c r="Y30" s="21">
        <f t="shared" si="5"/>
        <v>4.664182672237386</v>
      </c>
      <c r="Z30" s="3"/>
      <c r="AA30" s="20">
        <f>AVERAGE(X30:X33)</f>
        <v>33.193750000000009</v>
      </c>
      <c r="AB30" s="19">
        <f>_xlfn.STDEV.P(X30:X33)</f>
        <v>3.4287577469835822</v>
      </c>
    </row>
    <row r="31" spans="1:46" x14ac:dyDescent="0.25">
      <c r="A31" s="18"/>
      <c r="B31" s="17">
        <v>2</v>
      </c>
      <c r="C31" s="36">
        <v>27.6</v>
      </c>
      <c r="D31" s="15">
        <v>27.7</v>
      </c>
      <c r="E31" s="15">
        <v>25.5</v>
      </c>
      <c r="F31" s="15">
        <v>30.6</v>
      </c>
      <c r="G31" s="15">
        <v>38</v>
      </c>
      <c r="H31" s="15">
        <v>26.3</v>
      </c>
      <c r="I31" s="15">
        <v>23.4</v>
      </c>
      <c r="J31" s="15">
        <v>29.9</v>
      </c>
      <c r="K31" s="15">
        <v>26.1</v>
      </c>
      <c r="L31" s="15">
        <v>23.4</v>
      </c>
      <c r="M31" s="15">
        <v>31.6</v>
      </c>
      <c r="N31" s="15">
        <v>29.8</v>
      </c>
      <c r="O31" s="15">
        <v>37.700000000000003</v>
      </c>
      <c r="P31" s="15">
        <v>32.9</v>
      </c>
      <c r="Q31" s="15">
        <v>25.8</v>
      </c>
      <c r="R31" s="15">
        <v>27</v>
      </c>
      <c r="S31" s="15">
        <v>34.1</v>
      </c>
      <c r="T31" s="15">
        <v>32.200000000000003</v>
      </c>
      <c r="U31" s="15">
        <v>26.6</v>
      </c>
      <c r="V31" s="14">
        <v>25.7</v>
      </c>
      <c r="X31" s="20">
        <f t="shared" si="4"/>
        <v>29.095000000000006</v>
      </c>
      <c r="Y31" s="21">
        <f t="shared" si="5"/>
        <v>4.1469838437109727</v>
      </c>
      <c r="Z31" s="3"/>
      <c r="AA31" s="12"/>
      <c r="AB31" s="11"/>
    </row>
    <row r="32" spans="1:46" x14ac:dyDescent="0.25">
      <c r="A32" s="18"/>
      <c r="B32" s="17">
        <v>3</v>
      </c>
      <c r="C32" s="36">
        <v>27.3</v>
      </c>
      <c r="D32" s="15">
        <v>36.299999999999997</v>
      </c>
      <c r="E32" s="15">
        <v>27.7</v>
      </c>
      <c r="F32" s="15">
        <v>29.9</v>
      </c>
      <c r="G32" s="15">
        <v>29.1</v>
      </c>
      <c r="H32" s="15">
        <v>28.5</v>
      </c>
      <c r="I32" s="15">
        <v>24.2</v>
      </c>
      <c r="J32" s="15">
        <v>28.4</v>
      </c>
      <c r="K32" s="15">
        <v>30.1</v>
      </c>
      <c r="L32" s="15">
        <v>27.8</v>
      </c>
      <c r="M32" s="15">
        <v>26.3</v>
      </c>
      <c r="N32" s="15">
        <v>28.6</v>
      </c>
      <c r="O32" s="15">
        <v>35.6</v>
      </c>
      <c r="P32" s="15">
        <v>33</v>
      </c>
      <c r="Q32" s="15">
        <v>35.299999999999997</v>
      </c>
      <c r="R32" s="15">
        <v>33</v>
      </c>
      <c r="S32" s="15">
        <v>35</v>
      </c>
      <c r="T32" s="15">
        <v>30.3</v>
      </c>
      <c r="U32" s="15">
        <v>28.8</v>
      </c>
      <c r="V32" s="14">
        <v>36.700000000000003</v>
      </c>
      <c r="X32" s="20">
        <f t="shared" si="4"/>
        <v>30.595000000000006</v>
      </c>
      <c r="Y32" s="21">
        <f t="shared" si="5"/>
        <v>3.5625096491097077</v>
      </c>
      <c r="Z32" s="3"/>
      <c r="AA32" s="12"/>
      <c r="AB32" s="11"/>
    </row>
    <row r="33" spans="1:28" ht="15.75" thickBot="1" x14ac:dyDescent="0.3">
      <c r="A33" s="10"/>
      <c r="B33" s="9">
        <v>4</v>
      </c>
      <c r="C33" s="39">
        <v>42.8</v>
      </c>
      <c r="D33" s="31">
        <v>35.200000000000003</v>
      </c>
      <c r="E33" s="31">
        <v>43.5</v>
      </c>
      <c r="F33" s="31">
        <v>32.5</v>
      </c>
      <c r="G33" s="31">
        <v>41.4</v>
      </c>
      <c r="H33" s="31">
        <v>40.4</v>
      </c>
      <c r="I33" s="31">
        <v>34.6</v>
      </c>
      <c r="J33" s="31">
        <v>44.6</v>
      </c>
      <c r="K33" s="31">
        <v>39.5</v>
      </c>
      <c r="L33" s="31">
        <v>43.7</v>
      </c>
      <c r="M33" s="31">
        <v>24.8</v>
      </c>
      <c r="N33" s="31">
        <v>38.5</v>
      </c>
      <c r="O33" s="31">
        <v>42.5</v>
      </c>
      <c r="P33" s="31">
        <v>41.1</v>
      </c>
      <c r="Q33" s="31">
        <v>37.5</v>
      </c>
      <c r="R33" s="31">
        <v>34.299999999999997</v>
      </c>
      <c r="S33" s="31">
        <v>26.9</v>
      </c>
      <c r="T33" s="31">
        <v>39.9</v>
      </c>
      <c r="U33" s="31">
        <v>28.1</v>
      </c>
      <c r="V33" s="30">
        <v>33.5</v>
      </c>
      <c r="X33" s="20">
        <f t="shared" si="4"/>
        <v>37.265000000000001</v>
      </c>
      <c r="Y33" s="21">
        <f t="shared" si="5"/>
        <v>5.7058106347827584</v>
      </c>
      <c r="Z33" s="3"/>
      <c r="AA33" s="2"/>
      <c r="AB33" s="1"/>
    </row>
    <row r="34" spans="1:28" x14ac:dyDescent="0.25">
      <c r="A34" s="24">
        <v>4</v>
      </c>
      <c r="B34" s="23">
        <v>1</v>
      </c>
      <c r="C34" s="38">
        <v>38.9</v>
      </c>
      <c r="D34" s="26">
        <v>36.299999999999997</v>
      </c>
      <c r="E34" s="26">
        <v>30.9</v>
      </c>
      <c r="F34" s="26">
        <v>34.6</v>
      </c>
      <c r="G34" s="26">
        <v>31.9</v>
      </c>
      <c r="H34" s="26">
        <v>30.2</v>
      </c>
      <c r="I34" s="26">
        <v>32</v>
      </c>
      <c r="J34" s="26">
        <v>35.5</v>
      </c>
      <c r="K34" s="26">
        <v>33.799999999999997</v>
      </c>
      <c r="L34" s="26">
        <v>31.3</v>
      </c>
      <c r="M34" s="26">
        <v>29</v>
      </c>
      <c r="N34" s="26">
        <v>38.799999999999997</v>
      </c>
      <c r="O34" s="26">
        <v>32.1</v>
      </c>
      <c r="P34" s="26">
        <v>29.6</v>
      </c>
      <c r="Q34" s="26">
        <v>36.5</v>
      </c>
      <c r="R34" s="26">
        <v>29.2</v>
      </c>
      <c r="S34" s="26">
        <v>40</v>
      </c>
      <c r="T34" s="26">
        <v>26.9</v>
      </c>
      <c r="U34" s="26">
        <v>26.3</v>
      </c>
      <c r="V34" s="25">
        <v>29.1</v>
      </c>
      <c r="X34" s="20">
        <f t="shared" si="4"/>
        <v>32.644999999999996</v>
      </c>
      <c r="Y34" s="21">
        <f t="shared" si="5"/>
        <v>3.9050576180128558</v>
      </c>
      <c r="Z34" s="3"/>
      <c r="AA34" s="20">
        <f>AVERAGE(X34:X37)</f>
        <v>31.604999999999997</v>
      </c>
      <c r="AB34" s="19">
        <f>_xlfn.STDEV.P(X34:X37)</f>
        <v>2.2128714377477969</v>
      </c>
    </row>
    <row r="35" spans="1:28" x14ac:dyDescent="0.25">
      <c r="A35" s="18"/>
      <c r="B35" s="17">
        <v>2</v>
      </c>
      <c r="C35" s="36">
        <v>27.1</v>
      </c>
      <c r="D35" s="15">
        <v>26.5</v>
      </c>
      <c r="E35" s="15">
        <v>21.8</v>
      </c>
      <c r="F35" s="15">
        <v>29.9</v>
      </c>
      <c r="G35" s="15">
        <v>35.200000000000003</v>
      </c>
      <c r="H35" s="15">
        <v>24.1</v>
      </c>
      <c r="I35" s="15">
        <v>36</v>
      </c>
      <c r="J35" s="15">
        <v>27.5</v>
      </c>
      <c r="K35" s="15">
        <v>32.4</v>
      </c>
      <c r="L35" s="15">
        <v>27.3</v>
      </c>
      <c r="M35" s="15">
        <v>33.1</v>
      </c>
      <c r="N35" s="15">
        <v>30.7</v>
      </c>
      <c r="O35" s="15">
        <v>29.6</v>
      </c>
      <c r="P35" s="15">
        <v>30</v>
      </c>
      <c r="Q35" s="15">
        <v>28.2</v>
      </c>
      <c r="R35" s="15">
        <v>27.1</v>
      </c>
      <c r="S35" s="15">
        <v>23.3</v>
      </c>
      <c r="T35" s="15">
        <v>28.9</v>
      </c>
      <c r="U35" s="15">
        <v>30.2</v>
      </c>
      <c r="V35" s="14">
        <v>26.4</v>
      </c>
      <c r="X35" s="20">
        <f t="shared" si="4"/>
        <v>28.765000000000004</v>
      </c>
      <c r="Y35" s="21">
        <f t="shared" si="5"/>
        <v>3.5746713135615487</v>
      </c>
      <c r="Z35" s="3"/>
      <c r="AA35" s="12"/>
      <c r="AB35" s="11"/>
    </row>
    <row r="36" spans="1:28" x14ac:dyDescent="0.25">
      <c r="A36" s="18"/>
      <c r="B36" s="17">
        <v>3</v>
      </c>
      <c r="C36" s="36">
        <v>27.8</v>
      </c>
      <c r="D36" s="15">
        <v>39.299999999999997</v>
      </c>
      <c r="E36" s="15">
        <v>38.700000000000003</v>
      </c>
      <c r="F36" s="15">
        <v>35.6</v>
      </c>
      <c r="G36" s="15">
        <v>39.799999999999997</v>
      </c>
      <c r="H36" s="15">
        <v>31.4</v>
      </c>
      <c r="I36" s="15">
        <v>34.299999999999997</v>
      </c>
      <c r="J36" s="15">
        <v>35.4</v>
      </c>
      <c r="K36" s="15">
        <v>31.3</v>
      </c>
      <c r="L36" s="15">
        <v>33.9</v>
      </c>
      <c r="M36" s="15">
        <v>37.799999999999997</v>
      </c>
      <c r="N36" s="15">
        <v>41.8</v>
      </c>
      <c r="O36" s="15">
        <v>37</v>
      </c>
      <c r="P36" s="15">
        <v>39.799999999999997</v>
      </c>
      <c r="Q36" s="15">
        <v>34.700000000000003</v>
      </c>
      <c r="R36" s="15">
        <v>24.2</v>
      </c>
      <c r="S36" s="15">
        <v>32.4</v>
      </c>
      <c r="T36" s="15">
        <v>33.5</v>
      </c>
      <c r="U36" s="15">
        <v>32.299999999999997</v>
      </c>
      <c r="V36" s="14">
        <v>31.1</v>
      </c>
      <c r="X36" s="20">
        <f t="shared" si="4"/>
        <v>34.605000000000004</v>
      </c>
      <c r="Y36" s="21">
        <f t="shared" si="5"/>
        <v>4.2554053860942593</v>
      </c>
      <c r="Z36" s="3"/>
      <c r="AA36" s="12"/>
      <c r="AB36" s="11"/>
    </row>
    <row r="37" spans="1:28" ht="15.75" thickBot="1" x14ac:dyDescent="0.3">
      <c r="A37" s="33"/>
      <c r="B37" s="32">
        <v>4</v>
      </c>
      <c r="C37" s="35">
        <v>31.9</v>
      </c>
      <c r="D37" s="7">
        <v>36.4</v>
      </c>
      <c r="E37" s="7">
        <v>26.4</v>
      </c>
      <c r="F37" s="7">
        <v>27.7</v>
      </c>
      <c r="G37" s="7">
        <v>29.5</v>
      </c>
      <c r="H37" s="7">
        <v>23.3</v>
      </c>
      <c r="I37" s="7">
        <v>37.700000000000003</v>
      </c>
      <c r="J37" s="7">
        <v>32.299999999999997</v>
      </c>
      <c r="K37" s="7">
        <v>28.4</v>
      </c>
      <c r="L37" s="7">
        <v>30.5</v>
      </c>
      <c r="M37" s="7">
        <v>32.4</v>
      </c>
      <c r="N37" s="7">
        <v>27.7</v>
      </c>
      <c r="O37" s="7">
        <v>29.7</v>
      </c>
      <c r="P37" s="7">
        <v>30.7</v>
      </c>
      <c r="Q37" s="7">
        <v>31.9</v>
      </c>
      <c r="R37" s="7">
        <v>33.799999999999997</v>
      </c>
      <c r="S37" s="7">
        <v>27.7</v>
      </c>
      <c r="T37" s="7">
        <v>29.6</v>
      </c>
      <c r="U37" s="7">
        <v>33.799999999999997</v>
      </c>
      <c r="V37" s="6">
        <v>26.7</v>
      </c>
      <c r="X37" s="20">
        <f t="shared" si="4"/>
        <v>30.404999999999994</v>
      </c>
      <c r="Y37" s="21">
        <f t="shared" si="5"/>
        <v>3.409761721880336</v>
      </c>
      <c r="Z37" s="3"/>
      <c r="AA37" s="2"/>
      <c r="AB37" s="1"/>
    </row>
    <row r="38" spans="1:28" x14ac:dyDescent="0.25">
      <c r="A38" s="29">
        <v>5</v>
      </c>
      <c r="B38" s="28">
        <v>1</v>
      </c>
      <c r="C38" s="40">
        <v>29.7</v>
      </c>
      <c r="D38" s="2">
        <v>29.2</v>
      </c>
      <c r="E38" s="2">
        <v>28.1</v>
      </c>
      <c r="F38" s="2">
        <v>28.1</v>
      </c>
      <c r="G38" s="2">
        <v>37.1</v>
      </c>
      <c r="H38" s="2">
        <v>29.4</v>
      </c>
      <c r="I38" s="2">
        <v>35</v>
      </c>
      <c r="J38" s="2">
        <v>29.9</v>
      </c>
      <c r="K38" s="2">
        <v>27.2</v>
      </c>
      <c r="L38" s="2">
        <v>26</v>
      </c>
      <c r="M38" s="2">
        <v>27</v>
      </c>
      <c r="N38" s="2">
        <v>34.6</v>
      </c>
      <c r="O38" s="2">
        <v>31.7</v>
      </c>
      <c r="P38" s="2">
        <v>31.3</v>
      </c>
      <c r="Q38" s="2">
        <v>34.299999999999997</v>
      </c>
      <c r="R38" s="2">
        <v>25.7</v>
      </c>
      <c r="S38" s="2">
        <v>26.9</v>
      </c>
      <c r="T38" s="2">
        <v>36.700000000000003</v>
      </c>
      <c r="U38" s="2">
        <v>38.200000000000003</v>
      </c>
      <c r="V38" s="22">
        <v>23.1</v>
      </c>
      <c r="X38" s="20">
        <f t="shared" si="4"/>
        <v>30.46</v>
      </c>
      <c r="Y38" s="21">
        <f t="shared" si="5"/>
        <v>4.1497469802386675</v>
      </c>
      <c r="Z38" s="3"/>
      <c r="AA38" s="20">
        <f>AVERAGE(X38:X41)</f>
        <v>35.35</v>
      </c>
      <c r="AB38" s="19">
        <f>_xlfn.STDEV.P(X38:X41)</f>
        <v>2.9235851278866498</v>
      </c>
    </row>
    <row r="39" spans="1:28" x14ac:dyDescent="0.25">
      <c r="A39" s="18"/>
      <c r="B39" s="17">
        <v>2</v>
      </c>
      <c r="C39" s="36">
        <v>37.200000000000003</v>
      </c>
      <c r="D39" s="15">
        <v>38</v>
      </c>
      <c r="E39" s="15">
        <v>44.1</v>
      </c>
      <c r="F39" s="15">
        <v>34.799999999999997</v>
      </c>
      <c r="G39" s="15">
        <v>37.799999999999997</v>
      </c>
      <c r="H39" s="15">
        <v>41.8</v>
      </c>
      <c r="I39" s="15">
        <v>40.799999999999997</v>
      </c>
      <c r="J39" s="15">
        <v>43.7</v>
      </c>
      <c r="K39" s="15">
        <v>35.4</v>
      </c>
      <c r="L39" s="15">
        <v>44</v>
      </c>
      <c r="M39" s="15">
        <v>43.8</v>
      </c>
      <c r="N39" s="15">
        <v>33</v>
      </c>
      <c r="O39" s="15">
        <v>42.9</v>
      </c>
      <c r="P39" s="15">
        <v>34.9</v>
      </c>
      <c r="Q39" s="15">
        <v>36.700000000000003</v>
      </c>
      <c r="R39" s="15">
        <v>31</v>
      </c>
      <c r="S39" s="15">
        <v>26.1</v>
      </c>
      <c r="T39" s="15">
        <v>38.6</v>
      </c>
      <c r="U39" s="15">
        <v>38.4</v>
      </c>
      <c r="V39" s="14">
        <v>28.8</v>
      </c>
      <c r="X39" s="20">
        <f t="shared" si="4"/>
        <v>37.590000000000003</v>
      </c>
      <c r="Y39" s="21">
        <f t="shared" si="5"/>
        <v>5.0597331945468893</v>
      </c>
      <c r="Z39" s="3"/>
      <c r="AA39" s="12"/>
      <c r="AB39" s="11"/>
    </row>
    <row r="40" spans="1:28" x14ac:dyDescent="0.25">
      <c r="A40" s="18"/>
      <c r="B40" s="17">
        <v>3</v>
      </c>
      <c r="C40" s="36">
        <v>29.5</v>
      </c>
      <c r="D40" s="15">
        <v>38.200000000000003</v>
      </c>
      <c r="E40" s="15">
        <v>36.700000000000003</v>
      </c>
      <c r="F40" s="15">
        <v>25.1</v>
      </c>
      <c r="G40" s="15">
        <v>34.6</v>
      </c>
      <c r="H40" s="15">
        <v>34.200000000000003</v>
      </c>
      <c r="I40" s="15">
        <v>40.5</v>
      </c>
      <c r="J40" s="15">
        <v>42</v>
      </c>
      <c r="K40" s="15">
        <v>40.700000000000003</v>
      </c>
      <c r="L40" s="15">
        <v>36.1</v>
      </c>
      <c r="M40" s="15">
        <v>26.6</v>
      </c>
      <c r="N40" s="15">
        <v>45.4</v>
      </c>
      <c r="O40" s="15">
        <v>38.299999999999997</v>
      </c>
      <c r="P40" s="15">
        <v>28.5</v>
      </c>
      <c r="Q40" s="15">
        <v>43.8</v>
      </c>
      <c r="R40" s="15">
        <v>28.8</v>
      </c>
      <c r="S40" s="15">
        <v>37</v>
      </c>
      <c r="T40" s="15">
        <v>33.700000000000003</v>
      </c>
      <c r="U40" s="15">
        <v>45.8</v>
      </c>
      <c r="V40" s="14">
        <v>29.3</v>
      </c>
      <c r="X40" s="20">
        <f t="shared" si="4"/>
        <v>35.739999999999995</v>
      </c>
      <c r="Y40" s="21">
        <f t="shared" si="5"/>
        <v>6.1104336998285316</v>
      </c>
      <c r="Z40" s="3"/>
      <c r="AA40" s="12"/>
      <c r="AB40" s="11"/>
    </row>
    <row r="41" spans="1:28" ht="15.75" thickBot="1" x14ac:dyDescent="0.3">
      <c r="A41" s="10"/>
      <c r="B41" s="9">
        <v>4</v>
      </c>
      <c r="C41" s="39">
        <v>40.799999999999997</v>
      </c>
      <c r="D41" s="31">
        <v>31.2</v>
      </c>
      <c r="E41" s="31">
        <v>36.700000000000003</v>
      </c>
      <c r="F41" s="31">
        <v>37.1</v>
      </c>
      <c r="G41" s="31">
        <v>37.4</v>
      </c>
      <c r="H41" s="31">
        <v>40.299999999999997</v>
      </c>
      <c r="I41" s="31">
        <v>38.1</v>
      </c>
      <c r="J41" s="31">
        <v>29.3</v>
      </c>
      <c r="K41" s="31">
        <v>43.3</v>
      </c>
      <c r="L41" s="31">
        <v>37.5</v>
      </c>
      <c r="M41" s="31">
        <v>37.700000000000003</v>
      </c>
      <c r="N41" s="31">
        <v>41.1</v>
      </c>
      <c r="O41" s="31">
        <v>40.9</v>
      </c>
      <c r="P41" s="31">
        <v>35.6</v>
      </c>
      <c r="Q41" s="31">
        <v>43.4</v>
      </c>
      <c r="R41" s="31">
        <v>32.200000000000003</v>
      </c>
      <c r="S41" s="31">
        <v>36.4</v>
      </c>
      <c r="T41" s="31">
        <v>37.9</v>
      </c>
      <c r="U41" s="31">
        <v>35.6</v>
      </c>
      <c r="V41" s="30">
        <v>39.700000000000003</v>
      </c>
      <c r="X41" s="20">
        <f t="shared" si="4"/>
        <v>37.61</v>
      </c>
      <c r="Y41" s="21">
        <f t="shared" si="5"/>
        <v>3.6132948952445045</v>
      </c>
      <c r="Z41" s="3"/>
      <c r="AA41" s="2"/>
      <c r="AB41" s="1"/>
    </row>
    <row r="42" spans="1:28" x14ac:dyDescent="0.25">
      <c r="A42" s="24">
        <v>6</v>
      </c>
      <c r="B42" s="23">
        <v>1</v>
      </c>
      <c r="C42" s="38">
        <v>39.4</v>
      </c>
      <c r="D42" s="26">
        <v>40.1</v>
      </c>
      <c r="E42" s="26">
        <v>31.4</v>
      </c>
      <c r="F42" s="26">
        <v>32.200000000000003</v>
      </c>
      <c r="G42" s="26">
        <v>30.5</v>
      </c>
      <c r="H42" s="26">
        <v>26.4</v>
      </c>
      <c r="I42" s="26">
        <v>29.7</v>
      </c>
      <c r="J42" s="26">
        <v>34.4</v>
      </c>
      <c r="K42" s="26">
        <v>24.3</v>
      </c>
      <c r="L42" s="26">
        <v>27.5</v>
      </c>
      <c r="M42" s="26">
        <v>25.6</v>
      </c>
      <c r="N42" s="26">
        <v>39.200000000000003</v>
      </c>
      <c r="O42" s="26">
        <v>37.700000000000003</v>
      </c>
      <c r="P42" s="26">
        <v>32.9</v>
      </c>
      <c r="Q42" s="26">
        <v>41.4</v>
      </c>
      <c r="R42" s="26">
        <v>30.3</v>
      </c>
      <c r="S42" s="26">
        <v>32.700000000000003</v>
      </c>
      <c r="T42" s="26">
        <v>37.9</v>
      </c>
      <c r="U42" s="26">
        <v>39.700000000000003</v>
      </c>
      <c r="V42" s="25">
        <v>38.700000000000003</v>
      </c>
      <c r="X42" s="20">
        <f t="shared" si="4"/>
        <v>33.600000000000009</v>
      </c>
      <c r="Y42" s="21">
        <f t="shared" si="5"/>
        <v>5.2469038489379205</v>
      </c>
      <c r="Z42" s="3"/>
      <c r="AA42" s="20">
        <f>AVERAGE(X42:X45)</f>
        <v>33.662500000000001</v>
      </c>
      <c r="AB42" s="19">
        <f>_xlfn.STDEV.P(X42:X45)</f>
        <v>0.73821152117804167</v>
      </c>
    </row>
    <row r="43" spans="1:28" x14ac:dyDescent="0.25">
      <c r="A43" s="18"/>
      <c r="B43" s="17">
        <v>2</v>
      </c>
      <c r="C43" s="36">
        <v>26.4</v>
      </c>
      <c r="D43" s="15">
        <v>37.700000000000003</v>
      </c>
      <c r="E43" s="15">
        <v>37.5</v>
      </c>
      <c r="F43" s="15">
        <v>36</v>
      </c>
      <c r="G43" s="15">
        <v>29.8</v>
      </c>
      <c r="H43" s="15">
        <v>31.6</v>
      </c>
      <c r="I43" s="15">
        <v>33.5</v>
      </c>
      <c r="J43" s="15">
        <v>36.5</v>
      </c>
      <c r="K43" s="15">
        <v>28.5</v>
      </c>
      <c r="L43" s="15">
        <v>28.7</v>
      </c>
      <c r="M43" s="15">
        <v>34.799999999999997</v>
      </c>
      <c r="N43" s="15">
        <v>25.4</v>
      </c>
      <c r="O43" s="15">
        <v>30.1</v>
      </c>
      <c r="P43" s="15">
        <v>36.5</v>
      </c>
      <c r="Q43" s="15">
        <v>32.1</v>
      </c>
      <c r="R43" s="15">
        <v>26.8</v>
      </c>
      <c r="S43" s="15">
        <v>29.8</v>
      </c>
      <c r="T43" s="15">
        <v>37.9</v>
      </c>
      <c r="U43" s="15">
        <v>40.200000000000003</v>
      </c>
      <c r="V43" s="14">
        <v>34.9</v>
      </c>
      <c r="X43" s="20">
        <f t="shared" si="4"/>
        <v>32.734999999999999</v>
      </c>
      <c r="Y43" s="21">
        <f t="shared" si="5"/>
        <v>4.2868724030462806</v>
      </c>
      <c r="Z43" s="3"/>
      <c r="AA43" s="12"/>
      <c r="AB43" s="11"/>
    </row>
    <row r="44" spans="1:28" x14ac:dyDescent="0.25">
      <c r="A44" s="18"/>
      <c r="B44" s="17">
        <v>3</v>
      </c>
      <c r="C44" s="36">
        <v>43.6</v>
      </c>
      <c r="D44" s="15">
        <v>32.9</v>
      </c>
      <c r="E44" s="15">
        <v>30</v>
      </c>
      <c r="F44" s="15">
        <v>39.5</v>
      </c>
      <c r="G44" s="15">
        <v>30.1</v>
      </c>
      <c r="H44" s="15">
        <v>37.9</v>
      </c>
      <c r="I44" s="15">
        <v>34.200000000000003</v>
      </c>
      <c r="J44" s="15">
        <v>26</v>
      </c>
      <c r="K44" s="15">
        <v>36.5</v>
      </c>
      <c r="L44" s="15">
        <v>27.1</v>
      </c>
      <c r="M44" s="15">
        <v>24.6</v>
      </c>
      <c r="N44" s="15">
        <v>36.4</v>
      </c>
      <c r="O44" s="15">
        <v>37.1</v>
      </c>
      <c r="P44" s="15">
        <v>40.5</v>
      </c>
      <c r="Q44" s="15">
        <v>41.1</v>
      </c>
      <c r="R44" s="15">
        <v>29.8</v>
      </c>
      <c r="S44" s="15">
        <v>33.6</v>
      </c>
      <c r="T44" s="15">
        <v>41</v>
      </c>
      <c r="U44" s="15">
        <v>35.5</v>
      </c>
      <c r="V44" s="14">
        <v>38.6</v>
      </c>
      <c r="X44" s="20">
        <f t="shared" si="4"/>
        <v>34.799999999999997</v>
      </c>
      <c r="Y44" s="21">
        <f t="shared" si="5"/>
        <v>5.299716973575082</v>
      </c>
      <c r="Z44" s="3"/>
      <c r="AA44" s="12"/>
      <c r="AB44" s="11"/>
    </row>
    <row r="45" spans="1:28" ht="15.75" thickBot="1" x14ac:dyDescent="0.3">
      <c r="A45" s="33"/>
      <c r="B45" s="32">
        <v>4</v>
      </c>
      <c r="C45" s="35">
        <v>27.8</v>
      </c>
      <c r="D45" s="7">
        <v>36.299999999999997</v>
      </c>
      <c r="E45" s="7">
        <v>38.799999999999997</v>
      </c>
      <c r="F45" s="7">
        <v>44.8</v>
      </c>
      <c r="G45" s="7">
        <v>36.6</v>
      </c>
      <c r="H45" s="7">
        <v>25.5</v>
      </c>
      <c r="I45" s="7">
        <v>33.6</v>
      </c>
      <c r="J45" s="7">
        <v>36.6</v>
      </c>
      <c r="K45" s="7">
        <v>26</v>
      </c>
      <c r="L45" s="7">
        <v>28.9</v>
      </c>
      <c r="M45" s="7">
        <v>45.7</v>
      </c>
      <c r="N45" s="7">
        <v>31.6</v>
      </c>
      <c r="O45" s="7">
        <v>27.8</v>
      </c>
      <c r="P45" s="7">
        <v>25.2</v>
      </c>
      <c r="Q45" s="7">
        <v>37</v>
      </c>
      <c r="R45" s="7">
        <v>31.6</v>
      </c>
      <c r="S45" s="7">
        <v>36.799999999999997</v>
      </c>
      <c r="T45" s="7">
        <v>27.7</v>
      </c>
      <c r="U45" s="7">
        <v>33.5</v>
      </c>
      <c r="V45" s="6">
        <v>38.5</v>
      </c>
      <c r="X45" s="20">
        <f t="shared" si="4"/>
        <v>33.515000000000001</v>
      </c>
      <c r="Y45" s="21">
        <f t="shared" si="5"/>
        <v>5.8990062722462113</v>
      </c>
      <c r="Z45" s="3"/>
      <c r="AA45" s="2"/>
      <c r="AB45" s="1"/>
    </row>
    <row r="46" spans="1:28" x14ac:dyDescent="0.25">
      <c r="A46" s="29">
        <v>7</v>
      </c>
      <c r="B46" s="28">
        <v>1</v>
      </c>
      <c r="C46" s="40">
        <v>35.9</v>
      </c>
      <c r="D46" s="2">
        <v>32.9</v>
      </c>
      <c r="E46" s="2">
        <v>36</v>
      </c>
      <c r="F46" s="2">
        <v>39.1</v>
      </c>
      <c r="G46" s="2">
        <v>36.6</v>
      </c>
      <c r="H46" s="2">
        <v>29.9</v>
      </c>
      <c r="I46" s="2">
        <v>28.2</v>
      </c>
      <c r="J46" s="2">
        <v>37.700000000000003</v>
      </c>
      <c r="K46" s="2">
        <v>31.4</v>
      </c>
      <c r="L46" s="2">
        <v>34.5</v>
      </c>
      <c r="M46" s="2">
        <v>30</v>
      </c>
      <c r="N46" s="2">
        <v>32.9</v>
      </c>
      <c r="O46" s="2">
        <v>37.299999999999997</v>
      </c>
      <c r="P46" s="2">
        <v>38.4</v>
      </c>
      <c r="Q46" s="2">
        <v>32.799999999999997</v>
      </c>
      <c r="R46" s="2">
        <v>34.200000000000003</v>
      </c>
      <c r="S46" s="2">
        <v>33.6</v>
      </c>
      <c r="T46" s="2">
        <v>29.8</v>
      </c>
      <c r="U46" s="2">
        <v>33.4</v>
      </c>
      <c r="V46" s="22">
        <v>35.200000000000003</v>
      </c>
      <c r="X46" s="20">
        <f t="shared" si="4"/>
        <v>33.989999999999995</v>
      </c>
      <c r="Y46" s="21">
        <f t="shared" si="5"/>
        <v>3.0106311630619924</v>
      </c>
      <c r="Z46" s="3"/>
      <c r="AA46" s="20">
        <f>AVERAGE(X46:X49)</f>
        <v>32.911249999999995</v>
      </c>
      <c r="AB46" s="19">
        <f>_xlfn.STDEV.P(X46:X49)</f>
        <v>0.68249885531039367</v>
      </c>
    </row>
    <row r="47" spans="1:28" x14ac:dyDescent="0.25">
      <c r="A47" s="18"/>
      <c r="B47" s="17">
        <v>2</v>
      </c>
      <c r="C47" s="36">
        <v>34.700000000000003</v>
      </c>
      <c r="D47" s="15">
        <v>34.200000000000003</v>
      </c>
      <c r="E47" s="15">
        <v>33.700000000000003</v>
      </c>
      <c r="F47" s="15">
        <v>33.9</v>
      </c>
      <c r="G47" s="15">
        <v>32.299999999999997</v>
      </c>
      <c r="H47" s="15">
        <v>34.200000000000003</v>
      </c>
      <c r="I47" s="15">
        <v>28.9</v>
      </c>
      <c r="J47" s="15">
        <v>34.1</v>
      </c>
      <c r="K47" s="15">
        <v>36</v>
      </c>
      <c r="L47" s="15">
        <v>34.4</v>
      </c>
      <c r="M47" s="15">
        <v>31.3</v>
      </c>
      <c r="N47" s="15">
        <v>31.3</v>
      </c>
      <c r="O47" s="15">
        <v>31.1</v>
      </c>
      <c r="P47" s="15">
        <v>27.5</v>
      </c>
      <c r="Q47" s="15">
        <v>32.799999999999997</v>
      </c>
      <c r="R47" s="15">
        <v>28.1</v>
      </c>
      <c r="S47" s="15">
        <v>31.6</v>
      </c>
      <c r="T47" s="15">
        <v>33.700000000000003</v>
      </c>
      <c r="U47" s="15">
        <v>26.1</v>
      </c>
      <c r="V47" s="14">
        <v>32.299999999999997</v>
      </c>
      <c r="X47" s="20">
        <f t="shared" si="4"/>
        <v>32.11</v>
      </c>
      <c r="Y47" s="21">
        <f t="shared" si="5"/>
        <v>2.5974795475614436</v>
      </c>
      <c r="Z47" s="3"/>
      <c r="AA47" s="12"/>
      <c r="AB47" s="11"/>
    </row>
    <row r="48" spans="1:28" x14ac:dyDescent="0.25">
      <c r="A48" s="18"/>
      <c r="B48" s="17">
        <v>3</v>
      </c>
      <c r="C48" s="36">
        <v>32.200000000000003</v>
      </c>
      <c r="D48" s="15">
        <v>23.9</v>
      </c>
      <c r="E48" s="15">
        <v>34.799999999999997</v>
      </c>
      <c r="F48" s="15">
        <v>30.4</v>
      </c>
      <c r="G48" s="15">
        <v>34.700000000000003</v>
      </c>
      <c r="H48" s="15">
        <v>33.9</v>
      </c>
      <c r="I48" s="15">
        <v>33.1</v>
      </c>
      <c r="J48" s="15">
        <v>27.8</v>
      </c>
      <c r="K48" s="15">
        <v>34.700000000000003</v>
      </c>
      <c r="L48" s="15">
        <v>40.5</v>
      </c>
      <c r="M48" s="15">
        <v>30</v>
      </c>
      <c r="N48" s="15">
        <v>26.2</v>
      </c>
      <c r="O48" s="15">
        <v>25.8</v>
      </c>
      <c r="P48" s="15">
        <v>35.5</v>
      </c>
      <c r="Q48" s="15">
        <v>38.200000000000003</v>
      </c>
      <c r="R48" s="15">
        <v>34.299999999999997</v>
      </c>
      <c r="S48" s="15">
        <v>39.200000000000003</v>
      </c>
      <c r="T48" s="15">
        <v>31.3</v>
      </c>
      <c r="U48" s="15">
        <v>29.9</v>
      </c>
      <c r="V48" s="14">
        <v>37.1</v>
      </c>
      <c r="X48" s="20">
        <f t="shared" si="4"/>
        <v>32.674999999999997</v>
      </c>
      <c r="Y48" s="21">
        <f t="shared" si="5"/>
        <v>4.4217502190874436</v>
      </c>
      <c r="Z48" s="3"/>
      <c r="AA48" s="12"/>
      <c r="AB48" s="11"/>
    </row>
    <row r="49" spans="1:28" ht="15.75" thickBot="1" x14ac:dyDescent="0.3">
      <c r="A49" s="10"/>
      <c r="B49" s="9">
        <v>4</v>
      </c>
      <c r="C49" s="39">
        <v>35.4</v>
      </c>
      <c r="D49" s="31">
        <v>32.799999999999997</v>
      </c>
      <c r="E49" s="31">
        <v>39.4</v>
      </c>
      <c r="F49" s="31">
        <v>36.700000000000003</v>
      </c>
      <c r="G49" s="31">
        <v>44.4</v>
      </c>
      <c r="H49" s="31">
        <v>32.4</v>
      </c>
      <c r="I49" s="31">
        <v>32.6</v>
      </c>
      <c r="J49" s="31">
        <v>30</v>
      </c>
      <c r="K49" s="31">
        <v>29.3</v>
      </c>
      <c r="L49" s="31">
        <v>25.9</v>
      </c>
      <c r="M49" s="31">
        <v>33.299999999999997</v>
      </c>
      <c r="N49" s="31">
        <v>37.299999999999997</v>
      </c>
      <c r="O49" s="31">
        <v>34.5</v>
      </c>
      <c r="P49" s="31">
        <v>32.6</v>
      </c>
      <c r="Q49" s="31">
        <v>33.700000000000003</v>
      </c>
      <c r="R49" s="31">
        <v>23.1</v>
      </c>
      <c r="S49" s="31">
        <v>31.2</v>
      </c>
      <c r="T49" s="31">
        <v>32.6</v>
      </c>
      <c r="U49" s="31">
        <v>28.9</v>
      </c>
      <c r="V49" s="30">
        <v>31.3</v>
      </c>
      <c r="X49" s="20">
        <f t="shared" si="4"/>
        <v>32.870000000000005</v>
      </c>
      <c r="Y49" s="21">
        <f t="shared" si="5"/>
        <v>4.5071165948973588</v>
      </c>
      <c r="Z49" s="3"/>
      <c r="AA49" s="2"/>
      <c r="AB49" s="1"/>
    </row>
    <row r="50" spans="1:28" x14ac:dyDescent="0.25">
      <c r="A50" s="24">
        <v>8</v>
      </c>
      <c r="B50" s="23">
        <v>1</v>
      </c>
      <c r="C50" s="38">
        <v>31.9</v>
      </c>
      <c r="D50" s="26">
        <v>31.2</v>
      </c>
      <c r="E50" s="26">
        <v>27.6</v>
      </c>
      <c r="F50" s="26">
        <v>28.2</v>
      </c>
      <c r="G50" s="26">
        <v>30.6</v>
      </c>
      <c r="H50" s="26">
        <v>29.1</v>
      </c>
      <c r="I50" s="26">
        <v>31.8</v>
      </c>
      <c r="J50" s="26">
        <v>33.200000000000003</v>
      </c>
      <c r="K50" s="26">
        <v>32.6</v>
      </c>
      <c r="L50" s="26">
        <v>35.299999999999997</v>
      </c>
      <c r="M50" s="26">
        <v>32.1</v>
      </c>
      <c r="N50" s="26">
        <v>32.200000000000003</v>
      </c>
      <c r="O50" s="26">
        <v>31.1</v>
      </c>
      <c r="P50" s="26">
        <v>33.299999999999997</v>
      </c>
      <c r="Q50" s="26">
        <v>30.5</v>
      </c>
      <c r="R50" s="26">
        <v>26.3</v>
      </c>
      <c r="S50" s="26">
        <v>28.8</v>
      </c>
      <c r="T50" s="26">
        <v>24.8</v>
      </c>
      <c r="U50" s="26">
        <v>27.7</v>
      </c>
      <c r="V50" s="25">
        <v>28.1</v>
      </c>
      <c r="X50" s="20">
        <f t="shared" si="4"/>
        <v>30.320000000000004</v>
      </c>
      <c r="Y50" s="21">
        <f t="shared" si="5"/>
        <v>2.5900965232979249</v>
      </c>
      <c r="Z50" s="3"/>
      <c r="AA50" s="20">
        <f>AVERAGE(X50:X53)</f>
        <v>30.722500000000004</v>
      </c>
      <c r="AB50" s="19">
        <f>_xlfn.STDEV.P(X50:X53)</f>
        <v>0.39453295172900221</v>
      </c>
    </row>
    <row r="51" spans="1:28" x14ac:dyDescent="0.25">
      <c r="A51" s="18"/>
      <c r="B51" s="17">
        <v>2</v>
      </c>
      <c r="C51" s="36">
        <v>30.9</v>
      </c>
      <c r="D51" s="15">
        <v>31.2</v>
      </c>
      <c r="E51" s="15">
        <v>30.9</v>
      </c>
      <c r="F51" s="15">
        <v>26.6</v>
      </c>
      <c r="G51" s="15">
        <v>28.1</v>
      </c>
      <c r="H51" s="15">
        <v>31</v>
      </c>
      <c r="I51" s="15">
        <v>32.4</v>
      </c>
      <c r="J51" s="15">
        <v>33.5</v>
      </c>
      <c r="K51" s="15">
        <v>31.2</v>
      </c>
      <c r="L51" s="15">
        <v>25.7</v>
      </c>
      <c r="M51" s="15">
        <v>27.6</v>
      </c>
      <c r="N51" s="15">
        <v>33.799999999999997</v>
      </c>
      <c r="O51" s="15">
        <v>32.299999999999997</v>
      </c>
      <c r="P51" s="15">
        <v>29.5</v>
      </c>
      <c r="Q51" s="15">
        <v>29.2</v>
      </c>
      <c r="R51" s="15">
        <v>31.3</v>
      </c>
      <c r="S51" s="15">
        <v>29.1</v>
      </c>
      <c r="T51" s="15">
        <v>34.5</v>
      </c>
      <c r="U51" s="15">
        <v>30.6</v>
      </c>
      <c r="V51" s="14">
        <v>30.7</v>
      </c>
      <c r="X51" s="20">
        <f t="shared" si="4"/>
        <v>30.505000000000006</v>
      </c>
      <c r="Y51" s="21">
        <f t="shared" si="5"/>
        <v>2.2588658658716314</v>
      </c>
      <c r="Z51" s="3"/>
      <c r="AA51" s="12"/>
      <c r="AB51" s="11"/>
    </row>
    <row r="52" spans="1:28" x14ac:dyDescent="0.25">
      <c r="A52" s="18"/>
      <c r="B52" s="17">
        <v>3</v>
      </c>
      <c r="C52" s="36">
        <v>31.7</v>
      </c>
      <c r="D52" s="15">
        <v>31.7</v>
      </c>
      <c r="E52" s="15">
        <v>31.8</v>
      </c>
      <c r="F52" s="15">
        <v>31.5</v>
      </c>
      <c r="G52" s="15">
        <v>32</v>
      </c>
      <c r="H52" s="15">
        <v>30.2</v>
      </c>
      <c r="I52" s="15">
        <v>33.6</v>
      </c>
      <c r="J52" s="15">
        <v>32.799999999999997</v>
      </c>
      <c r="K52" s="15">
        <v>29</v>
      </c>
      <c r="L52" s="15">
        <v>34.799999999999997</v>
      </c>
      <c r="M52" s="15">
        <v>31.6</v>
      </c>
      <c r="N52" s="15">
        <v>26.5</v>
      </c>
      <c r="O52" s="15">
        <v>28.9</v>
      </c>
      <c r="P52" s="15">
        <v>36.6</v>
      </c>
      <c r="Q52" s="15">
        <v>28.7</v>
      </c>
      <c r="R52" s="15">
        <v>30.8</v>
      </c>
      <c r="S52" s="15">
        <v>33.4</v>
      </c>
      <c r="T52" s="15">
        <v>28.2</v>
      </c>
      <c r="U52" s="15">
        <v>31.4</v>
      </c>
      <c r="V52" s="14">
        <v>32.1</v>
      </c>
      <c r="X52" s="20">
        <f t="shared" si="4"/>
        <v>31.365000000000002</v>
      </c>
      <c r="Y52" s="21">
        <f t="shared" si="5"/>
        <v>2.3017982100957508</v>
      </c>
      <c r="Z52" s="3"/>
      <c r="AA52" s="12"/>
      <c r="AB52" s="11"/>
    </row>
    <row r="53" spans="1:28" ht="15.75" thickBot="1" x14ac:dyDescent="0.3">
      <c r="A53" s="33"/>
      <c r="B53" s="32">
        <v>4</v>
      </c>
      <c r="C53" s="35">
        <v>31.7</v>
      </c>
      <c r="D53" s="7">
        <v>25.6</v>
      </c>
      <c r="E53" s="7">
        <v>34</v>
      </c>
      <c r="F53" s="7">
        <v>28.8</v>
      </c>
      <c r="G53" s="7">
        <v>30.8</v>
      </c>
      <c r="H53" s="7">
        <v>28.8</v>
      </c>
      <c r="I53" s="7">
        <v>31.7</v>
      </c>
      <c r="J53" s="7">
        <v>35.5</v>
      </c>
      <c r="K53" s="7">
        <v>31.6</v>
      </c>
      <c r="L53" s="7">
        <v>29.8</v>
      </c>
      <c r="M53" s="7">
        <v>29.1</v>
      </c>
      <c r="N53" s="7">
        <v>31.7</v>
      </c>
      <c r="O53" s="7">
        <v>28.2</v>
      </c>
      <c r="P53" s="7">
        <v>28.8</v>
      </c>
      <c r="Q53" s="7">
        <v>38.299999999999997</v>
      </c>
      <c r="R53" s="7">
        <v>28.8</v>
      </c>
      <c r="S53" s="7">
        <v>26.4</v>
      </c>
      <c r="T53" s="7">
        <v>25.9</v>
      </c>
      <c r="U53" s="7">
        <v>33.9</v>
      </c>
      <c r="V53" s="6">
        <v>34.6</v>
      </c>
      <c r="X53" s="20">
        <f t="shared" si="4"/>
        <v>30.7</v>
      </c>
      <c r="Y53" s="21">
        <f t="shared" si="5"/>
        <v>3.2600613491159991</v>
      </c>
      <c r="Z53" s="3"/>
      <c r="AA53" s="2"/>
      <c r="AB53" s="1"/>
    </row>
    <row r="54" spans="1:28" x14ac:dyDescent="0.25">
      <c r="A54" s="29">
        <v>9</v>
      </c>
      <c r="B54" s="28">
        <v>1</v>
      </c>
      <c r="C54" s="40">
        <v>38.700000000000003</v>
      </c>
      <c r="D54" s="2">
        <v>33.9</v>
      </c>
      <c r="E54" s="2">
        <v>28.8</v>
      </c>
      <c r="F54" s="2">
        <v>31.7</v>
      </c>
      <c r="G54" s="2">
        <v>23.4</v>
      </c>
      <c r="H54" s="2">
        <v>32.700000000000003</v>
      </c>
      <c r="I54" s="2">
        <v>37.200000000000003</v>
      </c>
      <c r="J54" s="2">
        <v>27.8</v>
      </c>
      <c r="K54" s="2">
        <v>36.200000000000003</v>
      </c>
      <c r="L54" s="2">
        <v>34.299999999999997</v>
      </c>
      <c r="M54" s="2">
        <v>36.700000000000003</v>
      </c>
      <c r="N54" s="2">
        <v>27</v>
      </c>
      <c r="O54" s="2">
        <v>28.3</v>
      </c>
      <c r="P54" s="2">
        <v>37.5</v>
      </c>
      <c r="Q54" s="2">
        <v>36.700000000000003</v>
      </c>
      <c r="R54" s="2">
        <v>27.6</v>
      </c>
      <c r="S54" s="2">
        <v>34.5</v>
      </c>
      <c r="T54" s="2">
        <v>20.100000000000001</v>
      </c>
      <c r="U54" s="2">
        <v>35.1</v>
      </c>
      <c r="V54" s="22">
        <v>30.6</v>
      </c>
      <c r="X54" s="20">
        <f t="shared" si="4"/>
        <v>31.940000000000005</v>
      </c>
      <c r="Y54" s="21">
        <f t="shared" si="5"/>
        <v>4.9635068248164727</v>
      </c>
      <c r="Z54" s="3"/>
      <c r="AA54" s="20">
        <f>AVERAGE(X54:X57)</f>
        <v>33.842500000000008</v>
      </c>
      <c r="AB54" s="19">
        <f>_xlfn.STDEV.P(X54:X57)</f>
        <v>1.1605252043794649</v>
      </c>
    </row>
    <row r="55" spans="1:28" x14ac:dyDescent="0.25">
      <c r="A55" s="18"/>
      <c r="B55" s="17">
        <v>2</v>
      </c>
      <c r="C55" s="36">
        <v>43.7</v>
      </c>
      <c r="D55" s="15">
        <v>25.2</v>
      </c>
      <c r="E55" s="15">
        <v>25.9</v>
      </c>
      <c r="F55" s="15">
        <v>28.7</v>
      </c>
      <c r="G55" s="15">
        <v>42.7</v>
      </c>
      <c r="H55" s="15">
        <v>33.700000000000003</v>
      </c>
      <c r="I55" s="15">
        <v>32.700000000000003</v>
      </c>
      <c r="J55" s="15">
        <v>36.299999999999997</v>
      </c>
      <c r="K55" s="15">
        <v>34.700000000000003</v>
      </c>
      <c r="L55" s="15">
        <v>34.700000000000003</v>
      </c>
      <c r="M55" s="15">
        <v>41.1</v>
      </c>
      <c r="N55" s="15">
        <v>37.4</v>
      </c>
      <c r="O55" s="15">
        <v>32</v>
      </c>
      <c r="P55" s="15">
        <v>35.6</v>
      </c>
      <c r="Q55" s="15">
        <v>29.3</v>
      </c>
      <c r="R55" s="15">
        <v>29.6</v>
      </c>
      <c r="S55" s="15">
        <v>37.5</v>
      </c>
      <c r="T55" s="15">
        <v>31.5</v>
      </c>
      <c r="U55" s="15">
        <v>30.9</v>
      </c>
      <c r="V55" s="14">
        <v>34.6</v>
      </c>
      <c r="X55" s="20">
        <f t="shared" si="4"/>
        <v>33.89</v>
      </c>
      <c r="Y55" s="21">
        <f t="shared" si="5"/>
        <v>4.9354736348196608</v>
      </c>
      <c r="Z55" s="3"/>
      <c r="AA55" s="12"/>
      <c r="AB55" s="11"/>
    </row>
    <row r="56" spans="1:28" x14ac:dyDescent="0.25">
      <c r="A56" s="18"/>
      <c r="B56" s="17">
        <v>3</v>
      </c>
      <c r="C56" s="36">
        <v>32.4</v>
      </c>
      <c r="D56" s="15">
        <v>37.1</v>
      </c>
      <c r="E56" s="15">
        <v>33.200000000000003</v>
      </c>
      <c r="F56" s="15">
        <v>27.4</v>
      </c>
      <c r="G56" s="15">
        <v>35.9</v>
      </c>
      <c r="H56" s="15">
        <v>38.9</v>
      </c>
      <c r="I56" s="15">
        <v>32.4</v>
      </c>
      <c r="J56" s="15">
        <v>35.9</v>
      </c>
      <c r="K56" s="15">
        <v>37</v>
      </c>
      <c r="L56" s="15">
        <v>43.5</v>
      </c>
      <c r="M56" s="15">
        <v>32.1</v>
      </c>
      <c r="N56" s="15">
        <v>37.299999999999997</v>
      </c>
      <c r="O56" s="15">
        <v>30</v>
      </c>
      <c r="P56" s="15">
        <v>40.299999999999997</v>
      </c>
      <c r="Q56" s="15">
        <v>33.5</v>
      </c>
      <c r="R56" s="15">
        <v>32.5</v>
      </c>
      <c r="S56" s="15">
        <v>35.700000000000003</v>
      </c>
      <c r="T56" s="15">
        <v>37.5</v>
      </c>
      <c r="U56" s="15">
        <v>34.200000000000003</v>
      </c>
      <c r="V56" s="14">
        <v>31.6</v>
      </c>
      <c r="X56" s="20">
        <f t="shared" si="4"/>
        <v>34.920000000000009</v>
      </c>
      <c r="Y56" s="21">
        <f t="shared" si="5"/>
        <v>3.6476841968568761</v>
      </c>
      <c r="Z56" s="3"/>
      <c r="AA56" s="12"/>
      <c r="AB56" s="11"/>
    </row>
    <row r="57" spans="1:28" ht="15.75" thickBot="1" x14ac:dyDescent="0.3">
      <c r="A57" s="10"/>
      <c r="B57" s="9">
        <v>4</v>
      </c>
      <c r="C57" s="41">
        <v>28.8</v>
      </c>
      <c r="D57" s="31">
        <v>24</v>
      </c>
      <c r="E57" s="31">
        <v>31.6</v>
      </c>
      <c r="F57" s="31">
        <v>39.200000000000003</v>
      </c>
      <c r="G57" s="31">
        <v>35.799999999999997</v>
      </c>
      <c r="H57" s="31">
        <v>32.200000000000003</v>
      </c>
      <c r="I57" s="31">
        <v>42.6</v>
      </c>
      <c r="J57" s="31">
        <v>42.8</v>
      </c>
      <c r="K57" s="31">
        <v>35.5</v>
      </c>
      <c r="L57" s="31">
        <v>38.6</v>
      </c>
      <c r="M57" s="31">
        <v>34.799999999999997</v>
      </c>
      <c r="N57" s="31">
        <v>38.799999999999997</v>
      </c>
      <c r="O57" s="31">
        <v>39.299999999999997</v>
      </c>
      <c r="P57" s="31">
        <v>27.2</v>
      </c>
      <c r="Q57" s="31">
        <v>35</v>
      </c>
      <c r="R57" s="31">
        <v>27.7</v>
      </c>
      <c r="S57" s="31">
        <v>28.8</v>
      </c>
      <c r="T57" s="31">
        <v>36.5</v>
      </c>
      <c r="U57" s="31">
        <v>34.9</v>
      </c>
      <c r="V57" s="30">
        <v>38.299999999999997</v>
      </c>
      <c r="X57" s="20">
        <f t="shared" si="4"/>
        <v>34.619999999999997</v>
      </c>
      <c r="Y57" s="21">
        <f t="shared" si="5"/>
        <v>5.1221675099512352</v>
      </c>
      <c r="Z57" s="3"/>
      <c r="AA57" s="2"/>
      <c r="AB57" s="1"/>
    </row>
    <row r="58" spans="1:28" x14ac:dyDescent="0.25">
      <c r="A58" s="24">
        <v>10</v>
      </c>
      <c r="B58" s="23">
        <v>1</v>
      </c>
      <c r="C58" s="38">
        <v>30.5</v>
      </c>
      <c r="D58" s="26">
        <v>29.7</v>
      </c>
      <c r="E58" s="26">
        <v>35.799999999999997</v>
      </c>
      <c r="F58" s="26">
        <v>35.5</v>
      </c>
      <c r="G58" s="26">
        <v>35.4</v>
      </c>
      <c r="H58" s="26">
        <v>37.6</v>
      </c>
      <c r="I58" s="26">
        <v>33.5</v>
      </c>
      <c r="J58" s="26">
        <v>32.1</v>
      </c>
      <c r="K58" s="26">
        <v>31.6</v>
      </c>
      <c r="L58" s="26">
        <v>29.9</v>
      </c>
      <c r="M58" s="26">
        <v>30.1</v>
      </c>
      <c r="N58" s="26">
        <v>35</v>
      </c>
      <c r="O58" s="26">
        <v>32.9</v>
      </c>
      <c r="P58" s="26">
        <v>25.1</v>
      </c>
      <c r="Q58" s="26">
        <v>28.5</v>
      </c>
      <c r="R58" s="26">
        <v>32.1</v>
      </c>
      <c r="S58" s="26">
        <v>27.1</v>
      </c>
      <c r="T58" s="26">
        <v>26.2</v>
      </c>
      <c r="U58" s="26">
        <v>33.799999999999997</v>
      </c>
      <c r="V58" s="25">
        <v>28.8</v>
      </c>
      <c r="X58" s="20">
        <f t="shared" si="4"/>
        <v>31.560000000000002</v>
      </c>
      <c r="Y58" s="21">
        <f t="shared" si="5"/>
        <v>3.3505820389895997</v>
      </c>
      <c r="Z58" s="3"/>
      <c r="AA58" s="20">
        <f>AVERAGE(X58:X61)</f>
        <v>32.058750000000003</v>
      </c>
      <c r="AB58" s="19">
        <f>_xlfn.STDEV.P(X58:X61)</f>
        <v>0.75197552320537742</v>
      </c>
    </row>
    <row r="59" spans="1:28" x14ac:dyDescent="0.25">
      <c r="A59" s="18"/>
      <c r="B59" s="17">
        <v>2</v>
      </c>
      <c r="C59" s="36">
        <v>28.2</v>
      </c>
      <c r="D59" s="15">
        <v>28.7</v>
      </c>
      <c r="E59" s="15">
        <v>35.200000000000003</v>
      </c>
      <c r="F59" s="15">
        <v>36.9</v>
      </c>
      <c r="G59" s="15">
        <v>29.9</v>
      </c>
      <c r="H59" s="15">
        <v>31.4</v>
      </c>
      <c r="I59" s="15">
        <v>40.700000000000003</v>
      </c>
      <c r="J59" s="15">
        <v>34</v>
      </c>
      <c r="K59" s="15">
        <v>26.7</v>
      </c>
      <c r="L59" s="15">
        <v>32.9</v>
      </c>
      <c r="M59" s="15">
        <v>33.4</v>
      </c>
      <c r="N59" s="15">
        <v>34.1</v>
      </c>
      <c r="O59" s="15">
        <v>33.200000000000003</v>
      </c>
      <c r="P59" s="15">
        <v>37.4</v>
      </c>
      <c r="Q59" s="15">
        <v>38</v>
      </c>
      <c r="R59" s="15">
        <v>28.6</v>
      </c>
      <c r="S59" s="15">
        <v>33.200000000000003</v>
      </c>
      <c r="T59" s="15">
        <v>32.299999999999997</v>
      </c>
      <c r="U59" s="15">
        <v>34.700000000000003</v>
      </c>
      <c r="V59" s="14">
        <v>37</v>
      </c>
      <c r="X59" s="20">
        <f t="shared" si="4"/>
        <v>33.325000000000003</v>
      </c>
      <c r="Y59" s="21">
        <f t="shared" si="5"/>
        <v>3.5789488680337578</v>
      </c>
      <c r="Z59" s="3"/>
      <c r="AA59" s="12"/>
      <c r="AB59" s="11"/>
    </row>
    <row r="60" spans="1:28" x14ac:dyDescent="0.25">
      <c r="A60" s="18"/>
      <c r="B60" s="17">
        <v>3</v>
      </c>
      <c r="C60" s="36">
        <v>35.700000000000003</v>
      </c>
      <c r="D60" s="15">
        <v>33.799999999999997</v>
      </c>
      <c r="E60" s="15">
        <v>31</v>
      </c>
      <c r="F60" s="15">
        <v>32.5</v>
      </c>
      <c r="G60" s="15">
        <v>34.4</v>
      </c>
      <c r="H60" s="15">
        <v>19.100000000000001</v>
      </c>
      <c r="I60" s="15">
        <v>33.200000000000003</v>
      </c>
      <c r="J60" s="15">
        <v>29.8</v>
      </c>
      <c r="K60" s="15">
        <v>34.5</v>
      </c>
      <c r="L60" s="15">
        <v>30.1</v>
      </c>
      <c r="M60" s="15">
        <v>33.6</v>
      </c>
      <c r="N60" s="15">
        <v>29.1</v>
      </c>
      <c r="O60" s="15">
        <v>31.8</v>
      </c>
      <c r="P60" s="15">
        <v>34.1</v>
      </c>
      <c r="Q60" s="15">
        <v>26.7</v>
      </c>
      <c r="R60" s="15">
        <v>28.5</v>
      </c>
      <c r="S60" s="15">
        <v>36</v>
      </c>
      <c r="T60" s="15">
        <v>27.5</v>
      </c>
      <c r="U60" s="15">
        <v>28.5</v>
      </c>
      <c r="V60" s="14">
        <v>38.799999999999997</v>
      </c>
      <c r="X60" s="20">
        <f t="shared" si="4"/>
        <v>31.435000000000002</v>
      </c>
      <c r="Y60" s="21">
        <f t="shared" si="5"/>
        <v>4.1869171236125124</v>
      </c>
      <c r="Z60" s="3"/>
      <c r="AA60" s="12"/>
      <c r="AB60" s="11"/>
    </row>
    <row r="61" spans="1:28" ht="15.75" thickBot="1" x14ac:dyDescent="0.3">
      <c r="A61" s="33"/>
      <c r="B61" s="32">
        <v>4</v>
      </c>
      <c r="C61" s="35">
        <v>30.5</v>
      </c>
      <c r="D61" s="7">
        <v>31.7</v>
      </c>
      <c r="E61" s="7">
        <v>26.4</v>
      </c>
      <c r="F61" s="7">
        <v>30.4</v>
      </c>
      <c r="G61" s="7">
        <v>30.7</v>
      </c>
      <c r="H61" s="7">
        <v>33.700000000000003</v>
      </c>
      <c r="I61" s="7">
        <v>25.5</v>
      </c>
      <c r="J61" s="7">
        <v>33.6</v>
      </c>
      <c r="K61" s="7">
        <v>39.9</v>
      </c>
      <c r="L61" s="7">
        <v>32.4</v>
      </c>
      <c r="M61" s="7">
        <v>34.5</v>
      </c>
      <c r="N61" s="7">
        <v>31.4</v>
      </c>
      <c r="O61" s="7">
        <v>36.200000000000003</v>
      </c>
      <c r="P61" s="7">
        <v>30.6</v>
      </c>
      <c r="Q61" s="7">
        <v>31</v>
      </c>
      <c r="R61" s="7">
        <v>32.200000000000003</v>
      </c>
      <c r="S61" s="7">
        <v>30.9</v>
      </c>
      <c r="T61" s="7">
        <v>30.3</v>
      </c>
      <c r="U61" s="7">
        <v>34.4</v>
      </c>
      <c r="V61" s="6">
        <v>32</v>
      </c>
      <c r="X61" s="20">
        <f t="shared" si="4"/>
        <v>31.914999999999992</v>
      </c>
      <c r="Y61" s="21">
        <f t="shared" si="5"/>
        <v>3.0429056837174571</v>
      </c>
      <c r="Z61" s="3"/>
      <c r="AA61" s="2"/>
      <c r="AB61" s="1"/>
    </row>
    <row r="62" spans="1:28" x14ac:dyDescent="0.25">
      <c r="A62" s="29">
        <v>11</v>
      </c>
      <c r="B62" s="28">
        <v>1</v>
      </c>
      <c r="C62" s="40">
        <v>31.4</v>
      </c>
      <c r="D62" s="2">
        <v>29.7</v>
      </c>
      <c r="E62" s="2">
        <v>34.1</v>
      </c>
      <c r="F62" s="2">
        <v>30.6</v>
      </c>
      <c r="G62" s="2">
        <v>32.299999999999997</v>
      </c>
      <c r="H62" s="2">
        <v>36.6</v>
      </c>
      <c r="I62" s="2">
        <v>31.7</v>
      </c>
      <c r="J62" s="2">
        <v>29.3</v>
      </c>
      <c r="K62" s="2">
        <v>33.299999999999997</v>
      </c>
      <c r="L62" s="2">
        <v>36.4</v>
      </c>
      <c r="M62" s="2">
        <v>36.1</v>
      </c>
      <c r="N62" s="2">
        <v>28.3</v>
      </c>
      <c r="O62" s="2">
        <v>38.9</v>
      </c>
      <c r="P62" s="2">
        <v>35.799999999999997</v>
      </c>
      <c r="Q62" s="2">
        <v>31.6</v>
      </c>
      <c r="R62" s="2">
        <v>37.700000000000003</v>
      </c>
      <c r="S62" s="2">
        <v>36.299999999999997</v>
      </c>
      <c r="T62" s="2">
        <v>41.4</v>
      </c>
      <c r="U62" s="2">
        <v>36.299999999999997</v>
      </c>
      <c r="V62" s="22">
        <v>39.9</v>
      </c>
      <c r="X62" s="20">
        <f t="shared" si="4"/>
        <v>34.384999999999991</v>
      </c>
      <c r="Y62" s="21">
        <f t="shared" si="5"/>
        <v>3.6116858944266381</v>
      </c>
      <c r="Z62" s="3"/>
      <c r="AA62" s="20">
        <f>AVERAGE(X62:X65)</f>
        <v>35.162499999999994</v>
      </c>
      <c r="AB62" s="19">
        <f>_xlfn.STDEV.P(X62:X65)</f>
        <v>0.91440212707539326</v>
      </c>
    </row>
    <row r="63" spans="1:28" x14ac:dyDescent="0.25">
      <c r="A63" s="18"/>
      <c r="B63" s="17">
        <v>2</v>
      </c>
      <c r="C63" s="36">
        <v>36.6</v>
      </c>
      <c r="D63" s="15">
        <v>42.4</v>
      </c>
      <c r="E63" s="15">
        <v>38.200000000000003</v>
      </c>
      <c r="F63" s="15">
        <v>35.200000000000003</v>
      </c>
      <c r="G63" s="15">
        <v>39.299999999999997</v>
      </c>
      <c r="H63" s="15">
        <v>47.2</v>
      </c>
      <c r="I63" s="15">
        <v>42.8</v>
      </c>
      <c r="J63" s="15">
        <v>32.5</v>
      </c>
      <c r="K63" s="15">
        <v>37.700000000000003</v>
      </c>
      <c r="L63" s="15">
        <v>30.3</v>
      </c>
      <c r="M63" s="15">
        <v>29.2</v>
      </c>
      <c r="N63" s="15">
        <v>32</v>
      </c>
      <c r="O63" s="15">
        <v>41.2</v>
      </c>
      <c r="P63" s="15">
        <v>32.799999999999997</v>
      </c>
      <c r="Q63" s="15">
        <v>39.700000000000003</v>
      </c>
      <c r="R63" s="15">
        <v>31.3</v>
      </c>
      <c r="S63" s="15">
        <v>35.299999999999997</v>
      </c>
      <c r="T63" s="15">
        <v>28.3</v>
      </c>
      <c r="U63" s="15">
        <v>39.6</v>
      </c>
      <c r="V63" s="14">
        <v>34.299999999999997</v>
      </c>
      <c r="X63" s="20">
        <f t="shared" si="4"/>
        <v>36.294999999999995</v>
      </c>
      <c r="Y63" s="21">
        <f t="shared" si="5"/>
        <v>4.9304639741103564</v>
      </c>
      <c r="Z63" s="3"/>
      <c r="AA63" s="12"/>
      <c r="AB63" s="11"/>
    </row>
    <row r="64" spans="1:28" x14ac:dyDescent="0.25">
      <c r="A64" s="18"/>
      <c r="B64" s="17">
        <v>3</v>
      </c>
      <c r="C64" s="36">
        <v>38.700000000000003</v>
      </c>
      <c r="D64" s="15">
        <v>30.3</v>
      </c>
      <c r="E64" s="15">
        <v>31.8</v>
      </c>
      <c r="F64" s="15">
        <v>25.7</v>
      </c>
      <c r="G64" s="15">
        <v>35.4</v>
      </c>
      <c r="H64" s="15">
        <v>32</v>
      </c>
      <c r="I64" s="15">
        <v>32.5</v>
      </c>
      <c r="J64" s="15">
        <v>37.5</v>
      </c>
      <c r="K64" s="15">
        <v>40.4</v>
      </c>
      <c r="L64" s="15">
        <v>36.6</v>
      </c>
      <c r="M64" s="15">
        <v>31.4</v>
      </c>
      <c r="N64" s="15">
        <v>32.4</v>
      </c>
      <c r="O64" s="15">
        <v>35.299999999999997</v>
      </c>
      <c r="P64" s="15">
        <v>38.299999999999997</v>
      </c>
      <c r="Q64" s="15">
        <v>36</v>
      </c>
      <c r="R64" s="15">
        <v>37.200000000000003</v>
      </c>
      <c r="S64" s="15">
        <v>33.5</v>
      </c>
      <c r="T64" s="15">
        <v>31</v>
      </c>
      <c r="U64" s="15">
        <v>28.5</v>
      </c>
      <c r="V64" s="14">
        <v>38.5</v>
      </c>
      <c r="X64" s="20">
        <f t="shared" si="4"/>
        <v>34.15</v>
      </c>
      <c r="Y64" s="21">
        <f t="shared" si="5"/>
        <v>3.7465317294799387</v>
      </c>
      <c r="Z64" s="3"/>
      <c r="AA64" s="12"/>
      <c r="AB64" s="11"/>
    </row>
    <row r="65" spans="1:28" ht="15.75" thickBot="1" x14ac:dyDescent="0.3">
      <c r="A65" s="10"/>
      <c r="B65" s="9">
        <v>4</v>
      </c>
      <c r="C65" s="39">
        <v>37.700000000000003</v>
      </c>
      <c r="D65" s="31">
        <v>41.1</v>
      </c>
      <c r="E65" s="31">
        <v>41</v>
      </c>
      <c r="F65" s="31">
        <v>32</v>
      </c>
      <c r="G65" s="31">
        <v>36.5</v>
      </c>
      <c r="H65" s="31">
        <v>38</v>
      </c>
      <c r="I65" s="31">
        <v>28.3</v>
      </c>
      <c r="J65" s="31">
        <v>35.6</v>
      </c>
      <c r="K65" s="31">
        <v>34.200000000000003</v>
      </c>
      <c r="L65" s="31">
        <v>31.8</v>
      </c>
      <c r="M65" s="31">
        <v>29.2</v>
      </c>
      <c r="N65" s="31">
        <v>35.5</v>
      </c>
      <c r="O65" s="31">
        <v>36.1</v>
      </c>
      <c r="P65" s="31">
        <v>44.3</v>
      </c>
      <c r="Q65" s="31">
        <v>39</v>
      </c>
      <c r="R65" s="31">
        <v>38.6</v>
      </c>
      <c r="S65" s="31">
        <v>35.4</v>
      </c>
      <c r="T65" s="31">
        <v>28.9</v>
      </c>
      <c r="U65" s="31">
        <v>35.200000000000003</v>
      </c>
      <c r="V65" s="30">
        <v>38</v>
      </c>
      <c r="X65" s="20">
        <f t="shared" si="4"/>
        <v>35.820000000000007</v>
      </c>
      <c r="Y65" s="21">
        <f t="shared" si="5"/>
        <v>4.1254817900458161</v>
      </c>
      <c r="Z65" s="3"/>
      <c r="AA65" s="2"/>
      <c r="AB65" s="1"/>
    </row>
    <row r="66" spans="1:28" x14ac:dyDescent="0.25">
      <c r="A66" s="24">
        <v>12</v>
      </c>
      <c r="B66" s="23">
        <v>1</v>
      </c>
      <c r="C66" s="38">
        <v>41.6</v>
      </c>
      <c r="D66" s="26">
        <v>39.6</v>
      </c>
      <c r="E66" s="26">
        <v>37.4</v>
      </c>
      <c r="F66" s="26">
        <v>40.799999999999997</v>
      </c>
      <c r="G66" s="26">
        <v>34.700000000000003</v>
      </c>
      <c r="H66" s="26">
        <v>30.5</v>
      </c>
      <c r="I66" s="26">
        <v>37.4</v>
      </c>
      <c r="J66" s="26">
        <v>37.1</v>
      </c>
      <c r="K66" s="26">
        <v>36.6</v>
      </c>
      <c r="L66" s="26">
        <v>27.6</v>
      </c>
      <c r="M66" s="37">
        <v>30.1</v>
      </c>
      <c r="N66" s="26">
        <v>40.9</v>
      </c>
      <c r="O66" s="26">
        <v>30.2</v>
      </c>
      <c r="P66" s="26">
        <v>31.2</v>
      </c>
      <c r="Q66" s="26">
        <v>27.7</v>
      </c>
      <c r="R66" s="26">
        <v>26.1</v>
      </c>
      <c r="S66" s="26">
        <v>34.9</v>
      </c>
      <c r="T66" s="26">
        <v>37.6</v>
      </c>
      <c r="U66" s="26">
        <v>38.799999999999997</v>
      </c>
      <c r="V66" s="25">
        <v>30.3</v>
      </c>
      <c r="X66" s="20">
        <f t="shared" si="4"/>
        <v>34.554999999999993</v>
      </c>
      <c r="Y66" s="21">
        <f t="shared" si="5"/>
        <v>4.79629805162274</v>
      </c>
      <c r="Z66" s="3"/>
      <c r="AA66" s="20">
        <f>AVERAGE(X66:X69)</f>
        <v>33.283749999999998</v>
      </c>
      <c r="AB66" s="19">
        <f>_xlfn.STDEV.P(X66:X69)</f>
        <v>0.76380932666470847</v>
      </c>
    </row>
    <row r="67" spans="1:28" x14ac:dyDescent="0.25">
      <c r="A67" s="18"/>
      <c r="B67" s="17">
        <v>2</v>
      </c>
      <c r="C67" s="36">
        <v>36.6</v>
      </c>
      <c r="D67" s="15">
        <v>34.5</v>
      </c>
      <c r="E67" s="15">
        <v>32.799999999999997</v>
      </c>
      <c r="F67" s="15">
        <v>35.700000000000003</v>
      </c>
      <c r="G67" s="15">
        <v>37</v>
      </c>
      <c r="H67" s="15">
        <v>28.7</v>
      </c>
      <c r="I67" s="15">
        <v>27.6</v>
      </c>
      <c r="J67" s="15">
        <v>27.9</v>
      </c>
      <c r="K67" s="15">
        <v>33.299999999999997</v>
      </c>
      <c r="L67" s="15">
        <v>33.6</v>
      </c>
      <c r="M67" s="15">
        <v>37.200000000000003</v>
      </c>
      <c r="N67" s="15">
        <v>37.4</v>
      </c>
      <c r="O67" s="15">
        <v>27.4</v>
      </c>
      <c r="P67" s="15">
        <v>34.9</v>
      </c>
      <c r="Q67" s="15">
        <v>30.1</v>
      </c>
      <c r="R67" s="15">
        <v>27.8</v>
      </c>
      <c r="S67" s="15">
        <v>33.200000000000003</v>
      </c>
      <c r="T67" s="15">
        <v>31.9</v>
      </c>
      <c r="U67" s="15">
        <v>29.2</v>
      </c>
      <c r="V67" s="14">
        <v>37.200000000000003</v>
      </c>
      <c r="X67" s="20">
        <f t="shared" si="4"/>
        <v>32.700000000000003</v>
      </c>
      <c r="Y67" s="21">
        <f t="shared" si="5"/>
        <v>3.5468295701936809</v>
      </c>
      <c r="Z67" s="3"/>
      <c r="AA67" s="12"/>
      <c r="AB67" s="11"/>
    </row>
    <row r="68" spans="1:28" x14ac:dyDescent="0.25">
      <c r="A68" s="18"/>
      <c r="B68" s="17">
        <v>3</v>
      </c>
      <c r="C68" s="36">
        <v>25.7</v>
      </c>
      <c r="D68" s="15">
        <v>28.7</v>
      </c>
      <c r="E68" s="15">
        <v>36.1</v>
      </c>
      <c r="F68" s="15">
        <v>35.200000000000003</v>
      </c>
      <c r="G68" s="15">
        <v>39.1</v>
      </c>
      <c r="H68" s="15">
        <v>35.700000000000003</v>
      </c>
      <c r="I68" s="15">
        <v>33</v>
      </c>
      <c r="J68" s="15">
        <v>36.700000000000003</v>
      </c>
      <c r="K68" s="15">
        <v>26</v>
      </c>
      <c r="L68" s="15">
        <v>30.3</v>
      </c>
      <c r="M68" s="15">
        <v>36.200000000000003</v>
      </c>
      <c r="N68" s="15">
        <v>33.200000000000003</v>
      </c>
      <c r="O68" s="15">
        <v>29.4</v>
      </c>
      <c r="P68" s="12">
        <v>31.1</v>
      </c>
      <c r="Q68" s="15">
        <v>31.9</v>
      </c>
      <c r="R68" s="15">
        <v>34.1</v>
      </c>
      <c r="S68" s="15">
        <v>34.9</v>
      </c>
      <c r="T68" s="15">
        <v>35.700000000000003</v>
      </c>
      <c r="U68" s="15">
        <v>30.6</v>
      </c>
      <c r="V68" s="14">
        <v>40.5</v>
      </c>
      <c r="X68" s="20">
        <f t="shared" si="4"/>
        <v>33.204999999999998</v>
      </c>
      <c r="Y68" s="21">
        <f t="shared" si="5"/>
        <v>3.8861902938482209</v>
      </c>
      <c r="Z68" s="3"/>
      <c r="AA68" s="12"/>
      <c r="AB68" s="11"/>
    </row>
    <row r="69" spans="1:28" ht="15.75" thickBot="1" x14ac:dyDescent="0.3">
      <c r="A69" s="10"/>
      <c r="B69" s="9">
        <v>4</v>
      </c>
      <c r="C69" s="35">
        <v>29.9</v>
      </c>
      <c r="D69" s="7">
        <v>32</v>
      </c>
      <c r="E69" s="7">
        <v>37.6</v>
      </c>
      <c r="F69" s="7">
        <v>30.4</v>
      </c>
      <c r="G69" s="7">
        <v>28.8</v>
      </c>
      <c r="H69" s="7">
        <v>34.5</v>
      </c>
      <c r="I69" s="7">
        <v>35.6</v>
      </c>
      <c r="J69" s="7">
        <v>34.4</v>
      </c>
      <c r="K69" s="7">
        <v>30.2</v>
      </c>
      <c r="L69" s="7">
        <v>34.5</v>
      </c>
      <c r="M69" s="7">
        <v>28.1</v>
      </c>
      <c r="N69" s="7">
        <v>33.9</v>
      </c>
      <c r="O69" s="7">
        <v>30.2</v>
      </c>
      <c r="P69" s="7">
        <v>35.299999999999997</v>
      </c>
      <c r="Q69" s="7">
        <v>41.4</v>
      </c>
      <c r="R69" s="7">
        <v>30.9</v>
      </c>
      <c r="S69" s="7">
        <v>37.5</v>
      </c>
      <c r="T69" s="7">
        <v>26.8</v>
      </c>
      <c r="U69" s="7">
        <v>25.8</v>
      </c>
      <c r="V69" s="6">
        <v>35.700000000000003</v>
      </c>
      <c r="X69" s="20">
        <f t="shared" si="4"/>
        <v>32.674999999999997</v>
      </c>
      <c r="Y69" s="21">
        <f t="shared" si="5"/>
        <v>3.9106105661393387</v>
      </c>
      <c r="Z69" s="3"/>
      <c r="AA69" s="2"/>
      <c r="AB69" s="1"/>
    </row>
    <row r="72" spans="1:28" ht="21.75" thickBot="1" x14ac:dyDescent="0.4">
      <c r="A72" s="50">
        <v>44657</v>
      </c>
      <c r="B72" s="50"/>
      <c r="C72" s="50"/>
      <c r="X72" s="15" t="s">
        <v>3</v>
      </c>
      <c r="Y72" s="34" t="s">
        <v>2</v>
      </c>
      <c r="Z72" s="3"/>
      <c r="AA72" s="15" t="s">
        <v>1</v>
      </c>
      <c r="AB72" s="16" t="s">
        <v>0</v>
      </c>
    </row>
    <row r="73" spans="1:28" x14ac:dyDescent="0.25">
      <c r="A73" s="29">
        <v>1</v>
      </c>
      <c r="B73" s="28">
        <v>1</v>
      </c>
      <c r="C73" s="38">
        <v>24.3</v>
      </c>
      <c r="D73" s="26">
        <v>27.3</v>
      </c>
      <c r="E73" s="26">
        <v>24.7</v>
      </c>
      <c r="F73" s="26">
        <v>29</v>
      </c>
      <c r="G73" s="26">
        <v>25.2</v>
      </c>
      <c r="H73" s="26">
        <v>28.8</v>
      </c>
      <c r="I73" s="26">
        <v>29.6</v>
      </c>
      <c r="J73" s="26">
        <v>27</v>
      </c>
      <c r="K73" s="26">
        <v>29.8</v>
      </c>
      <c r="L73" s="26">
        <v>31</v>
      </c>
      <c r="M73" s="26">
        <v>28</v>
      </c>
      <c r="N73" s="26">
        <v>28.1</v>
      </c>
      <c r="O73" s="26">
        <v>28.4</v>
      </c>
      <c r="P73" s="26">
        <v>27.1</v>
      </c>
      <c r="Q73" s="26">
        <v>32.799999999999997</v>
      </c>
      <c r="R73" s="26">
        <v>31.9</v>
      </c>
      <c r="S73" s="26">
        <v>29.3</v>
      </c>
      <c r="T73" s="26">
        <v>29.1</v>
      </c>
      <c r="U73" s="26">
        <v>27.4</v>
      </c>
      <c r="V73" s="25">
        <v>31</v>
      </c>
      <c r="X73" s="20">
        <f t="shared" ref="X73:X120" si="6">AVERAGE(C73:V73)</f>
        <v>28.490000000000002</v>
      </c>
      <c r="Y73" s="21">
        <f t="shared" ref="Y73:Y120" si="7">_xlfn.STDEV.P(C73:V73)</f>
        <v>2.2027028850936747</v>
      </c>
      <c r="Z73" s="3"/>
      <c r="AA73" s="20">
        <f>AVERAGE(X73:X76)</f>
        <v>29.157499999999999</v>
      </c>
      <c r="AB73" s="19">
        <f>_xlfn.STDEV.P(X73:X76)</f>
        <v>0.59980726070963453</v>
      </c>
    </row>
    <row r="74" spans="1:28" x14ac:dyDescent="0.25">
      <c r="A74" s="18"/>
      <c r="B74" s="17">
        <v>2</v>
      </c>
      <c r="C74" s="36">
        <v>27.4</v>
      </c>
      <c r="D74" s="15">
        <v>30.1</v>
      </c>
      <c r="E74" s="15">
        <v>29.4</v>
      </c>
      <c r="F74" s="15">
        <v>29.9</v>
      </c>
      <c r="G74" s="15">
        <v>29.2</v>
      </c>
      <c r="H74" s="15">
        <v>28.3</v>
      </c>
      <c r="I74" s="15">
        <v>27.8</v>
      </c>
      <c r="J74" s="15">
        <v>27</v>
      </c>
      <c r="K74" s="15">
        <v>29.1</v>
      </c>
      <c r="L74" s="15">
        <v>28.6</v>
      </c>
      <c r="M74" s="15">
        <v>26.8</v>
      </c>
      <c r="N74" s="15">
        <v>31.1</v>
      </c>
      <c r="O74" s="15">
        <v>25.1</v>
      </c>
      <c r="P74" s="15">
        <v>28.1</v>
      </c>
      <c r="Q74" s="15">
        <v>30.6</v>
      </c>
      <c r="R74" s="15">
        <v>30.2</v>
      </c>
      <c r="S74" s="15">
        <v>29</v>
      </c>
      <c r="T74" s="15">
        <v>28.8</v>
      </c>
      <c r="U74" s="15">
        <v>29.5</v>
      </c>
      <c r="V74" s="14">
        <v>28.6</v>
      </c>
      <c r="X74" s="20">
        <f t="shared" si="6"/>
        <v>28.730000000000008</v>
      </c>
      <c r="Y74" s="21">
        <f t="shared" si="7"/>
        <v>1.3989639023220006</v>
      </c>
      <c r="Z74" s="3"/>
      <c r="AA74" s="12"/>
      <c r="AB74" s="11"/>
    </row>
    <row r="75" spans="1:28" x14ac:dyDescent="0.25">
      <c r="A75" s="18"/>
      <c r="B75" s="17">
        <v>3</v>
      </c>
      <c r="C75" s="36">
        <v>27.1</v>
      </c>
      <c r="D75" s="15">
        <v>30</v>
      </c>
      <c r="E75" s="15">
        <v>30.8</v>
      </c>
      <c r="F75" s="15">
        <v>28.1</v>
      </c>
      <c r="G75" s="15">
        <v>29.8</v>
      </c>
      <c r="H75" s="15">
        <v>30.3</v>
      </c>
      <c r="I75" s="15">
        <v>32.1</v>
      </c>
      <c r="J75" s="15">
        <v>28.8</v>
      </c>
      <c r="K75" s="15">
        <v>30.3</v>
      </c>
      <c r="L75" s="15">
        <v>30.9</v>
      </c>
      <c r="M75" s="15">
        <v>30.2</v>
      </c>
      <c r="N75" s="15">
        <v>29.9</v>
      </c>
      <c r="O75" s="15">
        <v>26.9</v>
      </c>
      <c r="P75" s="15">
        <v>29.1</v>
      </c>
      <c r="Q75" s="15">
        <v>31.7</v>
      </c>
      <c r="R75" s="15">
        <v>26.7</v>
      </c>
      <c r="S75" s="15">
        <v>31.7</v>
      </c>
      <c r="T75" s="15">
        <v>29.4</v>
      </c>
      <c r="U75" s="15">
        <v>30.9</v>
      </c>
      <c r="V75" s="14">
        <v>35.9</v>
      </c>
      <c r="X75" s="20">
        <f t="shared" si="6"/>
        <v>30.029999999999994</v>
      </c>
      <c r="Y75" s="21">
        <f t="shared" si="7"/>
        <v>2.0327567488511753</v>
      </c>
      <c r="Z75" s="3"/>
      <c r="AA75" s="12"/>
      <c r="AB75" s="11"/>
    </row>
    <row r="76" spans="1:28" ht="15.75" thickBot="1" x14ac:dyDescent="0.3">
      <c r="A76" s="10"/>
      <c r="B76" s="9">
        <v>4</v>
      </c>
      <c r="C76" s="39">
        <v>29.7</v>
      </c>
      <c r="D76" s="31">
        <v>31.5</v>
      </c>
      <c r="E76" s="31">
        <v>29.1</v>
      </c>
      <c r="F76" s="31">
        <v>25.2</v>
      </c>
      <c r="G76" s="31">
        <v>29.2</v>
      </c>
      <c r="H76" s="31">
        <v>29.2</v>
      </c>
      <c r="I76" s="31">
        <v>26.3</v>
      </c>
      <c r="J76" s="31">
        <v>26.7</v>
      </c>
      <c r="K76" s="31">
        <v>30.2</v>
      </c>
      <c r="L76" s="31">
        <v>31.3</v>
      </c>
      <c r="M76" s="31">
        <v>29.9</v>
      </c>
      <c r="N76" s="31">
        <v>26.6</v>
      </c>
      <c r="O76" s="31">
        <v>27.9</v>
      </c>
      <c r="P76" s="31">
        <v>32.6</v>
      </c>
      <c r="Q76" s="31">
        <v>33</v>
      </c>
      <c r="R76" s="31">
        <v>28.8</v>
      </c>
      <c r="S76" s="31">
        <v>30.5</v>
      </c>
      <c r="T76" s="31">
        <v>33</v>
      </c>
      <c r="U76" s="31">
        <v>26.6</v>
      </c>
      <c r="V76" s="30">
        <v>30.3</v>
      </c>
      <c r="X76" s="20">
        <f t="shared" si="6"/>
        <v>29.380000000000003</v>
      </c>
      <c r="Y76" s="21">
        <f t="shared" si="7"/>
        <v>2.2379901697728704</v>
      </c>
      <c r="Z76" s="3"/>
      <c r="AA76" s="2"/>
      <c r="AB76" s="1"/>
    </row>
    <row r="77" spans="1:28" x14ac:dyDescent="0.25">
      <c r="A77" s="24">
        <v>2</v>
      </c>
      <c r="B77" s="23">
        <v>1</v>
      </c>
      <c r="C77" s="38">
        <v>29.1</v>
      </c>
      <c r="D77" s="26">
        <v>32.700000000000003</v>
      </c>
      <c r="E77" s="26">
        <v>29.9</v>
      </c>
      <c r="F77" s="26">
        <v>31</v>
      </c>
      <c r="G77" s="26">
        <v>25.4</v>
      </c>
      <c r="H77" s="26">
        <v>28.5</v>
      </c>
      <c r="I77" s="26">
        <v>31</v>
      </c>
      <c r="J77" s="26">
        <v>33.700000000000003</v>
      </c>
      <c r="K77" s="26">
        <v>29.6</v>
      </c>
      <c r="L77" s="26">
        <v>30.4</v>
      </c>
      <c r="M77" s="26">
        <v>31.8</v>
      </c>
      <c r="N77" s="26">
        <v>33.5</v>
      </c>
      <c r="O77" s="26">
        <v>33.1</v>
      </c>
      <c r="P77" s="26">
        <v>30.3</v>
      </c>
      <c r="Q77" s="26">
        <v>28.9</v>
      </c>
      <c r="R77" s="26">
        <v>29.4</v>
      </c>
      <c r="S77" s="26">
        <v>28.2</v>
      </c>
      <c r="T77" s="26">
        <v>27.9</v>
      </c>
      <c r="U77" s="26">
        <v>28.7</v>
      </c>
      <c r="V77" s="25">
        <v>28.9</v>
      </c>
      <c r="X77" s="20">
        <f t="shared" si="6"/>
        <v>30.1</v>
      </c>
      <c r="Y77" s="21">
        <f t="shared" si="7"/>
        <v>2.0571825392998075</v>
      </c>
      <c r="Z77" s="3"/>
      <c r="AA77" s="20">
        <f>AVERAGE(X77:X80)</f>
        <v>30.15625</v>
      </c>
      <c r="AB77" s="19">
        <f>_xlfn.STDEV.P(X77:X80)</f>
        <v>0.67970926689283406</v>
      </c>
    </row>
    <row r="78" spans="1:28" x14ac:dyDescent="0.25">
      <c r="A78" s="18"/>
      <c r="B78" s="17">
        <v>2</v>
      </c>
      <c r="C78" s="36">
        <v>32.200000000000003</v>
      </c>
      <c r="D78" s="15">
        <v>30.1</v>
      </c>
      <c r="E78" s="15">
        <v>29.9</v>
      </c>
      <c r="F78" s="15">
        <v>30.5</v>
      </c>
      <c r="G78" s="15">
        <v>31.5</v>
      </c>
      <c r="H78" s="15">
        <v>31.1</v>
      </c>
      <c r="I78" s="15">
        <v>30.5</v>
      </c>
      <c r="J78" s="15">
        <v>29.7</v>
      </c>
      <c r="K78" s="15">
        <v>31.1</v>
      </c>
      <c r="L78" s="15">
        <v>27.3</v>
      </c>
      <c r="M78" s="15">
        <v>28.8</v>
      </c>
      <c r="N78" s="15">
        <v>28.9</v>
      </c>
      <c r="O78" s="15">
        <v>29.6</v>
      </c>
      <c r="P78" s="15">
        <v>32.1</v>
      </c>
      <c r="Q78" s="15">
        <v>30.4</v>
      </c>
      <c r="R78" s="15">
        <v>29.8</v>
      </c>
      <c r="S78" s="15">
        <v>31.8</v>
      </c>
      <c r="T78" s="15">
        <v>28.1</v>
      </c>
      <c r="U78" s="15">
        <v>29.2</v>
      </c>
      <c r="V78" s="14">
        <v>31.3</v>
      </c>
      <c r="X78" s="20">
        <f t="shared" si="6"/>
        <v>30.195</v>
      </c>
      <c r="Y78" s="21">
        <f t="shared" si="7"/>
        <v>1.2893700012021381</v>
      </c>
      <c r="Z78" s="3"/>
      <c r="AA78" s="12"/>
      <c r="AB78" s="11"/>
    </row>
    <row r="79" spans="1:28" x14ac:dyDescent="0.25">
      <c r="A79" s="18"/>
      <c r="B79" s="17">
        <v>3</v>
      </c>
      <c r="C79" s="36">
        <v>29.1</v>
      </c>
      <c r="D79" s="15">
        <v>30.7</v>
      </c>
      <c r="E79" s="15">
        <v>28.9</v>
      </c>
      <c r="F79" s="15">
        <v>31.1</v>
      </c>
      <c r="G79" s="15">
        <v>32.1</v>
      </c>
      <c r="H79" s="15">
        <v>28.2</v>
      </c>
      <c r="I79" s="15">
        <v>29.4</v>
      </c>
      <c r="J79" s="15">
        <v>30</v>
      </c>
      <c r="K79" s="15">
        <v>23.9</v>
      </c>
      <c r="L79" s="15">
        <v>31.1</v>
      </c>
      <c r="M79" s="15">
        <v>31.2</v>
      </c>
      <c r="N79" s="15">
        <v>29.6</v>
      </c>
      <c r="O79" s="15">
        <v>29.5</v>
      </c>
      <c r="P79" s="15">
        <v>25.2</v>
      </c>
      <c r="Q79" s="15">
        <v>28.6</v>
      </c>
      <c r="R79" s="15">
        <v>30.1</v>
      </c>
      <c r="S79" s="15">
        <v>27</v>
      </c>
      <c r="T79" s="15">
        <v>30.1</v>
      </c>
      <c r="U79" s="15">
        <v>28.2</v>
      </c>
      <c r="V79" s="14">
        <v>30.1</v>
      </c>
      <c r="X79" s="20">
        <f t="shared" si="6"/>
        <v>29.205000000000005</v>
      </c>
      <c r="Y79" s="21">
        <f t="shared" si="7"/>
        <v>1.9574153876987896</v>
      </c>
      <c r="Z79" s="3"/>
      <c r="AA79" s="12"/>
      <c r="AB79" s="11"/>
    </row>
    <row r="80" spans="1:28" ht="15.75" thickBot="1" x14ac:dyDescent="0.3">
      <c r="A80" s="33"/>
      <c r="B80" s="32">
        <v>4</v>
      </c>
      <c r="C80" s="35">
        <v>31.7</v>
      </c>
      <c r="D80" s="7">
        <v>35</v>
      </c>
      <c r="E80" s="7">
        <v>31.8</v>
      </c>
      <c r="F80" s="7">
        <v>31.4</v>
      </c>
      <c r="G80" s="7">
        <v>33.4</v>
      </c>
      <c r="H80" s="7">
        <v>33.200000000000003</v>
      </c>
      <c r="I80" s="7">
        <v>30.1</v>
      </c>
      <c r="J80" s="7">
        <v>30.6</v>
      </c>
      <c r="K80" s="7">
        <v>34.700000000000003</v>
      </c>
      <c r="L80" s="7">
        <v>25.4</v>
      </c>
      <c r="M80" s="7">
        <v>28.2</v>
      </c>
      <c r="N80" s="7">
        <v>30.4</v>
      </c>
      <c r="O80" s="7">
        <v>32.4</v>
      </c>
      <c r="P80" s="7">
        <v>31.7</v>
      </c>
      <c r="Q80" s="7">
        <v>26.5</v>
      </c>
      <c r="R80" s="7">
        <v>26.4</v>
      </c>
      <c r="S80" s="7">
        <v>32.9</v>
      </c>
      <c r="T80" s="7">
        <v>33.5</v>
      </c>
      <c r="U80" s="7">
        <v>30.5</v>
      </c>
      <c r="V80" s="6">
        <v>32.700000000000003</v>
      </c>
      <c r="X80" s="20">
        <f t="shared" si="6"/>
        <v>31.124999999999993</v>
      </c>
      <c r="Y80" s="21">
        <f t="shared" si="7"/>
        <v>2.6330353206897934</v>
      </c>
      <c r="Z80" s="3"/>
      <c r="AA80" s="2"/>
      <c r="AB80" s="1"/>
    </row>
    <row r="81" spans="1:28" x14ac:dyDescent="0.25">
      <c r="A81" s="29">
        <v>3</v>
      </c>
      <c r="B81" s="28">
        <v>1</v>
      </c>
      <c r="C81" s="40">
        <v>30</v>
      </c>
      <c r="D81" s="2">
        <v>28.1</v>
      </c>
      <c r="E81" s="2">
        <v>28.4</v>
      </c>
      <c r="F81" s="2">
        <v>28.2</v>
      </c>
      <c r="G81" s="2">
        <v>28.8</v>
      </c>
      <c r="H81" s="2">
        <v>26.4</v>
      </c>
      <c r="I81" s="2">
        <v>28.5</v>
      </c>
      <c r="J81" s="2">
        <v>25.3</v>
      </c>
      <c r="K81" s="2">
        <v>28.1</v>
      </c>
      <c r="L81" s="2">
        <v>29.2</v>
      </c>
      <c r="M81" s="2">
        <v>29.9</v>
      </c>
      <c r="N81" s="2">
        <v>28.9</v>
      </c>
      <c r="O81" s="2">
        <v>28</v>
      </c>
      <c r="P81" s="2">
        <v>26.7</v>
      </c>
      <c r="Q81" s="2">
        <v>30.5</v>
      </c>
      <c r="R81" s="2">
        <v>29.2</v>
      </c>
      <c r="S81" s="2">
        <v>31.8</v>
      </c>
      <c r="T81" s="2">
        <v>30.6</v>
      </c>
      <c r="U81" s="2">
        <v>29.8</v>
      </c>
      <c r="V81" s="22">
        <v>28.1</v>
      </c>
      <c r="X81" s="20">
        <f t="shared" si="6"/>
        <v>28.724999999999994</v>
      </c>
      <c r="Y81" s="21">
        <f t="shared" si="7"/>
        <v>1.4855554516745582</v>
      </c>
      <c r="Z81" s="3"/>
      <c r="AA81" s="20">
        <f>AVERAGE(X81:X84)</f>
        <v>29.822499999999998</v>
      </c>
      <c r="AB81" s="19">
        <f>_xlfn.STDEV.P(X81:X84)</f>
        <v>0.67908486214905572</v>
      </c>
    </row>
    <row r="82" spans="1:28" x14ac:dyDescent="0.25">
      <c r="A82" s="18"/>
      <c r="B82" s="17">
        <v>2</v>
      </c>
      <c r="C82" s="36">
        <v>29</v>
      </c>
      <c r="D82" s="15">
        <v>29.4</v>
      </c>
      <c r="E82" s="15">
        <v>30</v>
      </c>
      <c r="F82" s="15">
        <v>24.6</v>
      </c>
      <c r="G82" s="15">
        <v>30.6</v>
      </c>
      <c r="H82" s="15">
        <v>28.7</v>
      </c>
      <c r="I82" s="15">
        <v>31.6</v>
      </c>
      <c r="J82" s="15">
        <v>31.7</v>
      </c>
      <c r="K82" s="15">
        <v>27.5</v>
      </c>
      <c r="L82" s="15">
        <v>31</v>
      </c>
      <c r="M82" s="15">
        <v>28.6</v>
      </c>
      <c r="N82" s="15">
        <v>28.6</v>
      </c>
      <c r="O82" s="15">
        <v>30.5</v>
      </c>
      <c r="P82" s="15">
        <v>30.3</v>
      </c>
      <c r="Q82" s="15">
        <v>30.9</v>
      </c>
      <c r="R82" s="15">
        <v>27</v>
      </c>
      <c r="S82" s="15">
        <v>32</v>
      </c>
      <c r="T82" s="15">
        <v>32.799999999999997</v>
      </c>
      <c r="U82" s="15">
        <v>31.2</v>
      </c>
      <c r="V82" s="14">
        <v>30.4</v>
      </c>
      <c r="X82" s="20">
        <f t="shared" si="6"/>
        <v>29.82</v>
      </c>
      <c r="Y82" s="21">
        <f t="shared" si="7"/>
        <v>1.8991050523865181</v>
      </c>
      <c r="Z82" s="3"/>
      <c r="AA82" s="12"/>
      <c r="AB82" s="11"/>
    </row>
    <row r="83" spans="1:28" x14ac:dyDescent="0.25">
      <c r="A83" s="18"/>
      <c r="B83" s="17">
        <v>3</v>
      </c>
      <c r="C83" s="36">
        <v>25.2</v>
      </c>
      <c r="D83" s="15">
        <v>29.7</v>
      </c>
      <c r="E83" s="15">
        <v>32.6</v>
      </c>
      <c r="F83" s="15">
        <v>29.2</v>
      </c>
      <c r="G83" s="15">
        <v>33</v>
      </c>
      <c r="H83" s="15">
        <v>31.2</v>
      </c>
      <c r="I83" s="15">
        <v>26.8</v>
      </c>
      <c r="J83" s="15">
        <v>28.3</v>
      </c>
      <c r="K83" s="15">
        <v>31.4</v>
      </c>
      <c r="L83" s="15">
        <v>31.6</v>
      </c>
      <c r="M83" s="15">
        <v>33.4</v>
      </c>
      <c r="N83" s="15">
        <v>30.9</v>
      </c>
      <c r="O83" s="15">
        <v>28.9</v>
      </c>
      <c r="P83" s="15">
        <v>30</v>
      </c>
      <c r="Q83" s="15">
        <v>33.4</v>
      </c>
      <c r="R83" s="15">
        <v>33.5</v>
      </c>
      <c r="S83" s="15">
        <v>29.6</v>
      </c>
      <c r="T83" s="15">
        <v>28.7</v>
      </c>
      <c r="U83" s="15">
        <v>31.9</v>
      </c>
      <c r="V83" s="14">
        <v>30.8</v>
      </c>
      <c r="X83" s="20">
        <f t="shared" si="6"/>
        <v>30.504999999999995</v>
      </c>
      <c r="Y83" s="21">
        <f t="shared" si="7"/>
        <v>2.202379395108844</v>
      </c>
      <c r="Z83" s="3"/>
      <c r="AA83" s="12"/>
      <c r="AB83" s="11"/>
    </row>
    <row r="84" spans="1:28" ht="15.75" thickBot="1" x14ac:dyDescent="0.3">
      <c r="A84" s="10"/>
      <c r="B84" s="9">
        <v>4</v>
      </c>
      <c r="C84" s="39">
        <v>30.9</v>
      </c>
      <c r="D84" s="31">
        <v>30.6</v>
      </c>
      <c r="E84" s="31">
        <v>30.4</v>
      </c>
      <c r="F84" s="31">
        <v>31.5</v>
      </c>
      <c r="G84" s="31">
        <v>30.4</v>
      </c>
      <c r="H84" s="31">
        <v>27.4</v>
      </c>
      <c r="I84" s="31">
        <v>28.3</v>
      </c>
      <c r="J84" s="31">
        <v>33.1</v>
      </c>
      <c r="K84" s="31">
        <v>30.8</v>
      </c>
      <c r="L84" s="31">
        <v>27.9</v>
      </c>
      <c r="M84" s="31">
        <v>29.3</v>
      </c>
      <c r="N84" s="31">
        <v>30.4</v>
      </c>
      <c r="O84" s="31">
        <v>29.6</v>
      </c>
      <c r="P84" s="31">
        <v>33.799999999999997</v>
      </c>
      <c r="Q84" s="31">
        <v>27.6</v>
      </c>
      <c r="R84" s="31">
        <v>29.1</v>
      </c>
      <c r="S84" s="31">
        <v>31.1</v>
      </c>
      <c r="T84" s="31">
        <v>32.200000000000003</v>
      </c>
      <c r="U84" s="31">
        <v>28.6</v>
      </c>
      <c r="V84" s="30">
        <v>31.8</v>
      </c>
      <c r="X84" s="20">
        <f t="shared" si="6"/>
        <v>30.240000000000002</v>
      </c>
      <c r="Y84" s="21">
        <f t="shared" si="7"/>
        <v>1.7315888657530687</v>
      </c>
      <c r="Z84" s="3"/>
      <c r="AA84" s="2"/>
      <c r="AB84" s="1"/>
    </row>
    <row r="85" spans="1:28" x14ac:dyDescent="0.25">
      <c r="A85" s="24">
        <v>4</v>
      </c>
      <c r="B85" s="23">
        <v>1</v>
      </c>
      <c r="C85" s="38">
        <v>26.3</v>
      </c>
      <c r="D85" s="26">
        <v>28.1</v>
      </c>
      <c r="E85" s="26">
        <v>29.1</v>
      </c>
      <c r="F85" s="26">
        <v>31</v>
      </c>
      <c r="G85" s="26">
        <v>30.5</v>
      </c>
      <c r="H85" s="26">
        <v>29.9</v>
      </c>
      <c r="I85" s="26">
        <v>27.6</v>
      </c>
      <c r="J85" s="26">
        <v>28.7</v>
      </c>
      <c r="K85" s="26">
        <v>29.5</v>
      </c>
      <c r="L85" s="26">
        <v>31.6</v>
      </c>
      <c r="M85" s="26">
        <v>29.6</v>
      </c>
      <c r="N85" s="26">
        <v>30.3</v>
      </c>
      <c r="O85" s="26">
        <v>34.5</v>
      </c>
      <c r="P85" s="26">
        <v>30.1</v>
      </c>
      <c r="Q85" s="26">
        <v>30.9</v>
      </c>
      <c r="R85" s="26">
        <v>30.1</v>
      </c>
      <c r="S85" s="26">
        <v>32.1</v>
      </c>
      <c r="T85" s="26">
        <v>30.4</v>
      </c>
      <c r="U85" s="26">
        <v>27.2</v>
      </c>
      <c r="V85" s="25">
        <v>33.299999999999997</v>
      </c>
      <c r="X85" s="20">
        <f t="shared" si="6"/>
        <v>30.040000000000003</v>
      </c>
      <c r="Y85" s="21">
        <f t="shared" si="7"/>
        <v>1.9264994160393609</v>
      </c>
      <c r="Z85" s="3"/>
      <c r="AA85" s="20">
        <f>AVERAGE(X85:X88)</f>
        <v>30.327500000000001</v>
      </c>
      <c r="AB85" s="19">
        <f>_xlfn.STDEV.P(X85:X88)</f>
        <v>0.71856193191679574</v>
      </c>
    </row>
    <row r="86" spans="1:28" x14ac:dyDescent="0.25">
      <c r="A86" s="18"/>
      <c r="B86" s="17">
        <v>2</v>
      </c>
      <c r="C86" s="36">
        <v>30.5</v>
      </c>
      <c r="D86" s="15">
        <v>27.2</v>
      </c>
      <c r="E86" s="15">
        <v>31.9</v>
      </c>
      <c r="F86" s="15">
        <v>32</v>
      </c>
      <c r="G86" s="15">
        <v>27.3</v>
      </c>
      <c r="H86" s="15">
        <v>32</v>
      </c>
      <c r="I86" s="15">
        <v>28.5</v>
      </c>
      <c r="J86" s="15">
        <v>28</v>
      </c>
      <c r="K86" s="15">
        <v>27</v>
      </c>
      <c r="L86" s="15">
        <v>28.3</v>
      </c>
      <c r="M86" s="15">
        <v>31.2</v>
      </c>
      <c r="N86" s="15">
        <v>29.5</v>
      </c>
      <c r="O86" s="15">
        <v>27.6</v>
      </c>
      <c r="P86" s="15">
        <v>33.700000000000003</v>
      </c>
      <c r="Q86" s="15">
        <v>30.6</v>
      </c>
      <c r="R86" s="15">
        <v>30.5</v>
      </c>
      <c r="S86" s="15">
        <v>32.4</v>
      </c>
      <c r="T86" s="15">
        <v>30.4</v>
      </c>
      <c r="U86" s="15">
        <v>28.3</v>
      </c>
      <c r="V86" s="14">
        <v>30.1</v>
      </c>
      <c r="X86" s="20">
        <f t="shared" si="6"/>
        <v>29.85</v>
      </c>
      <c r="Y86" s="21">
        <f t="shared" si="7"/>
        <v>1.9397164741270823</v>
      </c>
      <c r="Z86" s="3"/>
      <c r="AA86" s="12"/>
      <c r="AB86" s="11"/>
    </row>
    <row r="87" spans="1:28" x14ac:dyDescent="0.25">
      <c r="A87" s="18"/>
      <c r="B87" s="17">
        <v>3</v>
      </c>
      <c r="C87" s="36">
        <v>30.3</v>
      </c>
      <c r="D87" s="15">
        <v>30</v>
      </c>
      <c r="E87" s="15">
        <v>31.9</v>
      </c>
      <c r="F87" s="15">
        <v>29.7</v>
      </c>
      <c r="G87" s="15">
        <v>28.8</v>
      </c>
      <c r="H87" s="15">
        <v>25</v>
      </c>
      <c r="I87" s="15">
        <v>30.2</v>
      </c>
      <c r="J87" s="15">
        <v>27.6</v>
      </c>
      <c r="K87" s="15">
        <v>28.4</v>
      </c>
      <c r="L87" s="15">
        <v>30.4</v>
      </c>
      <c r="M87" s="15">
        <v>30.6</v>
      </c>
      <c r="N87" s="15">
        <v>33</v>
      </c>
      <c r="O87" s="15">
        <v>29.8</v>
      </c>
      <c r="P87" s="15">
        <v>27.2</v>
      </c>
      <c r="Q87" s="15">
        <v>31.1</v>
      </c>
      <c r="R87" s="15">
        <v>30.8</v>
      </c>
      <c r="S87" s="15">
        <v>31</v>
      </c>
      <c r="T87" s="15">
        <v>29.3</v>
      </c>
      <c r="U87" s="15">
        <v>30.9</v>
      </c>
      <c r="V87" s="14">
        <v>31.1</v>
      </c>
      <c r="X87" s="20">
        <f t="shared" si="6"/>
        <v>29.855</v>
      </c>
      <c r="Y87" s="21">
        <f t="shared" si="7"/>
        <v>1.7454154233305035</v>
      </c>
      <c r="Z87" s="3"/>
      <c r="AA87" s="12"/>
      <c r="AB87" s="11"/>
    </row>
    <row r="88" spans="1:28" ht="15.75" thickBot="1" x14ac:dyDescent="0.3">
      <c r="A88" s="33"/>
      <c r="B88" s="32">
        <v>4</v>
      </c>
      <c r="C88" s="35">
        <v>33.1</v>
      </c>
      <c r="D88" s="7">
        <v>33.6</v>
      </c>
      <c r="E88" s="7">
        <v>30.9</v>
      </c>
      <c r="F88" s="7">
        <v>29.3</v>
      </c>
      <c r="G88" s="7">
        <v>28.9</v>
      </c>
      <c r="H88" s="7">
        <v>32</v>
      </c>
      <c r="I88" s="7">
        <v>32.299999999999997</v>
      </c>
      <c r="J88" s="7">
        <v>27.9</v>
      </c>
      <c r="K88" s="7">
        <v>31.9</v>
      </c>
      <c r="L88" s="7">
        <v>32.6</v>
      </c>
      <c r="M88" s="7">
        <v>29.6</v>
      </c>
      <c r="N88" s="7">
        <v>32.799999999999997</v>
      </c>
      <c r="O88" s="7">
        <v>30.2</v>
      </c>
      <c r="P88" s="7">
        <v>33.200000000000003</v>
      </c>
      <c r="Q88" s="7">
        <v>32.299999999999997</v>
      </c>
      <c r="R88" s="7">
        <v>37.1</v>
      </c>
      <c r="S88" s="7">
        <v>33.799999999999997</v>
      </c>
      <c r="T88" s="7">
        <v>28</v>
      </c>
      <c r="U88" s="7">
        <v>28.8</v>
      </c>
      <c r="V88" s="6">
        <v>33</v>
      </c>
      <c r="X88" s="20">
        <f t="shared" si="6"/>
        <v>31.564999999999998</v>
      </c>
      <c r="Y88" s="21">
        <f t="shared" si="7"/>
        <v>2.2696420422612902</v>
      </c>
      <c r="Z88" s="3"/>
      <c r="AA88" s="2"/>
      <c r="AB88" s="1"/>
    </row>
    <row r="89" spans="1:28" x14ac:dyDescent="0.25">
      <c r="A89" s="29">
        <v>5</v>
      </c>
      <c r="B89" s="28">
        <v>1</v>
      </c>
      <c r="C89" s="40">
        <v>28.7</v>
      </c>
      <c r="D89" s="2">
        <v>26.6</v>
      </c>
      <c r="E89" s="2">
        <v>27.5</v>
      </c>
      <c r="F89" s="2">
        <v>30.3</v>
      </c>
      <c r="G89" s="2">
        <v>31.9</v>
      </c>
      <c r="H89" s="2">
        <v>27.7</v>
      </c>
      <c r="I89" s="2">
        <v>27</v>
      </c>
      <c r="J89" s="2">
        <v>33.299999999999997</v>
      </c>
      <c r="K89" s="2">
        <v>31.2</v>
      </c>
      <c r="L89" s="2">
        <v>31</v>
      </c>
      <c r="M89" s="2">
        <v>28.5</v>
      </c>
      <c r="N89" s="2">
        <v>30.7</v>
      </c>
      <c r="O89" s="2">
        <v>29.4</v>
      </c>
      <c r="P89" s="2">
        <v>29.2</v>
      </c>
      <c r="Q89" s="2">
        <v>31.8</v>
      </c>
      <c r="R89" s="2">
        <v>30.6</v>
      </c>
      <c r="S89" s="2">
        <v>29.8</v>
      </c>
      <c r="T89" s="2">
        <v>29.7</v>
      </c>
      <c r="U89" s="2">
        <v>35.200000000000003</v>
      </c>
      <c r="V89" s="22">
        <v>33.4</v>
      </c>
      <c r="X89" s="20">
        <f t="shared" si="6"/>
        <v>30.175000000000001</v>
      </c>
      <c r="Y89" s="21">
        <f t="shared" si="7"/>
        <v>2.1940544660513788</v>
      </c>
      <c r="Z89" s="3"/>
      <c r="AA89" s="20">
        <f>AVERAGE(X89:X92)</f>
        <v>31.298749999999998</v>
      </c>
      <c r="AB89" s="19">
        <f>_xlfn.STDEV.P(X89:X92)</f>
        <v>1.2152642459564091</v>
      </c>
    </row>
    <row r="90" spans="1:28" x14ac:dyDescent="0.25">
      <c r="A90" s="18"/>
      <c r="B90" s="17">
        <v>2</v>
      </c>
      <c r="C90" s="36">
        <v>29.9</v>
      </c>
      <c r="D90" s="15">
        <v>27.2</v>
      </c>
      <c r="E90" s="15">
        <v>29.8</v>
      </c>
      <c r="F90" s="15">
        <v>33.200000000000003</v>
      </c>
      <c r="G90" s="15">
        <v>28.3</v>
      </c>
      <c r="H90" s="15">
        <v>33</v>
      </c>
      <c r="I90" s="15">
        <v>28.2</v>
      </c>
      <c r="J90" s="15">
        <v>27.3</v>
      </c>
      <c r="K90" s="15">
        <v>31.7</v>
      </c>
      <c r="L90" s="15">
        <v>28.2</v>
      </c>
      <c r="M90" s="15">
        <v>30.1</v>
      </c>
      <c r="N90" s="15">
        <v>32.1</v>
      </c>
      <c r="O90" s="15">
        <v>34.200000000000003</v>
      </c>
      <c r="P90" s="15">
        <v>31.1</v>
      </c>
      <c r="Q90" s="15">
        <v>32.4</v>
      </c>
      <c r="R90" s="15">
        <v>32</v>
      </c>
      <c r="S90" s="15">
        <v>28.7</v>
      </c>
      <c r="T90" s="15">
        <v>32.9</v>
      </c>
      <c r="U90" s="15">
        <v>30.5</v>
      </c>
      <c r="V90" s="14">
        <v>32</v>
      </c>
      <c r="X90" s="20">
        <f t="shared" si="6"/>
        <v>30.640000000000004</v>
      </c>
      <c r="Y90" s="21">
        <f t="shared" si="7"/>
        <v>2.0720521228965265</v>
      </c>
      <c r="Z90" s="3"/>
      <c r="AA90" s="12"/>
      <c r="AB90" s="11"/>
    </row>
    <row r="91" spans="1:28" x14ac:dyDescent="0.25">
      <c r="A91" s="18"/>
      <c r="B91" s="17">
        <v>3</v>
      </c>
      <c r="C91" s="36">
        <v>31.5</v>
      </c>
      <c r="D91" s="15">
        <v>31.4</v>
      </c>
      <c r="E91" s="15">
        <v>30.4</v>
      </c>
      <c r="F91" s="15">
        <v>30.9</v>
      </c>
      <c r="G91" s="15">
        <v>29.1</v>
      </c>
      <c r="H91" s="15">
        <v>33.799999999999997</v>
      </c>
      <c r="I91" s="15">
        <v>31.6</v>
      </c>
      <c r="J91" s="15">
        <v>32.6</v>
      </c>
      <c r="K91" s="15">
        <v>31.9</v>
      </c>
      <c r="L91" s="15">
        <v>31.1</v>
      </c>
      <c r="M91" s="15">
        <v>25.8</v>
      </c>
      <c r="N91" s="15">
        <v>32</v>
      </c>
      <c r="O91" s="15">
        <v>29.3</v>
      </c>
      <c r="P91" s="15">
        <v>32.299999999999997</v>
      </c>
      <c r="Q91" s="15">
        <v>32.700000000000003</v>
      </c>
      <c r="R91" s="15">
        <v>31.1</v>
      </c>
      <c r="S91" s="15">
        <v>31.6</v>
      </c>
      <c r="T91" s="15">
        <v>28.8</v>
      </c>
      <c r="U91" s="15">
        <v>29.2</v>
      </c>
      <c r="V91" s="14">
        <v>33.799999999999997</v>
      </c>
      <c r="X91" s="20">
        <f t="shared" si="6"/>
        <v>31.044999999999998</v>
      </c>
      <c r="Y91" s="21">
        <f t="shared" si="7"/>
        <v>1.8402377563782344</v>
      </c>
      <c r="Z91" s="3"/>
      <c r="AA91" s="12"/>
      <c r="AB91" s="11"/>
    </row>
    <row r="92" spans="1:28" ht="15.75" thickBot="1" x14ac:dyDescent="0.3">
      <c r="A92" s="10"/>
      <c r="B92" s="9">
        <v>4</v>
      </c>
      <c r="C92" s="39">
        <v>34.799999999999997</v>
      </c>
      <c r="D92" s="31">
        <v>33.4</v>
      </c>
      <c r="E92" s="31">
        <v>31.7</v>
      </c>
      <c r="F92" s="31">
        <v>33.799999999999997</v>
      </c>
      <c r="G92" s="31">
        <v>32</v>
      </c>
      <c r="H92" s="31">
        <v>33.1</v>
      </c>
      <c r="I92" s="31">
        <v>32.200000000000003</v>
      </c>
      <c r="J92" s="31">
        <v>33.799999999999997</v>
      </c>
      <c r="K92" s="31">
        <v>30.9</v>
      </c>
      <c r="L92" s="31">
        <v>34.1</v>
      </c>
      <c r="M92" s="31">
        <v>32.799999999999997</v>
      </c>
      <c r="N92" s="31">
        <v>36.299999999999997</v>
      </c>
      <c r="O92" s="31">
        <v>36.4</v>
      </c>
      <c r="P92" s="31">
        <v>32.5</v>
      </c>
      <c r="Q92" s="31">
        <v>31.5</v>
      </c>
      <c r="R92" s="31">
        <v>32.1</v>
      </c>
      <c r="S92" s="31">
        <v>35.1</v>
      </c>
      <c r="T92" s="31">
        <v>32</v>
      </c>
      <c r="U92" s="31">
        <v>35.200000000000003</v>
      </c>
      <c r="V92" s="30">
        <v>33</v>
      </c>
      <c r="X92" s="20">
        <f t="shared" si="6"/>
        <v>33.335000000000001</v>
      </c>
      <c r="Y92" s="21">
        <f t="shared" si="7"/>
        <v>1.540219140252451</v>
      </c>
      <c r="Z92" s="3"/>
      <c r="AA92" s="2"/>
      <c r="AB92" s="1"/>
    </row>
    <row r="93" spans="1:28" x14ac:dyDescent="0.25">
      <c r="A93" s="24">
        <v>6</v>
      </c>
      <c r="B93" s="23">
        <v>1</v>
      </c>
      <c r="C93" s="38">
        <v>29.4</v>
      </c>
      <c r="D93" s="26">
        <v>30.1</v>
      </c>
      <c r="E93" s="26">
        <v>22.2</v>
      </c>
      <c r="F93" s="26">
        <v>29</v>
      </c>
      <c r="G93" s="26">
        <v>30.6</v>
      </c>
      <c r="H93" s="26">
        <v>28</v>
      </c>
      <c r="I93" s="26">
        <v>30.9</v>
      </c>
      <c r="J93" s="26">
        <v>29.5</v>
      </c>
      <c r="K93" s="26">
        <v>30.4</v>
      </c>
      <c r="L93" s="26">
        <v>33.299999999999997</v>
      </c>
      <c r="M93" s="26">
        <v>26.1</v>
      </c>
      <c r="N93" s="26">
        <v>33.9</v>
      </c>
      <c r="O93" s="26">
        <v>31.1</v>
      </c>
      <c r="P93" s="26">
        <v>32.1</v>
      </c>
      <c r="Q93" s="26">
        <v>29.5</v>
      </c>
      <c r="R93" s="26">
        <v>30.4</v>
      </c>
      <c r="S93" s="26">
        <v>32.799999999999997</v>
      </c>
      <c r="T93" s="26">
        <v>31.1</v>
      </c>
      <c r="U93" s="26">
        <v>30.3</v>
      </c>
      <c r="V93" s="25">
        <v>29.6</v>
      </c>
      <c r="X93" s="20">
        <f t="shared" si="6"/>
        <v>30.015000000000004</v>
      </c>
      <c r="Y93" s="21">
        <f t="shared" si="7"/>
        <v>2.4942483837821765</v>
      </c>
      <c r="Z93" s="3"/>
      <c r="AA93" s="20">
        <f>AVERAGE(X93:X96)</f>
        <v>31.057499999999997</v>
      </c>
      <c r="AB93" s="19">
        <f>_xlfn.STDEV.P(X93:X96)</f>
        <v>0.62054915196138649</v>
      </c>
    </row>
    <row r="94" spans="1:28" x14ac:dyDescent="0.25">
      <c r="A94" s="18"/>
      <c r="B94" s="17">
        <v>2</v>
      </c>
      <c r="C94" s="36">
        <v>31.1</v>
      </c>
      <c r="D94" s="15">
        <v>30.1</v>
      </c>
      <c r="E94" s="15">
        <v>28</v>
      </c>
      <c r="F94" s="15">
        <v>33.1</v>
      </c>
      <c r="G94" s="15">
        <v>32.700000000000003</v>
      </c>
      <c r="H94" s="15">
        <v>31.2</v>
      </c>
      <c r="I94" s="15">
        <v>34.6</v>
      </c>
      <c r="J94" s="15">
        <v>31</v>
      </c>
      <c r="K94" s="15">
        <v>33.4</v>
      </c>
      <c r="L94" s="15">
        <v>31.9</v>
      </c>
      <c r="M94" s="15">
        <v>28.7</v>
      </c>
      <c r="N94" s="15">
        <v>31.1</v>
      </c>
      <c r="O94" s="15">
        <v>32.5</v>
      </c>
      <c r="P94" s="15">
        <v>30.5</v>
      </c>
      <c r="Q94" s="15">
        <v>33.6</v>
      </c>
      <c r="R94" s="15">
        <v>35.799999999999997</v>
      </c>
      <c r="S94" s="15">
        <v>33</v>
      </c>
      <c r="T94" s="15">
        <v>29.4</v>
      </c>
      <c r="U94" s="15">
        <v>30.4</v>
      </c>
      <c r="V94" s="14">
        <v>30.5</v>
      </c>
      <c r="X94" s="20">
        <f t="shared" si="6"/>
        <v>31.629999999999995</v>
      </c>
      <c r="Y94" s="21">
        <f t="shared" si="7"/>
        <v>1.917315832094441</v>
      </c>
      <c r="Z94" s="3"/>
      <c r="AA94" s="12"/>
      <c r="AB94" s="11"/>
    </row>
    <row r="95" spans="1:28" x14ac:dyDescent="0.25">
      <c r="A95" s="18"/>
      <c r="B95" s="17">
        <v>3</v>
      </c>
      <c r="C95" s="36">
        <v>32.9</v>
      </c>
      <c r="D95" s="15">
        <v>31.6</v>
      </c>
      <c r="E95" s="15">
        <v>31</v>
      </c>
      <c r="F95" s="15">
        <v>30.4</v>
      </c>
      <c r="G95" s="15">
        <v>31.8</v>
      </c>
      <c r="H95" s="15">
        <v>29.9</v>
      </c>
      <c r="I95" s="15">
        <v>28.9</v>
      </c>
      <c r="J95" s="15">
        <v>32.9</v>
      </c>
      <c r="K95" s="15">
        <v>30.5</v>
      </c>
      <c r="L95" s="15">
        <v>31.2</v>
      </c>
      <c r="M95" s="15">
        <v>32.700000000000003</v>
      </c>
      <c r="N95" s="15">
        <v>34.200000000000003</v>
      </c>
      <c r="O95" s="15">
        <v>30.8</v>
      </c>
      <c r="P95" s="15">
        <v>32.4</v>
      </c>
      <c r="Q95" s="15">
        <v>30.8</v>
      </c>
      <c r="R95" s="15">
        <v>32.4</v>
      </c>
      <c r="S95" s="15">
        <v>30.8</v>
      </c>
      <c r="T95" s="15">
        <v>31.2</v>
      </c>
      <c r="U95" s="15">
        <v>31.8</v>
      </c>
      <c r="V95" s="14">
        <v>29.4</v>
      </c>
      <c r="X95" s="20">
        <f t="shared" si="6"/>
        <v>31.379999999999995</v>
      </c>
      <c r="Y95" s="21">
        <f t="shared" si="7"/>
        <v>1.2651482126612681</v>
      </c>
      <c r="Z95" s="3"/>
      <c r="AA95" s="12"/>
      <c r="AB95" s="11"/>
    </row>
    <row r="96" spans="1:28" ht="15.75" thickBot="1" x14ac:dyDescent="0.3">
      <c r="A96" s="33"/>
      <c r="B96" s="32">
        <v>4</v>
      </c>
      <c r="C96" s="35">
        <v>25.8</v>
      </c>
      <c r="D96" s="7">
        <v>32.6</v>
      </c>
      <c r="E96" s="7">
        <v>32.6</v>
      </c>
      <c r="F96" s="7">
        <v>33</v>
      </c>
      <c r="G96" s="7">
        <v>32.4</v>
      </c>
      <c r="H96" s="7">
        <v>27.2</v>
      </c>
      <c r="I96" s="7">
        <v>30</v>
      </c>
      <c r="J96" s="7">
        <v>30.8</v>
      </c>
      <c r="K96" s="7">
        <v>32.700000000000003</v>
      </c>
      <c r="L96" s="7">
        <v>27.6</v>
      </c>
      <c r="M96" s="7">
        <v>34.6</v>
      </c>
      <c r="N96" s="7">
        <v>33.299999999999997</v>
      </c>
      <c r="O96" s="7">
        <v>30.4</v>
      </c>
      <c r="P96" s="7">
        <v>29.8</v>
      </c>
      <c r="Q96" s="7">
        <v>34</v>
      </c>
      <c r="R96" s="7">
        <v>30.7</v>
      </c>
      <c r="S96" s="7">
        <v>34</v>
      </c>
      <c r="T96" s="7">
        <v>34</v>
      </c>
      <c r="U96" s="7">
        <v>30.5</v>
      </c>
      <c r="V96" s="6">
        <v>28.1</v>
      </c>
      <c r="X96" s="20">
        <f t="shared" si="6"/>
        <v>31.205000000000002</v>
      </c>
      <c r="Y96" s="21">
        <f t="shared" si="7"/>
        <v>2.4800151209216446</v>
      </c>
      <c r="Z96" s="3"/>
      <c r="AA96" s="2"/>
      <c r="AB96" s="1"/>
    </row>
    <row r="97" spans="1:28" x14ac:dyDescent="0.25">
      <c r="A97" s="29">
        <v>7</v>
      </c>
      <c r="B97" s="28">
        <v>1</v>
      </c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2"/>
      <c r="X97" s="20" t="e">
        <f t="shared" si="6"/>
        <v>#DIV/0!</v>
      </c>
      <c r="Y97" s="21" t="e">
        <f t="shared" si="7"/>
        <v>#DIV/0!</v>
      </c>
      <c r="Z97" s="3"/>
      <c r="AA97" s="20" t="e">
        <f>AVERAGE(X97:X100)</f>
        <v>#DIV/0!</v>
      </c>
      <c r="AB97" s="19" t="e">
        <f>_xlfn.STDEV.P(X97:X100)</f>
        <v>#DIV/0!</v>
      </c>
    </row>
    <row r="98" spans="1:28" x14ac:dyDescent="0.25">
      <c r="A98" s="18"/>
      <c r="B98" s="17">
        <v>2</v>
      </c>
      <c r="C98" s="36">
        <v>32.5</v>
      </c>
      <c r="D98" s="15">
        <v>27.2</v>
      </c>
      <c r="E98" s="15">
        <v>32.1</v>
      </c>
      <c r="F98" s="15">
        <v>30.4</v>
      </c>
      <c r="G98" s="15">
        <v>33.299999999999997</v>
      </c>
      <c r="H98" s="15">
        <v>29.1</v>
      </c>
      <c r="I98" s="15">
        <v>33.299999999999997</v>
      </c>
      <c r="J98" s="15">
        <v>30.8</v>
      </c>
      <c r="K98" s="15">
        <v>31.5</v>
      </c>
      <c r="L98" s="15">
        <v>32.1</v>
      </c>
      <c r="M98" s="15">
        <v>33</v>
      </c>
      <c r="N98" s="15">
        <v>31.3</v>
      </c>
      <c r="O98" s="15">
        <v>32.6</v>
      </c>
      <c r="P98" s="15">
        <v>31.3</v>
      </c>
      <c r="Q98" s="15">
        <v>28.3</v>
      </c>
      <c r="R98" s="15">
        <v>30.3</v>
      </c>
      <c r="S98" s="15">
        <v>29.6</v>
      </c>
      <c r="T98" s="15">
        <v>30.6</v>
      </c>
      <c r="U98" s="15">
        <v>33.700000000000003</v>
      </c>
      <c r="V98" s="14">
        <v>31.3</v>
      </c>
      <c r="X98" s="20">
        <f t="shared" si="6"/>
        <v>31.215000000000003</v>
      </c>
      <c r="Y98" s="21">
        <f t="shared" si="7"/>
        <v>1.68886796405166</v>
      </c>
      <c r="Z98" s="3"/>
      <c r="AA98" s="12"/>
      <c r="AB98" s="11"/>
    </row>
    <row r="99" spans="1:28" x14ac:dyDescent="0.25">
      <c r="A99" s="18"/>
      <c r="B99" s="17">
        <v>3</v>
      </c>
      <c r="C99" s="36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4"/>
      <c r="X99" s="20" t="e">
        <f t="shared" si="6"/>
        <v>#DIV/0!</v>
      </c>
      <c r="Y99" s="21" t="e">
        <f t="shared" si="7"/>
        <v>#DIV/0!</v>
      </c>
      <c r="Z99" s="3"/>
      <c r="AA99" s="12"/>
      <c r="AB99" s="11"/>
    </row>
    <row r="100" spans="1:28" ht="15.75" thickBot="1" x14ac:dyDescent="0.3">
      <c r="A100" s="10"/>
      <c r="B100" s="9">
        <v>4</v>
      </c>
      <c r="C100" s="39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0"/>
      <c r="X100" s="20" t="e">
        <f t="shared" si="6"/>
        <v>#DIV/0!</v>
      </c>
      <c r="Y100" s="21" t="e">
        <f t="shared" si="7"/>
        <v>#DIV/0!</v>
      </c>
      <c r="Z100" s="3"/>
      <c r="AA100" s="2"/>
      <c r="AB100" s="1"/>
    </row>
    <row r="101" spans="1:28" x14ac:dyDescent="0.25">
      <c r="A101" s="24">
        <v>8</v>
      </c>
      <c r="B101" s="23">
        <v>1</v>
      </c>
      <c r="C101" s="38">
        <v>31.2</v>
      </c>
      <c r="D101" s="26">
        <v>31.7</v>
      </c>
      <c r="E101" s="26">
        <v>31.8</v>
      </c>
      <c r="F101" s="26">
        <v>31.2</v>
      </c>
      <c r="G101" s="26">
        <v>31.4</v>
      </c>
      <c r="H101" s="26">
        <v>30.7</v>
      </c>
      <c r="I101" s="26">
        <v>28.7</v>
      </c>
      <c r="J101" s="26">
        <v>33.799999999999997</v>
      </c>
      <c r="K101" s="26">
        <v>34.4</v>
      </c>
      <c r="L101" s="26">
        <v>32.700000000000003</v>
      </c>
      <c r="M101" s="26">
        <v>33.1</v>
      </c>
      <c r="N101" s="26">
        <v>32.700000000000003</v>
      </c>
      <c r="O101" s="26">
        <v>32.200000000000003</v>
      </c>
      <c r="P101" s="26">
        <v>31.4</v>
      </c>
      <c r="Q101" s="26">
        <v>32</v>
      </c>
      <c r="R101" s="26">
        <v>33.200000000000003</v>
      </c>
      <c r="S101" s="26">
        <v>31.8</v>
      </c>
      <c r="T101" s="26">
        <v>31.3</v>
      </c>
      <c r="U101" s="26">
        <v>29.1</v>
      </c>
      <c r="V101" s="25">
        <v>30.7</v>
      </c>
      <c r="X101" s="20">
        <f t="shared" si="6"/>
        <v>31.754999999999995</v>
      </c>
      <c r="Y101" s="21">
        <f t="shared" si="7"/>
        <v>1.3566410726496529</v>
      </c>
      <c r="Z101" s="3"/>
      <c r="AA101" s="20" t="e">
        <f>AVERAGE(X101:X104)</f>
        <v>#DIV/0!</v>
      </c>
      <c r="AB101" s="19" t="e">
        <f>_xlfn.STDEV.P(X101:X104)</f>
        <v>#DIV/0!</v>
      </c>
    </row>
    <row r="102" spans="1:28" x14ac:dyDescent="0.25">
      <c r="A102" s="18"/>
      <c r="B102" s="17">
        <v>2</v>
      </c>
      <c r="C102" s="3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4"/>
      <c r="X102" s="20" t="e">
        <f t="shared" si="6"/>
        <v>#DIV/0!</v>
      </c>
      <c r="Y102" s="21" t="e">
        <f t="shared" si="7"/>
        <v>#DIV/0!</v>
      </c>
      <c r="Z102" s="3"/>
      <c r="AA102" s="12"/>
      <c r="AB102" s="11"/>
    </row>
    <row r="103" spans="1:28" x14ac:dyDescent="0.25">
      <c r="A103" s="18"/>
      <c r="B103" s="17">
        <v>3</v>
      </c>
      <c r="C103" s="36">
        <v>31.6</v>
      </c>
      <c r="D103" s="15">
        <v>31.1</v>
      </c>
      <c r="E103" s="15">
        <v>31.7</v>
      </c>
      <c r="F103" s="15">
        <v>32.200000000000003</v>
      </c>
      <c r="G103" s="15">
        <v>31.3</v>
      </c>
      <c r="H103" s="15">
        <v>28.8</v>
      </c>
      <c r="I103" s="15">
        <v>31.8</v>
      </c>
      <c r="J103" s="15">
        <v>30</v>
      </c>
      <c r="K103" s="15">
        <v>30.4</v>
      </c>
      <c r="L103" s="15">
        <v>33.5</v>
      </c>
      <c r="M103" s="15">
        <v>32.9</v>
      </c>
      <c r="N103" s="15">
        <v>33.799999999999997</v>
      </c>
      <c r="O103" s="15">
        <v>35.700000000000003</v>
      </c>
      <c r="P103" s="15">
        <v>32.299999999999997</v>
      </c>
      <c r="Q103" s="15">
        <v>35.5</v>
      </c>
      <c r="R103" s="15">
        <v>29.5</v>
      </c>
      <c r="S103" s="15">
        <v>32.700000000000003</v>
      </c>
      <c r="T103" s="15">
        <v>34</v>
      </c>
      <c r="U103" s="15">
        <v>31.4</v>
      </c>
      <c r="V103" s="14">
        <v>29.9</v>
      </c>
      <c r="X103" s="20">
        <f t="shared" si="6"/>
        <v>32.005000000000003</v>
      </c>
      <c r="Y103" s="21">
        <f t="shared" si="7"/>
        <v>1.8202953057127849</v>
      </c>
      <c r="Z103" s="3"/>
      <c r="AA103" s="12"/>
      <c r="AB103" s="11"/>
    </row>
    <row r="104" spans="1:28" ht="15.75" thickBot="1" x14ac:dyDescent="0.3">
      <c r="A104" s="33"/>
      <c r="B104" s="32">
        <v>4</v>
      </c>
      <c r="C104" s="35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6"/>
      <c r="X104" s="20" t="e">
        <f t="shared" si="6"/>
        <v>#DIV/0!</v>
      </c>
      <c r="Y104" s="21" t="e">
        <f t="shared" si="7"/>
        <v>#DIV/0!</v>
      </c>
      <c r="Z104" s="3"/>
      <c r="AA104" s="2"/>
      <c r="AB104" s="1"/>
    </row>
    <row r="105" spans="1:28" x14ac:dyDescent="0.25">
      <c r="A105" s="29">
        <v>9</v>
      </c>
      <c r="B105" s="28">
        <v>1</v>
      </c>
      <c r="C105" s="4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2"/>
      <c r="X105" s="20" t="e">
        <f t="shared" si="6"/>
        <v>#DIV/0!</v>
      </c>
      <c r="Y105" s="21" t="e">
        <f t="shared" si="7"/>
        <v>#DIV/0!</v>
      </c>
      <c r="Z105" s="3"/>
      <c r="AA105" s="20" t="e">
        <f>AVERAGE(X105:X108)</f>
        <v>#DIV/0!</v>
      </c>
      <c r="AB105" s="19" t="e">
        <f>_xlfn.STDEV.P(X105:X108)</f>
        <v>#DIV/0!</v>
      </c>
    </row>
    <row r="106" spans="1:28" x14ac:dyDescent="0.25">
      <c r="A106" s="18"/>
      <c r="B106" s="17">
        <v>2</v>
      </c>
      <c r="C106" s="36">
        <v>34.9</v>
      </c>
      <c r="D106" s="15">
        <v>33.6</v>
      </c>
      <c r="E106" s="15">
        <v>33.1</v>
      </c>
      <c r="F106" s="15">
        <v>30.8</v>
      </c>
      <c r="G106" s="15">
        <v>32.4</v>
      </c>
      <c r="H106" s="15">
        <v>33.1</v>
      </c>
      <c r="I106" s="15">
        <v>33.1</v>
      </c>
      <c r="J106" s="15">
        <v>28.5</v>
      </c>
      <c r="K106" s="15">
        <v>35.700000000000003</v>
      </c>
      <c r="L106" s="15">
        <v>31.4</v>
      </c>
      <c r="M106" s="15">
        <v>32.200000000000003</v>
      </c>
      <c r="N106" s="15">
        <v>31.5</v>
      </c>
      <c r="O106" s="15">
        <v>32.700000000000003</v>
      </c>
      <c r="P106" s="15">
        <v>32.6</v>
      </c>
      <c r="Q106" s="15">
        <v>31.5</v>
      </c>
      <c r="R106" s="15">
        <v>29.2</v>
      </c>
      <c r="S106" s="15">
        <v>34.700000000000003</v>
      </c>
      <c r="T106" s="15">
        <v>33.4</v>
      </c>
      <c r="U106" s="15">
        <v>33.4</v>
      </c>
      <c r="V106" s="14">
        <v>31.5</v>
      </c>
      <c r="X106" s="20">
        <f t="shared" si="6"/>
        <v>32.464999999999996</v>
      </c>
      <c r="Y106" s="21">
        <f t="shared" si="7"/>
        <v>1.7155975635328935</v>
      </c>
      <c r="Z106" s="3"/>
      <c r="AA106" s="12"/>
      <c r="AB106" s="11"/>
    </row>
    <row r="107" spans="1:28" x14ac:dyDescent="0.25">
      <c r="A107" s="18"/>
      <c r="B107" s="17">
        <v>3</v>
      </c>
      <c r="C107" s="36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4"/>
      <c r="X107" s="20" t="e">
        <f t="shared" si="6"/>
        <v>#DIV/0!</v>
      </c>
      <c r="Y107" s="21" t="e">
        <f t="shared" si="7"/>
        <v>#DIV/0!</v>
      </c>
      <c r="Z107" s="3"/>
      <c r="AA107" s="12"/>
      <c r="AB107" s="11"/>
    </row>
    <row r="108" spans="1:28" ht="15.75" thickBot="1" x14ac:dyDescent="0.3">
      <c r="A108" s="10"/>
      <c r="B108" s="9">
        <v>4</v>
      </c>
      <c r="C108" s="4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0"/>
      <c r="X108" s="20" t="e">
        <f t="shared" si="6"/>
        <v>#DIV/0!</v>
      </c>
      <c r="Y108" s="21" t="e">
        <f t="shared" si="7"/>
        <v>#DIV/0!</v>
      </c>
      <c r="Z108" s="3"/>
      <c r="AA108" s="2"/>
      <c r="AB108" s="1"/>
    </row>
    <row r="109" spans="1:28" x14ac:dyDescent="0.25">
      <c r="A109" s="24">
        <v>10</v>
      </c>
      <c r="B109" s="23">
        <v>1</v>
      </c>
      <c r="C109" s="38">
        <v>31.5</v>
      </c>
      <c r="D109" s="26">
        <v>30.7</v>
      </c>
      <c r="E109" s="26">
        <v>31.6</v>
      </c>
      <c r="F109" s="26">
        <v>31.8</v>
      </c>
      <c r="G109" s="26">
        <v>32.4</v>
      </c>
      <c r="H109" s="26">
        <v>32.4</v>
      </c>
      <c r="I109" s="26">
        <v>32.299999999999997</v>
      </c>
      <c r="J109" s="26">
        <v>33.799999999999997</v>
      </c>
      <c r="K109" s="26">
        <v>32.4</v>
      </c>
      <c r="L109" s="26">
        <v>31.2</v>
      </c>
      <c r="M109" s="26">
        <v>33.1</v>
      </c>
      <c r="N109" s="26">
        <v>34.1</v>
      </c>
      <c r="O109" s="26">
        <v>30.4</v>
      </c>
      <c r="P109" s="26">
        <v>34.299999999999997</v>
      </c>
      <c r="Q109" s="26">
        <v>29.7</v>
      </c>
      <c r="R109" s="26">
        <v>33.200000000000003</v>
      </c>
      <c r="S109" s="26">
        <v>32.6</v>
      </c>
      <c r="T109" s="26">
        <v>32.200000000000003</v>
      </c>
      <c r="U109" s="26">
        <v>32.9</v>
      </c>
      <c r="V109" s="25">
        <v>33.299999999999997</v>
      </c>
      <c r="X109" s="20">
        <f t="shared" si="6"/>
        <v>32.295000000000002</v>
      </c>
      <c r="Y109" s="21">
        <f t="shared" si="7"/>
        <v>1.1821484678330383</v>
      </c>
      <c r="Z109" s="3"/>
      <c r="AA109" s="20" t="e">
        <f>AVERAGE(X109:X112)</f>
        <v>#DIV/0!</v>
      </c>
      <c r="AB109" s="19" t="e">
        <f>_xlfn.STDEV.P(X109:X112)</f>
        <v>#DIV/0!</v>
      </c>
    </row>
    <row r="110" spans="1:28" x14ac:dyDescent="0.25">
      <c r="A110" s="18"/>
      <c r="B110" s="17">
        <v>2</v>
      </c>
      <c r="C110" s="36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4"/>
      <c r="X110" s="20" t="e">
        <f t="shared" si="6"/>
        <v>#DIV/0!</v>
      </c>
      <c r="Y110" s="21" t="e">
        <f t="shared" si="7"/>
        <v>#DIV/0!</v>
      </c>
      <c r="Z110" s="3"/>
      <c r="AA110" s="12"/>
      <c r="AB110" s="11"/>
    </row>
    <row r="111" spans="1:28" x14ac:dyDescent="0.25">
      <c r="A111" s="18"/>
      <c r="B111" s="17">
        <v>3</v>
      </c>
      <c r="C111" s="36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4"/>
      <c r="X111" s="20" t="e">
        <f t="shared" si="6"/>
        <v>#DIV/0!</v>
      </c>
      <c r="Y111" s="21" t="e">
        <f t="shared" si="7"/>
        <v>#DIV/0!</v>
      </c>
      <c r="Z111" s="3"/>
      <c r="AA111" s="12"/>
      <c r="AB111" s="11"/>
    </row>
    <row r="112" spans="1:28" ht="15.75" thickBot="1" x14ac:dyDescent="0.3">
      <c r="A112" s="33"/>
      <c r="B112" s="32">
        <v>4</v>
      </c>
      <c r="C112" s="35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6"/>
      <c r="X112" s="20" t="e">
        <f t="shared" si="6"/>
        <v>#DIV/0!</v>
      </c>
      <c r="Y112" s="21" t="e">
        <f t="shared" si="7"/>
        <v>#DIV/0!</v>
      </c>
      <c r="Z112" s="3"/>
      <c r="AA112" s="2"/>
      <c r="AB112" s="1"/>
    </row>
    <row r="113" spans="1:28" x14ac:dyDescent="0.25">
      <c r="A113" s="29">
        <v>11</v>
      </c>
      <c r="B113" s="28">
        <v>1</v>
      </c>
      <c r="C113" s="4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2"/>
      <c r="X113" s="20" t="e">
        <f t="shared" si="6"/>
        <v>#DIV/0!</v>
      </c>
      <c r="Y113" s="21" t="e">
        <f t="shared" si="7"/>
        <v>#DIV/0!</v>
      </c>
      <c r="Z113" s="3"/>
      <c r="AA113" s="20" t="e">
        <f>AVERAGE(X113:X116)</f>
        <v>#DIV/0!</v>
      </c>
      <c r="AB113" s="19" t="e">
        <f>_xlfn.STDEV.P(X113:X116)</f>
        <v>#DIV/0!</v>
      </c>
    </row>
    <row r="114" spans="1:28" x14ac:dyDescent="0.25">
      <c r="A114" s="18"/>
      <c r="B114" s="17">
        <v>2</v>
      </c>
      <c r="C114" s="36">
        <v>34.4</v>
      </c>
      <c r="D114" s="15">
        <v>31.5</v>
      </c>
      <c r="E114" s="15">
        <v>35.5</v>
      </c>
      <c r="F114" s="15">
        <v>35.200000000000003</v>
      </c>
      <c r="G114" s="15">
        <v>34.299999999999997</v>
      </c>
      <c r="H114" s="15">
        <v>34.6</v>
      </c>
      <c r="I114" s="15">
        <v>31.5</v>
      </c>
      <c r="J114" s="15">
        <v>35.200000000000003</v>
      </c>
      <c r="K114" s="15">
        <v>34.700000000000003</v>
      </c>
      <c r="L114" s="15">
        <v>36.299999999999997</v>
      </c>
      <c r="M114" s="15">
        <v>32.5</v>
      </c>
      <c r="N114" s="15">
        <v>39.1</v>
      </c>
      <c r="O114" s="15">
        <v>36.4</v>
      </c>
      <c r="P114" s="15">
        <v>37.700000000000003</v>
      </c>
      <c r="Q114" s="15">
        <v>37.1</v>
      </c>
      <c r="R114" s="15">
        <v>37.5</v>
      </c>
      <c r="S114" s="15">
        <v>36.200000000000003</v>
      </c>
      <c r="T114" s="15">
        <v>34.799999999999997</v>
      </c>
      <c r="U114" s="15">
        <v>37.200000000000003</v>
      </c>
      <c r="V114" s="14">
        <v>36.200000000000003</v>
      </c>
      <c r="X114" s="20">
        <f t="shared" si="6"/>
        <v>35.395000000000003</v>
      </c>
      <c r="Y114" s="21">
        <f t="shared" si="7"/>
        <v>1.939452242258108</v>
      </c>
      <c r="Z114" s="3"/>
      <c r="AA114" s="12"/>
      <c r="AB114" s="11"/>
    </row>
    <row r="115" spans="1:28" x14ac:dyDescent="0.25">
      <c r="A115" s="18"/>
      <c r="B115" s="17">
        <v>3</v>
      </c>
      <c r="C115" s="36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4"/>
      <c r="X115" s="20" t="e">
        <f t="shared" si="6"/>
        <v>#DIV/0!</v>
      </c>
      <c r="Y115" s="21" t="e">
        <f t="shared" si="7"/>
        <v>#DIV/0!</v>
      </c>
      <c r="Z115" s="3"/>
      <c r="AA115" s="12"/>
      <c r="AB115" s="11"/>
    </row>
    <row r="116" spans="1:28" ht="15.75" thickBot="1" x14ac:dyDescent="0.3">
      <c r="A116" s="10"/>
      <c r="B116" s="9">
        <v>4</v>
      </c>
      <c r="C116" s="39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0"/>
      <c r="X116" s="20" t="e">
        <f t="shared" si="6"/>
        <v>#DIV/0!</v>
      </c>
      <c r="Y116" s="21" t="e">
        <f t="shared" si="7"/>
        <v>#DIV/0!</v>
      </c>
      <c r="Z116" s="3"/>
      <c r="AA116" s="2"/>
      <c r="AB116" s="1"/>
    </row>
    <row r="117" spans="1:28" x14ac:dyDescent="0.25">
      <c r="A117" s="24">
        <v>12</v>
      </c>
      <c r="B117" s="23">
        <v>1</v>
      </c>
      <c r="C117" s="38">
        <v>34.200000000000003</v>
      </c>
      <c r="D117" s="26">
        <v>34.6</v>
      </c>
      <c r="E117" s="26">
        <v>33.6</v>
      </c>
      <c r="F117" s="26">
        <v>35.1</v>
      </c>
      <c r="G117" s="26">
        <v>34.1</v>
      </c>
      <c r="H117" s="26">
        <v>30.9</v>
      </c>
      <c r="I117" s="26">
        <v>32.200000000000003</v>
      </c>
      <c r="J117" s="26">
        <v>33.6</v>
      </c>
      <c r="K117" s="26">
        <v>36.299999999999997</v>
      </c>
      <c r="L117" s="26">
        <v>35.200000000000003</v>
      </c>
      <c r="M117" s="37">
        <v>33.9</v>
      </c>
      <c r="N117" s="26">
        <v>32.6</v>
      </c>
      <c r="O117" s="26">
        <v>35.200000000000003</v>
      </c>
      <c r="P117" s="26">
        <v>37</v>
      </c>
      <c r="Q117" s="26">
        <v>35.799999999999997</v>
      </c>
      <c r="R117" s="26">
        <v>33.1</v>
      </c>
      <c r="S117" s="26">
        <v>34.5</v>
      </c>
      <c r="T117" s="26">
        <v>34.4</v>
      </c>
      <c r="U117" s="26">
        <v>31.8</v>
      </c>
      <c r="V117" s="25">
        <v>33.799999999999997</v>
      </c>
      <c r="X117" s="20">
        <f t="shared" si="6"/>
        <v>34.094999999999992</v>
      </c>
      <c r="Y117" s="21">
        <f t="shared" si="7"/>
        <v>1.467812998988631</v>
      </c>
      <c r="Z117" s="3"/>
      <c r="AA117" s="20" t="e">
        <f>AVERAGE(X117:X120)</f>
        <v>#DIV/0!</v>
      </c>
      <c r="AB117" s="19" t="e">
        <f>_xlfn.STDEV.P(X117:X120)</f>
        <v>#DIV/0!</v>
      </c>
    </row>
    <row r="118" spans="1:28" x14ac:dyDescent="0.25">
      <c r="A118" s="18"/>
      <c r="B118" s="17">
        <v>2</v>
      </c>
      <c r="C118" s="36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4"/>
      <c r="X118" s="20" t="e">
        <f t="shared" si="6"/>
        <v>#DIV/0!</v>
      </c>
      <c r="Y118" s="21" t="e">
        <f t="shared" si="7"/>
        <v>#DIV/0!</v>
      </c>
      <c r="Z118" s="3"/>
      <c r="AA118" s="12"/>
      <c r="AB118" s="11"/>
    </row>
    <row r="119" spans="1:28" x14ac:dyDescent="0.25">
      <c r="A119" s="18"/>
      <c r="B119" s="17">
        <v>3</v>
      </c>
      <c r="C119" s="36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2"/>
      <c r="Q119" s="15"/>
      <c r="R119" s="15"/>
      <c r="S119" s="15"/>
      <c r="T119" s="15"/>
      <c r="U119" s="15"/>
      <c r="V119" s="14"/>
      <c r="X119" s="20" t="e">
        <f t="shared" si="6"/>
        <v>#DIV/0!</v>
      </c>
      <c r="Y119" s="21" t="e">
        <f t="shared" si="7"/>
        <v>#DIV/0!</v>
      </c>
      <c r="Z119" s="3"/>
      <c r="AA119" s="12"/>
      <c r="AB119" s="11"/>
    </row>
    <row r="120" spans="1:28" ht="15.75" thickBot="1" x14ac:dyDescent="0.3">
      <c r="A120" s="10"/>
      <c r="B120" s="9">
        <v>4</v>
      </c>
      <c r="C120" s="35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6"/>
      <c r="X120" s="20" t="e">
        <f t="shared" si="6"/>
        <v>#DIV/0!</v>
      </c>
      <c r="Y120" s="21" t="e">
        <f t="shared" si="7"/>
        <v>#DIV/0!</v>
      </c>
      <c r="Z120" s="3"/>
      <c r="AA120" s="2"/>
      <c r="AB120" s="1"/>
    </row>
  </sheetData>
  <mergeCells count="2">
    <mergeCell ref="A21:C21"/>
    <mergeCell ref="A72:C7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5424-1146-4990-A30F-9F12F6BEA0C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330C-0120-4F75-9DCA-46619D93D582}">
  <dimension ref="A1:AB153"/>
  <sheetViews>
    <sheetView zoomScaleNormal="100" workbookViewId="0">
      <selection activeCell="E7" sqref="E7"/>
    </sheetView>
  </sheetViews>
  <sheetFormatPr baseColWidth="10" defaultRowHeight="15" x14ac:dyDescent="0.25"/>
  <cols>
    <col min="1" max="1" width="11.5703125" customWidth="1"/>
    <col min="2" max="2" width="6.140625" customWidth="1"/>
    <col min="3" max="22" width="5.28515625" customWidth="1"/>
    <col min="23" max="23" width="6.7109375" customWidth="1"/>
    <col min="24" max="26" width="5.28515625" customWidth="1"/>
    <col min="27" max="27" width="5.42578125" customWidth="1"/>
    <col min="28" max="43" width="5.28515625" customWidth="1"/>
  </cols>
  <sheetData>
    <row r="1" spans="1:28" ht="21.75" thickBot="1" x14ac:dyDescent="0.4">
      <c r="A1" s="50">
        <v>44686</v>
      </c>
      <c r="B1" s="50"/>
      <c r="C1" s="50"/>
    </row>
    <row r="2" spans="1:28" ht="15.75" thickBot="1" x14ac:dyDescent="0.3">
      <c r="A2" s="53" t="s">
        <v>25</v>
      </c>
      <c r="B2" s="54" t="s">
        <v>26</v>
      </c>
      <c r="C2" s="55" t="s">
        <v>39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X2" s="15" t="s">
        <v>3</v>
      </c>
      <c r="Y2" s="34" t="s">
        <v>2</v>
      </c>
      <c r="Z2" s="3"/>
      <c r="AA2" s="15" t="s">
        <v>1</v>
      </c>
      <c r="AB2" s="16" t="s">
        <v>0</v>
      </c>
    </row>
    <row r="3" spans="1:28" x14ac:dyDescent="0.25">
      <c r="A3" s="29" t="s">
        <v>27</v>
      </c>
      <c r="B3" s="28">
        <v>1</v>
      </c>
      <c r="C3" s="27">
        <v>27.7</v>
      </c>
      <c r="D3" s="26">
        <v>31.7</v>
      </c>
      <c r="E3" s="26">
        <v>29</v>
      </c>
      <c r="F3" s="26">
        <v>29.8</v>
      </c>
      <c r="G3" s="26">
        <v>32.1</v>
      </c>
      <c r="H3" s="26">
        <v>34.1</v>
      </c>
      <c r="I3" s="26">
        <v>35.5</v>
      </c>
      <c r="J3" s="26">
        <v>29.3</v>
      </c>
      <c r="K3" s="26">
        <v>32.700000000000003</v>
      </c>
      <c r="L3" s="26">
        <v>30.4</v>
      </c>
      <c r="M3" s="26">
        <v>33.9</v>
      </c>
      <c r="N3" s="26">
        <v>24.3</v>
      </c>
      <c r="O3" s="26">
        <v>35.9</v>
      </c>
      <c r="P3" s="26">
        <v>28.2</v>
      </c>
      <c r="Q3" s="26">
        <v>31</v>
      </c>
      <c r="R3" s="26">
        <v>27.3</v>
      </c>
      <c r="S3" s="26">
        <v>24.1</v>
      </c>
      <c r="T3" s="26">
        <v>32.200000000000003</v>
      </c>
      <c r="U3" s="26">
        <v>32.5</v>
      </c>
      <c r="V3" s="25">
        <v>34.799999999999997</v>
      </c>
      <c r="X3" s="20">
        <f t="shared" ref="X3:X50" si="0">AVERAGE(C3:V3)</f>
        <v>30.824999999999999</v>
      </c>
      <c r="Y3" s="21">
        <f t="shared" ref="Y3:Y50" si="1">_xlfn.STDEV.P(C3:V3)</f>
        <v>3.3014958730854156</v>
      </c>
      <c r="Z3" s="3"/>
      <c r="AA3" s="20">
        <f>AVERAGE(X3:X6)</f>
        <v>30.973750000000003</v>
      </c>
      <c r="AB3" s="19">
        <f>_xlfn.STDEV.P(X3:X6)</f>
        <v>0.74839307018437917</v>
      </c>
    </row>
    <row r="4" spans="1:28" x14ac:dyDescent="0.25">
      <c r="A4" s="18"/>
      <c r="B4" s="17">
        <v>2</v>
      </c>
      <c r="C4" s="16">
        <v>30.5</v>
      </c>
      <c r="D4" s="15">
        <v>31.1</v>
      </c>
      <c r="E4" s="15">
        <v>30.9</v>
      </c>
      <c r="F4" s="15">
        <v>29.9</v>
      </c>
      <c r="G4" s="15">
        <v>32.9</v>
      </c>
      <c r="H4" s="15">
        <v>32.799999999999997</v>
      </c>
      <c r="I4" s="15">
        <v>30.6</v>
      </c>
      <c r="J4" s="15">
        <v>32.5</v>
      </c>
      <c r="K4" s="15">
        <v>32.5</v>
      </c>
      <c r="L4" s="15">
        <v>33.5</v>
      </c>
      <c r="M4" s="15">
        <v>32.200000000000003</v>
      </c>
      <c r="N4" s="15">
        <v>28.3</v>
      </c>
      <c r="O4" s="15">
        <v>30.2</v>
      </c>
      <c r="P4" s="15">
        <v>31.4</v>
      </c>
      <c r="Q4" s="15">
        <v>31.2</v>
      </c>
      <c r="R4" s="15">
        <v>30.9</v>
      </c>
      <c r="S4" s="15">
        <v>31.7</v>
      </c>
      <c r="T4" s="15">
        <v>32.1</v>
      </c>
      <c r="U4" s="15">
        <v>29.1</v>
      </c>
      <c r="V4" s="14">
        <v>32.5</v>
      </c>
      <c r="X4" s="13">
        <f t="shared" si="0"/>
        <v>31.340000000000003</v>
      </c>
      <c r="Y4" s="3">
        <f t="shared" si="1"/>
        <v>1.3051436702524359</v>
      </c>
      <c r="Z4" s="3"/>
      <c r="AA4" s="12"/>
      <c r="AB4" s="11"/>
    </row>
    <row r="5" spans="1:28" x14ac:dyDescent="0.25">
      <c r="A5" s="18"/>
      <c r="B5" s="17">
        <v>3</v>
      </c>
      <c r="C5" s="16">
        <v>29.1</v>
      </c>
      <c r="D5" s="15">
        <v>30.7</v>
      </c>
      <c r="E5" s="15">
        <v>30.7</v>
      </c>
      <c r="F5" s="15">
        <v>33.799999999999997</v>
      </c>
      <c r="G5" s="15">
        <v>31.5</v>
      </c>
      <c r="H5" s="15">
        <v>29.4</v>
      </c>
      <c r="I5" s="15">
        <v>29.2</v>
      </c>
      <c r="J5" s="15">
        <v>30.3</v>
      </c>
      <c r="K5" s="15">
        <v>30.5</v>
      </c>
      <c r="L5" s="15">
        <v>31.4</v>
      </c>
      <c r="M5" s="15">
        <v>32.1</v>
      </c>
      <c r="N5" s="15">
        <v>30.9</v>
      </c>
      <c r="O5" s="15">
        <v>29.7</v>
      </c>
      <c r="P5" s="15">
        <v>28.1</v>
      </c>
      <c r="Q5" s="15">
        <v>27</v>
      </c>
      <c r="R5" s="15">
        <v>21.9</v>
      </c>
      <c r="S5" s="15">
        <v>28</v>
      </c>
      <c r="T5" s="15">
        <v>31.7</v>
      </c>
      <c r="U5" s="15">
        <v>33</v>
      </c>
      <c r="V5" s="14">
        <v>28</v>
      </c>
      <c r="X5" s="13">
        <f t="shared" si="0"/>
        <v>29.85</v>
      </c>
      <c r="Y5" s="3">
        <f t="shared" si="1"/>
        <v>2.497498748748435</v>
      </c>
      <c r="Z5" s="3"/>
      <c r="AA5" s="12"/>
      <c r="AB5" s="11"/>
    </row>
    <row r="6" spans="1:28" ht="15.75" thickBot="1" x14ac:dyDescent="0.3">
      <c r="A6" s="10"/>
      <c r="B6" s="9">
        <v>4</v>
      </c>
      <c r="C6" s="8">
        <v>32.9</v>
      </c>
      <c r="D6" s="7">
        <v>31.9</v>
      </c>
      <c r="E6" s="7">
        <v>29.7</v>
      </c>
      <c r="F6" s="7">
        <v>33.200000000000003</v>
      </c>
      <c r="G6" s="7">
        <v>33.9</v>
      </c>
      <c r="H6" s="7">
        <v>30</v>
      </c>
      <c r="I6" s="7">
        <v>29.7</v>
      </c>
      <c r="J6" s="7">
        <v>36.299999999999997</v>
      </c>
      <c r="K6" s="7">
        <v>25.1</v>
      </c>
      <c r="L6" s="7">
        <v>34.4</v>
      </c>
      <c r="M6" s="7">
        <v>40.4</v>
      </c>
      <c r="N6" s="7">
        <v>30.6</v>
      </c>
      <c r="O6" s="7">
        <v>32.200000000000003</v>
      </c>
      <c r="P6" s="7">
        <v>31.2</v>
      </c>
      <c r="Q6" s="7">
        <v>31.4</v>
      </c>
      <c r="R6" s="7">
        <v>28.1</v>
      </c>
      <c r="S6" s="7">
        <v>34.200000000000003</v>
      </c>
      <c r="T6" s="7">
        <v>32.200000000000003</v>
      </c>
      <c r="U6" s="7">
        <v>28.6</v>
      </c>
      <c r="V6" s="6">
        <v>31.6</v>
      </c>
      <c r="X6" s="5">
        <f t="shared" si="0"/>
        <v>31.880000000000003</v>
      </c>
      <c r="Y6" s="4">
        <f t="shared" si="1"/>
        <v>3.1415919531345873</v>
      </c>
      <c r="Z6" s="3"/>
      <c r="AA6" s="2"/>
      <c r="AB6" s="1"/>
    </row>
    <row r="7" spans="1:28" x14ac:dyDescent="0.25">
      <c r="A7" s="24" t="s">
        <v>28</v>
      </c>
      <c r="B7" s="23">
        <v>1</v>
      </c>
      <c r="C7" s="1">
        <v>31.3</v>
      </c>
      <c r="D7" s="2">
        <v>29.2</v>
      </c>
      <c r="E7" s="2">
        <v>31.3</v>
      </c>
      <c r="F7" s="2">
        <v>31</v>
      </c>
      <c r="G7" s="2">
        <v>31.2</v>
      </c>
      <c r="H7" s="2">
        <v>34.1</v>
      </c>
      <c r="I7" s="2">
        <v>29.7</v>
      </c>
      <c r="J7" s="2">
        <v>28.9</v>
      </c>
      <c r="K7" s="2">
        <v>30.9</v>
      </c>
      <c r="L7" s="2">
        <v>30.1</v>
      </c>
      <c r="M7" s="2">
        <v>29</v>
      </c>
      <c r="N7" s="2">
        <v>35.6</v>
      </c>
      <c r="O7" s="2">
        <v>29.1</v>
      </c>
      <c r="P7" s="2">
        <v>30.7</v>
      </c>
      <c r="Q7" s="2">
        <v>31.5</v>
      </c>
      <c r="R7" s="2">
        <v>24.9</v>
      </c>
      <c r="S7" s="2">
        <v>31.6</v>
      </c>
      <c r="T7" s="2">
        <v>32.5</v>
      </c>
      <c r="U7" s="2">
        <v>33.1</v>
      </c>
      <c r="V7" s="22">
        <v>35.9</v>
      </c>
      <c r="X7" s="20">
        <f t="shared" si="0"/>
        <v>31.080000000000002</v>
      </c>
      <c r="Y7" s="21">
        <f t="shared" si="1"/>
        <v>2.4208676130676792</v>
      </c>
      <c r="Z7" s="3"/>
      <c r="AA7" s="20">
        <f>AVERAGE(X7:X10)</f>
        <v>29.283750000000001</v>
      </c>
      <c r="AB7" s="19">
        <f>_xlfn.STDEV.P(X7:X10)</f>
        <v>1.1875835496924005</v>
      </c>
    </row>
    <row r="8" spans="1:28" x14ac:dyDescent="0.25">
      <c r="A8" s="18"/>
      <c r="B8" s="17">
        <v>2</v>
      </c>
      <c r="C8" s="16">
        <v>26.2</v>
      </c>
      <c r="D8" s="15">
        <v>28.2</v>
      </c>
      <c r="E8" s="15">
        <v>29.8</v>
      </c>
      <c r="F8" s="15">
        <v>27</v>
      </c>
      <c r="G8" s="15">
        <v>28.7</v>
      </c>
      <c r="H8" s="15">
        <v>29.8</v>
      </c>
      <c r="I8" s="15">
        <v>29.9</v>
      </c>
      <c r="J8" s="15">
        <v>26</v>
      </c>
      <c r="K8" s="15">
        <v>26.2</v>
      </c>
      <c r="L8" s="15">
        <v>27.5</v>
      </c>
      <c r="M8" s="15">
        <v>28.8</v>
      </c>
      <c r="N8" s="15">
        <v>29.4</v>
      </c>
      <c r="O8" s="15">
        <v>27.7</v>
      </c>
      <c r="P8" s="15">
        <v>26.3</v>
      </c>
      <c r="Q8" s="15">
        <v>27.9</v>
      </c>
      <c r="R8" s="15">
        <v>28.4</v>
      </c>
      <c r="S8" s="15">
        <v>27.6</v>
      </c>
      <c r="T8" s="15">
        <v>27.8</v>
      </c>
      <c r="U8" s="15">
        <v>27.4</v>
      </c>
      <c r="V8" s="14">
        <v>25.3</v>
      </c>
      <c r="X8" s="13">
        <f t="shared" si="0"/>
        <v>27.794999999999998</v>
      </c>
      <c r="Y8" s="3">
        <f t="shared" si="1"/>
        <v>1.3249433950173117</v>
      </c>
      <c r="Z8" s="3"/>
      <c r="AA8" s="12"/>
      <c r="AB8" s="11"/>
    </row>
    <row r="9" spans="1:28" x14ac:dyDescent="0.25">
      <c r="A9" s="18"/>
      <c r="B9" s="17">
        <v>3</v>
      </c>
      <c r="C9" s="16">
        <v>31</v>
      </c>
      <c r="D9" s="15">
        <v>25.4</v>
      </c>
      <c r="E9" s="15">
        <v>28</v>
      </c>
      <c r="F9" s="15">
        <v>31.8</v>
      </c>
      <c r="G9" s="15">
        <v>31.2</v>
      </c>
      <c r="H9" s="15">
        <v>27.1</v>
      </c>
      <c r="I9" s="15">
        <v>34.299999999999997</v>
      </c>
      <c r="J9" s="15">
        <v>25.6</v>
      </c>
      <c r="K9" s="15">
        <v>27.8</v>
      </c>
      <c r="L9" s="15">
        <v>31.5</v>
      </c>
      <c r="M9" s="15">
        <v>30.4</v>
      </c>
      <c r="N9" s="15">
        <v>25.7</v>
      </c>
      <c r="O9" s="15">
        <v>30</v>
      </c>
      <c r="P9" s="15">
        <v>29.5</v>
      </c>
      <c r="Q9" s="15">
        <v>29.2</v>
      </c>
      <c r="R9" s="15">
        <v>30.8</v>
      </c>
      <c r="S9" s="15">
        <v>29.8</v>
      </c>
      <c r="T9" s="15">
        <v>30</v>
      </c>
      <c r="U9" s="15">
        <v>28</v>
      </c>
      <c r="V9" s="14">
        <v>31</v>
      </c>
      <c r="X9" s="13">
        <f t="shared" si="0"/>
        <v>29.404999999999994</v>
      </c>
      <c r="Y9" s="3">
        <f t="shared" si="1"/>
        <v>2.2619626433696904</v>
      </c>
      <c r="Z9" s="3"/>
      <c r="AA9" s="12"/>
      <c r="AB9" s="11"/>
    </row>
    <row r="10" spans="1:28" ht="15.75" thickBot="1" x14ac:dyDescent="0.3">
      <c r="A10" s="33"/>
      <c r="B10" s="32">
        <v>4</v>
      </c>
      <c r="C10" s="19">
        <v>28.2</v>
      </c>
      <c r="D10" s="31">
        <v>29.3</v>
      </c>
      <c r="E10" s="31">
        <v>31.5</v>
      </c>
      <c r="F10" s="31">
        <v>28.3</v>
      </c>
      <c r="G10" s="31">
        <v>28.8</v>
      </c>
      <c r="H10" s="31">
        <v>27.1</v>
      </c>
      <c r="I10" s="31">
        <v>28</v>
      </c>
      <c r="J10" s="31">
        <v>30.4</v>
      </c>
      <c r="K10" s="31">
        <v>27.7</v>
      </c>
      <c r="L10" s="31">
        <v>29</v>
      </c>
      <c r="M10" s="31">
        <v>30.2</v>
      </c>
      <c r="N10" s="31">
        <v>29.2</v>
      </c>
      <c r="O10" s="31">
        <v>27.1</v>
      </c>
      <c r="P10" s="31">
        <v>30.1</v>
      </c>
      <c r="Q10" s="31">
        <v>27.1</v>
      </c>
      <c r="R10" s="31">
        <v>28.9</v>
      </c>
      <c r="S10" s="31">
        <v>29.6</v>
      </c>
      <c r="T10" s="31">
        <v>29.7</v>
      </c>
      <c r="U10" s="31">
        <v>28.1</v>
      </c>
      <c r="V10" s="30">
        <v>28.8</v>
      </c>
      <c r="X10" s="5">
        <f t="shared" si="0"/>
        <v>28.855</v>
      </c>
      <c r="Y10" s="4">
        <f t="shared" si="1"/>
        <v>1.1612385629146145</v>
      </c>
      <c r="Z10" s="3"/>
      <c r="AA10" s="2"/>
      <c r="AB10" s="1"/>
    </row>
    <row r="11" spans="1:28" x14ac:dyDescent="0.25">
      <c r="A11" s="29" t="s">
        <v>29</v>
      </c>
      <c r="B11" s="28">
        <v>1</v>
      </c>
      <c r="C11" s="27">
        <v>33.4</v>
      </c>
      <c r="D11" s="26">
        <v>34.200000000000003</v>
      </c>
      <c r="E11" s="26">
        <v>30.4</v>
      </c>
      <c r="F11" s="26">
        <v>33.9</v>
      </c>
      <c r="G11" s="26">
        <v>34.5</v>
      </c>
      <c r="H11" s="26">
        <v>33.200000000000003</v>
      </c>
      <c r="I11" s="26">
        <v>34.6</v>
      </c>
      <c r="J11" s="26">
        <v>33.200000000000003</v>
      </c>
      <c r="K11" s="26">
        <v>34.1</v>
      </c>
      <c r="L11" s="26">
        <v>29.3</v>
      </c>
      <c r="M11" s="26">
        <v>32.1</v>
      </c>
      <c r="N11" s="26">
        <v>29.5</v>
      </c>
      <c r="O11" s="26">
        <v>35.200000000000003</v>
      </c>
      <c r="P11" s="26">
        <v>30.8</v>
      </c>
      <c r="Q11" s="26">
        <v>36.9</v>
      </c>
      <c r="R11" s="26">
        <v>31.2</v>
      </c>
      <c r="S11" s="26">
        <v>29.4</v>
      </c>
      <c r="T11" s="26">
        <v>30.9</v>
      </c>
      <c r="U11" s="26">
        <v>32.4</v>
      </c>
      <c r="V11" s="25">
        <v>31.1</v>
      </c>
      <c r="X11" s="20">
        <f t="shared" si="0"/>
        <v>32.515000000000001</v>
      </c>
      <c r="Y11" s="21">
        <f t="shared" si="1"/>
        <v>2.0830926527641545</v>
      </c>
      <c r="Z11" s="3"/>
      <c r="AA11" s="20">
        <f>AVERAGE(X11:X14)</f>
        <v>34.5075</v>
      </c>
      <c r="AB11" s="19">
        <f>_xlfn.STDEV.P(X11:X14)</f>
        <v>1.7730958095940581</v>
      </c>
    </row>
    <row r="12" spans="1:28" x14ac:dyDescent="0.25">
      <c r="A12" s="18"/>
      <c r="B12" s="17">
        <v>2</v>
      </c>
      <c r="C12" s="16">
        <v>30.4</v>
      </c>
      <c r="D12" s="15">
        <v>34.9</v>
      </c>
      <c r="E12" s="15">
        <v>34.799999999999997</v>
      </c>
      <c r="F12" s="15">
        <v>34.200000000000003</v>
      </c>
      <c r="G12" s="15">
        <v>38.6</v>
      </c>
      <c r="H12" s="15">
        <v>13.3</v>
      </c>
      <c r="I12" s="15">
        <v>35.200000000000003</v>
      </c>
      <c r="J12" s="15">
        <v>36.700000000000003</v>
      </c>
      <c r="K12" s="15">
        <v>33</v>
      </c>
      <c r="L12" s="15">
        <v>34.5</v>
      </c>
      <c r="M12" s="15">
        <v>37.1</v>
      </c>
      <c r="N12" s="15">
        <v>37.799999999999997</v>
      </c>
      <c r="O12" s="15">
        <v>29.2</v>
      </c>
      <c r="P12" s="15">
        <v>33.4</v>
      </c>
      <c r="Q12" s="15">
        <v>35.799999999999997</v>
      </c>
      <c r="R12" s="15">
        <v>32.299999999999997</v>
      </c>
      <c r="S12" s="15">
        <v>34.799999999999997</v>
      </c>
      <c r="T12" s="15">
        <v>28.4</v>
      </c>
      <c r="U12" s="15">
        <v>34</v>
      </c>
      <c r="V12" s="14">
        <v>32.1</v>
      </c>
      <c r="X12" s="13">
        <f t="shared" si="0"/>
        <v>33.024999999999999</v>
      </c>
      <c r="Y12" s="3">
        <f t="shared" si="1"/>
        <v>5.2165961124089533</v>
      </c>
      <c r="Z12" s="3"/>
      <c r="AA12" s="12"/>
      <c r="AB12" s="11"/>
    </row>
    <row r="13" spans="1:28" x14ac:dyDescent="0.25">
      <c r="A13" s="18"/>
      <c r="B13" s="17">
        <v>3</v>
      </c>
      <c r="C13" s="16">
        <v>37.799999999999997</v>
      </c>
      <c r="D13" s="15">
        <v>37.799999999999997</v>
      </c>
      <c r="E13" s="15">
        <v>37.4</v>
      </c>
      <c r="F13" s="15">
        <v>37.9</v>
      </c>
      <c r="G13" s="15">
        <v>36.1</v>
      </c>
      <c r="H13" s="15">
        <v>36.6</v>
      </c>
      <c r="I13" s="15">
        <v>38.6</v>
      </c>
      <c r="J13" s="15">
        <v>36.1</v>
      </c>
      <c r="K13" s="15">
        <v>34.9</v>
      </c>
      <c r="L13" s="15">
        <v>36.299999999999997</v>
      </c>
      <c r="M13" s="15">
        <v>37.700000000000003</v>
      </c>
      <c r="N13" s="15">
        <v>39.9</v>
      </c>
      <c r="O13" s="15">
        <v>32.5</v>
      </c>
      <c r="P13" s="15">
        <v>37</v>
      </c>
      <c r="Q13" s="15">
        <v>32.200000000000003</v>
      </c>
      <c r="R13" s="15">
        <v>30.7</v>
      </c>
      <c r="S13" s="15">
        <v>37.1</v>
      </c>
      <c r="T13" s="15">
        <v>33.1</v>
      </c>
      <c r="U13" s="15">
        <v>32</v>
      </c>
      <c r="V13" s="14">
        <v>34.6</v>
      </c>
      <c r="X13" s="13">
        <f t="shared" si="0"/>
        <v>35.815000000000005</v>
      </c>
      <c r="Y13" s="3">
        <f t="shared" si="1"/>
        <v>2.4623718240753156</v>
      </c>
      <c r="Z13" s="3"/>
      <c r="AA13" s="12"/>
      <c r="AB13" s="11"/>
    </row>
    <row r="14" spans="1:28" ht="15.75" thickBot="1" x14ac:dyDescent="0.3">
      <c r="A14" s="10"/>
      <c r="B14" s="9">
        <v>4</v>
      </c>
      <c r="C14" s="8">
        <v>37.9</v>
      </c>
      <c r="D14" s="7">
        <v>37.5</v>
      </c>
      <c r="E14" s="7">
        <v>35.700000000000003</v>
      </c>
      <c r="F14" s="7">
        <v>39.200000000000003</v>
      </c>
      <c r="G14" s="7">
        <v>38</v>
      </c>
      <c r="H14" s="7">
        <v>33.700000000000003</v>
      </c>
      <c r="I14" s="7">
        <v>35.799999999999997</v>
      </c>
      <c r="J14" s="7">
        <v>35.5</v>
      </c>
      <c r="K14" s="7">
        <v>41.7</v>
      </c>
      <c r="L14" s="7">
        <v>36.6</v>
      </c>
      <c r="M14" s="7">
        <v>39</v>
      </c>
      <c r="N14" s="7">
        <v>41.8</v>
      </c>
      <c r="O14" s="7">
        <v>34.799999999999997</v>
      </c>
      <c r="P14" s="7">
        <v>38.4</v>
      </c>
      <c r="Q14" s="7">
        <v>35.9</v>
      </c>
      <c r="R14" s="7">
        <v>34.200000000000003</v>
      </c>
      <c r="S14" s="7">
        <v>37.200000000000003</v>
      </c>
      <c r="T14" s="7">
        <v>31.4</v>
      </c>
      <c r="U14" s="7">
        <v>35.700000000000003</v>
      </c>
      <c r="V14" s="6">
        <v>33.5</v>
      </c>
      <c r="X14" s="5">
        <f t="shared" si="0"/>
        <v>36.675000000000004</v>
      </c>
      <c r="Y14" s="4">
        <f t="shared" si="1"/>
        <v>2.5645418694183961</v>
      </c>
      <c r="Z14" s="3"/>
      <c r="AA14" s="2"/>
      <c r="AB14" s="1"/>
    </row>
    <row r="15" spans="1:28" x14ac:dyDescent="0.25">
      <c r="A15" s="24" t="s">
        <v>30</v>
      </c>
      <c r="B15" s="23">
        <v>1</v>
      </c>
      <c r="C15" s="1">
        <v>34</v>
      </c>
      <c r="D15" s="2">
        <v>32.299999999999997</v>
      </c>
      <c r="E15" s="2">
        <v>34.6</v>
      </c>
      <c r="F15" s="2">
        <v>30.4</v>
      </c>
      <c r="G15" s="2">
        <v>29.7</v>
      </c>
      <c r="H15" s="2">
        <v>28.4</v>
      </c>
      <c r="I15" s="2">
        <v>31.9</v>
      </c>
      <c r="J15" s="2">
        <v>29.6</v>
      </c>
      <c r="K15" s="2">
        <v>30.3</v>
      </c>
      <c r="L15" s="2">
        <v>32.5</v>
      </c>
      <c r="M15" s="2">
        <v>33.5</v>
      </c>
      <c r="N15" s="2">
        <v>32.299999999999997</v>
      </c>
      <c r="O15" s="2">
        <v>31.6</v>
      </c>
      <c r="P15" s="2">
        <v>33.4</v>
      </c>
      <c r="Q15" s="2">
        <v>31.5</v>
      </c>
      <c r="R15" s="2">
        <v>29</v>
      </c>
      <c r="S15" s="2">
        <v>32.200000000000003</v>
      </c>
      <c r="T15" s="2">
        <v>31.6</v>
      </c>
      <c r="U15" s="2">
        <v>20.100000000000001</v>
      </c>
      <c r="V15" s="22">
        <v>27.5</v>
      </c>
      <c r="X15" s="20">
        <f t="shared" si="0"/>
        <v>30.820000000000004</v>
      </c>
      <c r="Y15" s="21">
        <f t="shared" si="1"/>
        <v>3.0699511396763306</v>
      </c>
      <c r="Z15" s="3"/>
      <c r="AA15" s="20">
        <f>AVERAGE(X15:X18)</f>
        <v>31.6325</v>
      </c>
      <c r="AB15" s="19">
        <f>_xlfn.STDEV.P(X15:X18)</f>
        <v>0.67610557607521671</v>
      </c>
    </row>
    <row r="16" spans="1:28" x14ac:dyDescent="0.25">
      <c r="A16" s="18"/>
      <c r="B16" s="17">
        <v>2</v>
      </c>
      <c r="C16" s="16">
        <v>32.5</v>
      </c>
      <c r="D16" s="15">
        <v>33.299999999999997</v>
      </c>
      <c r="E16" s="15">
        <v>33.700000000000003</v>
      </c>
      <c r="F16" s="15">
        <v>30.2</v>
      </c>
      <c r="G16" s="15">
        <v>33.5</v>
      </c>
      <c r="H16" s="15">
        <v>32.4</v>
      </c>
      <c r="I16" s="15">
        <v>33.200000000000003</v>
      </c>
      <c r="J16" s="15">
        <v>32.799999999999997</v>
      </c>
      <c r="K16" s="15">
        <v>31.2</v>
      </c>
      <c r="L16" s="15">
        <v>23.8</v>
      </c>
      <c r="M16" s="15">
        <v>33</v>
      </c>
      <c r="N16" s="15">
        <v>33.4</v>
      </c>
      <c r="O16" s="15">
        <v>32.700000000000003</v>
      </c>
      <c r="P16" s="15">
        <v>31.6</v>
      </c>
      <c r="Q16" s="15">
        <v>32.9</v>
      </c>
      <c r="R16" s="15">
        <v>26.7</v>
      </c>
      <c r="S16" s="15">
        <v>27.4</v>
      </c>
      <c r="T16" s="15">
        <v>31.6</v>
      </c>
      <c r="U16" s="15">
        <v>33</v>
      </c>
      <c r="V16" s="14">
        <v>33.299999999999997</v>
      </c>
      <c r="X16" s="13">
        <f t="shared" si="0"/>
        <v>31.609999999999996</v>
      </c>
      <c r="Y16" s="3">
        <f t="shared" si="1"/>
        <v>2.5876437158156067</v>
      </c>
      <c r="Z16" s="3"/>
      <c r="AA16" s="12"/>
      <c r="AB16" s="11"/>
    </row>
    <row r="17" spans="1:28" x14ac:dyDescent="0.25">
      <c r="A17" s="18"/>
      <c r="B17" s="17">
        <v>3</v>
      </c>
      <c r="C17" s="16">
        <v>33</v>
      </c>
      <c r="D17" s="15">
        <v>30.6</v>
      </c>
      <c r="E17" s="15">
        <v>34.799999999999997</v>
      </c>
      <c r="F17" s="15">
        <v>33.700000000000003</v>
      </c>
      <c r="G17" s="15">
        <v>32.200000000000003</v>
      </c>
      <c r="H17" s="15">
        <v>31.3</v>
      </c>
      <c r="I17" s="15">
        <v>30.3</v>
      </c>
      <c r="J17" s="15">
        <v>35</v>
      </c>
      <c r="K17" s="15">
        <v>34.700000000000003</v>
      </c>
      <c r="L17" s="15">
        <v>35.700000000000003</v>
      </c>
      <c r="M17" s="15">
        <v>34.200000000000003</v>
      </c>
      <c r="N17" s="15">
        <v>33.200000000000003</v>
      </c>
      <c r="O17" s="15">
        <v>31.8</v>
      </c>
      <c r="P17" s="15">
        <v>32.6</v>
      </c>
      <c r="Q17" s="15">
        <v>34.1</v>
      </c>
      <c r="R17" s="15">
        <v>32</v>
      </c>
      <c r="S17" s="15">
        <v>30.9</v>
      </c>
      <c r="T17" s="15">
        <v>31.4</v>
      </c>
      <c r="U17" s="15">
        <v>32.1</v>
      </c>
      <c r="V17" s="14">
        <v>30.2</v>
      </c>
      <c r="X17" s="13">
        <f t="shared" si="0"/>
        <v>32.690000000000005</v>
      </c>
      <c r="Y17" s="3">
        <f t="shared" si="1"/>
        <v>1.6352064089893978</v>
      </c>
      <c r="Z17" s="3"/>
      <c r="AA17" s="12"/>
      <c r="AB17" s="11"/>
    </row>
    <row r="18" spans="1:28" ht="15.75" thickBot="1" x14ac:dyDescent="0.3">
      <c r="A18" s="33"/>
      <c r="B18" s="32">
        <v>4</v>
      </c>
      <c r="C18" s="19">
        <v>32.9</v>
      </c>
      <c r="D18" s="31">
        <v>33.299999999999997</v>
      </c>
      <c r="E18" s="31">
        <v>31.9</v>
      </c>
      <c r="F18" s="31">
        <v>32.700000000000003</v>
      </c>
      <c r="G18" s="31">
        <v>30.2</v>
      </c>
      <c r="H18" s="31">
        <v>29.8</v>
      </c>
      <c r="I18" s="31">
        <v>33.9</v>
      </c>
      <c r="J18" s="31">
        <v>29.4</v>
      </c>
      <c r="K18" s="31">
        <v>33.4</v>
      </c>
      <c r="L18" s="31">
        <v>32.799999999999997</v>
      </c>
      <c r="M18" s="31">
        <v>31.7</v>
      </c>
      <c r="N18" s="31">
        <v>33.200000000000003</v>
      </c>
      <c r="O18" s="31">
        <v>29.8</v>
      </c>
      <c r="P18" s="31">
        <v>29.5</v>
      </c>
      <c r="Q18" s="31">
        <v>29.7</v>
      </c>
      <c r="R18" s="31">
        <v>31.7</v>
      </c>
      <c r="S18" s="31">
        <v>30.2</v>
      </c>
      <c r="T18" s="31">
        <v>30.9</v>
      </c>
      <c r="U18" s="31">
        <v>31.1</v>
      </c>
      <c r="V18" s="30">
        <v>30.1</v>
      </c>
      <c r="X18" s="5">
        <f t="shared" si="0"/>
        <v>31.410000000000004</v>
      </c>
      <c r="Y18" s="4">
        <f t="shared" si="1"/>
        <v>1.4825316185498369</v>
      </c>
      <c r="Z18" s="3"/>
      <c r="AA18" s="2"/>
      <c r="AB18" s="1"/>
    </row>
    <row r="19" spans="1:28" x14ac:dyDescent="0.25">
      <c r="A19" s="29" t="s">
        <v>31</v>
      </c>
      <c r="B19" s="28">
        <v>1</v>
      </c>
      <c r="C19" s="27">
        <v>30.1</v>
      </c>
      <c r="D19" s="26">
        <v>33.9</v>
      </c>
      <c r="E19" s="26">
        <v>35</v>
      </c>
      <c r="F19" s="26">
        <v>32.4</v>
      </c>
      <c r="G19" s="26">
        <v>35.299999999999997</v>
      </c>
      <c r="H19" s="26">
        <v>29.6</v>
      </c>
      <c r="I19" s="26">
        <v>31</v>
      </c>
      <c r="J19" s="26">
        <v>38.1</v>
      </c>
      <c r="K19" s="26">
        <v>35.1</v>
      </c>
      <c r="L19" s="26">
        <v>35.5</v>
      </c>
      <c r="M19" s="26">
        <v>36.299999999999997</v>
      </c>
      <c r="N19" s="26">
        <v>35.299999999999997</v>
      </c>
      <c r="O19" s="26">
        <v>36</v>
      </c>
      <c r="P19" s="26">
        <v>34.299999999999997</v>
      </c>
      <c r="Q19" s="26">
        <v>37.200000000000003</v>
      </c>
      <c r="R19" s="26">
        <v>36.200000000000003</v>
      </c>
      <c r="S19" s="26">
        <v>37</v>
      </c>
      <c r="T19" s="26">
        <v>32.6</v>
      </c>
      <c r="U19" s="26">
        <v>33.200000000000003</v>
      </c>
      <c r="V19" s="25">
        <v>35.5</v>
      </c>
      <c r="X19" s="20">
        <f t="shared" si="0"/>
        <v>34.480000000000004</v>
      </c>
      <c r="Y19" s="21">
        <f t="shared" si="1"/>
        <v>2.2857383927300163</v>
      </c>
      <c r="Z19" s="3"/>
      <c r="AA19" s="20">
        <f>AVERAGE(X19:X22)</f>
        <v>35.683750000000003</v>
      </c>
      <c r="AB19" s="19">
        <f>_xlfn.STDEV.P(X19:X22)</f>
        <v>1.1903590582257102</v>
      </c>
    </row>
    <row r="20" spans="1:28" x14ac:dyDescent="0.25">
      <c r="A20" s="18"/>
      <c r="B20" s="17">
        <v>2</v>
      </c>
      <c r="C20" s="16">
        <v>34.700000000000003</v>
      </c>
      <c r="D20" s="15">
        <v>32.4</v>
      </c>
      <c r="E20" s="15">
        <v>35.700000000000003</v>
      </c>
      <c r="F20" s="15">
        <v>34.700000000000003</v>
      </c>
      <c r="G20" s="15">
        <v>33.200000000000003</v>
      </c>
      <c r="H20" s="15">
        <v>37.700000000000003</v>
      </c>
      <c r="I20" s="15">
        <v>32.1</v>
      </c>
      <c r="J20" s="15">
        <v>35.700000000000003</v>
      </c>
      <c r="K20" s="15">
        <v>34.799999999999997</v>
      </c>
      <c r="L20" s="15">
        <v>34.1</v>
      </c>
      <c r="M20" s="15">
        <v>36.799999999999997</v>
      </c>
      <c r="N20" s="15">
        <v>35.9</v>
      </c>
      <c r="O20" s="15">
        <v>32.700000000000003</v>
      </c>
      <c r="P20" s="15">
        <v>32.299999999999997</v>
      </c>
      <c r="Q20" s="15">
        <v>40.700000000000003</v>
      </c>
      <c r="R20" s="15">
        <v>36.5</v>
      </c>
      <c r="S20" s="15">
        <v>33.9</v>
      </c>
      <c r="T20" s="15">
        <v>36.4</v>
      </c>
      <c r="U20" s="15">
        <v>34.799999999999997</v>
      </c>
      <c r="V20" s="14">
        <v>34.6</v>
      </c>
      <c r="X20" s="13">
        <f t="shared" si="0"/>
        <v>34.984999999999999</v>
      </c>
      <c r="Y20" s="3">
        <f t="shared" si="1"/>
        <v>2.0303386417048763</v>
      </c>
      <c r="Z20" s="3"/>
      <c r="AA20" s="12"/>
      <c r="AB20" s="11"/>
    </row>
    <row r="21" spans="1:28" x14ac:dyDescent="0.25">
      <c r="A21" s="18"/>
      <c r="B21" s="17">
        <v>3</v>
      </c>
      <c r="C21" s="16">
        <v>39.5</v>
      </c>
      <c r="D21" s="15">
        <v>32.700000000000003</v>
      </c>
      <c r="E21" s="15">
        <v>34.5</v>
      </c>
      <c r="F21" s="15">
        <v>31.7</v>
      </c>
      <c r="G21" s="15">
        <v>36.1</v>
      </c>
      <c r="H21" s="15">
        <v>35.200000000000003</v>
      </c>
      <c r="I21" s="15">
        <v>36.6</v>
      </c>
      <c r="J21" s="15">
        <v>40.1</v>
      </c>
      <c r="K21" s="15">
        <v>36.4</v>
      </c>
      <c r="L21" s="15">
        <v>36.9</v>
      </c>
      <c r="M21" s="15">
        <v>34.6</v>
      </c>
      <c r="N21" s="15">
        <v>35.5</v>
      </c>
      <c r="O21" s="15">
        <v>38.200000000000003</v>
      </c>
      <c r="P21" s="15">
        <v>34.200000000000003</v>
      </c>
      <c r="Q21" s="15">
        <v>35.6</v>
      </c>
      <c r="R21" s="15">
        <v>35.799999999999997</v>
      </c>
      <c r="S21" s="15">
        <v>35.799999999999997</v>
      </c>
      <c r="T21" s="15">
        <v>36.700000000000003</v>
      </c>
      <c r="U21" s="15">
        <v>33.299999999999997</v>
      </c>
      <c r="V21" s="14">
        <v>33.700000000000003</v>
      </c>
      <c r="X21" s="13">
        <f t="shared" si="0"/>
        <v>35.654999999999994</v>
      </c>
      <c r="Y21" s="3">
        <f t="shared" si="1"/>
        <v>2.048041747621371</v>
      </c>
      <c r="Z21" s="3"/>
      <c r="AA21" s="12"/>
      <c r="AB21" s="11"/>
    </row>
    <row r="22" spans="1:28" ht="15.75" thickBot="1" x14ac:dyDescent="0.3">
      <c r="A22" s="10"/>
      <c r="B22" s="9">
        <v>4</v>
      </c>
      <c r="C22" s="8">
        <v>39.6</v>
      </c>
      <c r="D22" s="7">
        <v>37.799999999999997</v>
      </c>
      <c r="E22" s="7">
        <v>35.4</v>
      </c>
      <c r="F22" s="7">
        <v>37.200000000000003</v>
      </c>
      <c r="G22" s="7">
        <v>37.299999999999997</v>
      </c>
      <c r="H22" s="7">
        <v>38</v>
      </c>
      <c r="I22" s="7">
        <v>38.5</v>
      </c>
      <c r="J22" s="7">
        <v>42</v>
      </c>
      <c r="K22" s="7">
        <v>42.6</v>
      </c>
      <c r="L22" s="7">
        <v>35.1</v>
      </c>
      <c r="M22" s="7">
        <v>38.799999999999997</v>
      </c>
      <c r="N22" s="7">
        <v>35.5</v>
      </c>
      <c r="O22" s="7">
        <v>41.9</v>
      </c>
      <c r="P22" s="7">
        <v>34.799999999999997</v>
      </c>
      <c r="Q22" s="7">
        <v>32.200000000000003</v>
      </c>
      <c r="R22" s="7">
        <v>35.700000000000003</v>
      </c>
      <c r="S22" s="7">
        <v>36.5</v>
      </c>
      <c r="T22" s="7">
        <v>38.200000000000003</v>
      </c>
      <c r="U22" s="7">
        <v>37.799999999999997</v>
      </c>
      <c r="V22" s="6">
        <v>37.4</v>
      </c>
      <c r="X22" s="5">
        <f t="shared" si="0"/>
        <v>37.615000000000002</v>
      </c>
      <c r="Y22" s="4">
        <f t="shared" si="1"/>
        <v>2.5229496625973336</v>
      </c>
      <c r="Z22" s="3"/>
      <c r="AA22" s="2"/>
      <c r="AB22" s="1"/>
    </row>
    <row r="23" spans="1:28" x14ac:dyDescent="0.25">
      <c r="A23" s="24" t="s">
        <v>32</v>
      </c>
      <c r="B23" s="23">
        <v>1</v>
      </c>
      <c r="C23" s="1">
        <v>29.8</v>
      </c>
      <c r="D23" s="2">
        <v>33.6</v>
      </c>
      <c r="E23" s="2">
        <v>33.1</v>
      </c>
      <c r="F23" s="2">
        <v>28.4</v>
      </c>
      <c r="G23" s="2">
        <v>34.6</v>
      </c>
      <c r="H23" s="2">
        <v>31.2</v>
      </c>
      <c r="I23" s="2">
        <v>31.1</v>
      </c>
      <c r="J23" s="2">
        <v>31.5</v>
      </c>
      <c r="K23" s="2">
        <v>29.8</v>
      </c>
      <c r="L23" s="2">
        <v>29.3</v>
      </c>
      <c r="M23" s="2">
        <v>29.6</v>
      </c>
      <c r="N23" s="2">
        <v>32.200000000000003</v>
      </c>
      <c r="O23" s="2">
        <v>31.8</v>
      </c>
      <c r="P23" s="2">
        <v>34</v>
      </c>
      <c r="Q23" s="2">
        <v>34.1</v>
      </c>
      <c r="R23" s="2">
        <v>27.1</v>
      </c>
      <c r="S23" s="2">
        <v>33.5</v>
      </c>
      <c r="T23" s="2">
        <v>34.6</v>
      </c>
      <c r="U23" s="2">
        <v>30.1</v>
      </c>
      <c r="V23" s="22">
        <v>33.299999999999997</v>
      </c>
      <c r="X23" s="20">
        <f t="shared" si="0"/>
        <v>31.635000000000002</v>
      </c>
      <c r="Y23" s="21">
        <f t="shared" si="1"/>
        <v>2.145524411420201</v>
      </c>
      <c r="Z23" s="3"/>
      <c r="AA23" s="20">
        <f>AVERAGE(X23:X26)</f>
        <v>36.195</v>
      </c>
      <c r="AB23" s="19">
        <f>_xlfn.STDEV.P(X23:X26)</f>
        <v>6.1977304313756925</v>
      </c>
    </row>
    <row r="24" spans="1:28" x14ac:dyDescent="0.25">
      <c r="A24" s="18"/>
      <c r="B24" s="17">
        <v>2</v>
      </c>
      <c r="C24" s="16">
        <v>31.8</v>
      </c>
      <c r="D24" s="15">
        <v>30</v>
      </c>
      <c r="E24" s="15">
        <v>325</v>
      </c>
      <c r="F24" s="15">
        <v>33.700000000000003</v>
      </c>
      <c r="G24" s="15">
        <v>31.4</v>
      </c>
      <c r="H24" s="15">
        <v>32.9</v>
      </c>
      <c r="I24" s="15">
        <v>32.5</v>
      </c>
      <c r="J24" s="15">
        <v>33.200000000000003</v>
      </c>
      <c r="K24" s="15">
        <v>29.3</v>
      </c>
      <c r="L24" s="15">
        <v>32</v>
      </c>
      <c r="M24" s="15">
        <v>37</v>
      </c>
      <c r="N24" s="15">
        <v>31.9</v>
      </c>
      <c r="O24" s="15">
        <v>34</v>
      </c>
      <c r="P24" s="15">
        <v>34</v>
      </c>
      <c r="Q24" s="15">
        <v>33.299999999999997</v>
      </c>
      <c r="R24" s="15">
        <v>33</v>
      </c>
      <c r="S24" s="15">
        <v>29.1</v>
      </c>
      <c r="T24" s="15">
        <v>31</v>
      </c>
      <c r="U24" s="15">
        <v>31.7</v>
      </c>
      <c r="V24" s="14">
        <v>30.6</v>
      </c>
      <c r="X24" s="13">
        <f t="shared" si="0"/>
        <v>46.87</v>
      </c>
      <c r="Y24" s="3">
        <f t="shared" si="1"/>
        <v>63.832163522788427</v>
      </c>
      <c r="Z24" s="3"/>
      <c r="AA24" s="12"/>
      <c r="AB24" s="11"/>
    </row>
    <row r="25" spans="1:28" x14ac:dyDescent="0.25">
      <c r="A25" s="18"/>
      <c r="B25" s="17">
        <v>3</v>
      </c>
      <c r="C25" s="16">
        <v>34.700000000000003</v>
      </c>
      <c r="D25" s="15">
        <v>30.2</v>
      </c>
      <c r="E25" s="15">
        <v>30.6</v>
      </c>
      <c r="F25" s="15">
        <v>33.799999999999997</v>
      </c>
      <c r="G25" s="15">
        <v>34</v>
      </c>
      <c r="H25" s="15">
        <v>30.3</v>
      </c>
      <c r="I25" s="15">
        <v>33.799999999999997</v>
      </c>
      <c r="J25" s="15">
        <v>31.7</v>
      </c>
      <c r="K25" s="15">
        <v>30.6</v>
      </c>
      <c r="L25" s="15">
        <v>31.8</v>
      </c>
      <c r="M25" s="15">
        <v>35.4</v>
      </c>
      <c r="N25" s="15">
        <v>33.5</v>
      </c>
      <c r="O25" s="15">
        <v>31.3</v>
      </c>
      <c r="P25" s="15">
        <v>32</v>
      </c>
      <c r="Q25" s="15">
        <v>35.4</v>
      </c>
      <c r="R25" s="15">
        <v>35</v>
      </c>
      <c r="S25" s="15">
        <v>32.5</v>
      </c>
      <c r="T25" s="15">
        <v>33.1</v>
      </c>
      <c r="U25" s="15">
        <v>31.1</v>
      </c>
      <c r="V25" s="14">
        <v>35.6</v>
      </c>
      <c r="X25" s="13">
        <f t="shared" si="0"/>
        <v>32.820000000000007</v>
      </c>
      <c r="Y25" s="3">
        <f t="shared" si="1"/>
        <v>1.7971087891388209</v>
      </c>
      <c r="Z25" s="3"/>
      <c r="AA25" s="12"/>
      <c r="AB25" s="11"/>
    </row>
    <row r="26" spans="1:28" ht="15.75" thickBot="1" x14ac:dyDescent="0.3">
      <c r="A26" s="33"/>
      <c r="B26" s="32">
        <v>4</v>
      </c>
      <c r="C26" s="19">
        <v>28</v>
      </c>
      <c r="D26" s="31">
        <v>29.4</v>
      </c>
      <c r="E26" s="31">
        <v>33</v>
      </c>
      <c r="F26" s="31">
        <v>33.200000000000003</v>
      </c>
      <c r="G26" s="31">
        <v>34.799999999999997</v>
      </c>
      <c r="H26" s="31">
        <v>35</v>
      </c>
      <c r="I26" s="31">
        <v>32.1</v>
      </c>
      <c r="J26" s="31">
        <v>32.200000000000003</v>
      </c>
      <c r="K26" s="31">
        <v>34.700000000000003</v>
      </c>
      <c r="L26" s="31">
        <v>36</v>
      </c>
      <c r="M26" s="31">
        <v>35.799999999999997</v>
      </c>
      <c r="N26" s="31">
        <v>32.1</v>
      </c>
      <c r="O26" s="31">
        <v>34.5</v>
      </c>
      <c r="P26" s="31">
        <v>35.799999999999997</v>
      </c>
      <c r="Q26" s="31">
        <v>33</v>
      </c>
      <c r="R26" s="31">
        <v>32</v>
      </c>
      <c r="S26" s="31">
        <v>33.1</v>
      </c>
      <c r="T26" s="31">
        <v>35.5</v>
      </c>
      <c r="U26" s="31">
        <v>34.799999999999997</v>
      </c>
      <c r="V26" s="30">
        <v>34.1</v>
      </c>
      <c r="X26" s="5">
        <f t="shared" si="0"/>
        <v>33.454999999999998</v>
      </c>
      <c r="Y26" s="4">
        <f t="shared" si="1"/>
        <v>2.0602123676941653</v>
      </c>
      <c r="Z26" s="3"/>
      <c r="AA26" s="2"/>
      <c r="AB26" s="1"/>
    </row>
    <row r="27" spans="1:28" x14ac:dyDescent="0.25">
      <c r="A27" s="29" t="s">
        <v>33</v>
      </c>
      <c r="B27" s="28">
        <v>1</v>
      </c>
      <c r="C27" s="27">
        <v>35.1</v>
      </c>
      <c r="D27" s="26">
        <v>35.9</v>
      </c>
      <c r="E27" s="26">
        <v>35.9</v>
      </c>
      <c r="F27" s="26">
        <v>37</v>
      </c>
      <c r="G27" s="26">
        <v>39.1</v>
      </c>
      <c r="H27" s="26">
        <v>38.6</v>
      </c>
      <c r="I27" s="26">
        <v>37.200000000000003</v>
      </c>
      <c r="J27" s="26">
        <v>36.200000000000003</v>
      </c>
      <c r="K27" s="26">
        <v>32.5</v>
      </c>
      <c r="L27" s="26">
        <v>30.7</v>
      </c>
      <c r="M27" s="26">
        <v>39.1</v>
      </c>
      <c r="N27" s="26">
        <v>39.799999999999997</v>
      </c>
      <c r="O27" s="26">
        <v>27.6</v>
      </c>
      <c r="P27" s="26">
        <v>21.6</v>
      </c>
      <c r="Q27" s="26">
        <v>24.8</v>
      </c>
      <c r="R27" s="26">
        <v>33.799999999999997</v>
      </c>
      <c r="S27" s="26">
        <v>25.9</v>
      </c>
      <c r="T27" s="26">
        <v>37.700000000000003</v>
      </c>
      <c r="U27" s="26">
        <v>36.1</v>
      </c>
      <c r="V27" s="25">
        <v>37.299999999999997</v>
      </c>
      <c r="X27" s="20">
        <f t="shared" si="0"/>
        <v>34.095000000000006</v>
      </c>
      <c r="Y27" s="21">
        <f t="shared" si="1"/>
        <v>5.1297636397791084</v>
      </c>
      <c r="Z27" s="3"/>
      <c r="AA27" s="20">
        <f>AVERAGE(X27:X30)</f>
        <v>35.667500000000004</v>
      </c>
      <c r="AB27" s="19">
        <f>_xlfn.STDEV.P(X27:X30)</f>
        <v>1.272627694968167</v>
      </c>
    </row>
    <row r="28" spans="1:28" x14ac:dyDescent="0.25">
      <c r="A28" s="18"/>
      <c r="B28" s="17">
        <v>2</v>
      </c>
      <c r="C28" s="16">
        <v>34.799999999999997</v>
      </c>
      <c r="D28" s="15">
        <v>34.5</v>
      </c>
      <c r="E28" s="15">
        <v>35.6</v>
      </c>
      <c r="F28" s="15">
        <v>37.4</v>
      </c>
      <c r="G28" s="15">
        <v>35.4</v>
      </c>
      <c r="H28" s="15">
        <v>36.4</v>
      </c>
      <c r="I28" s="15">
        <v>34.9</v>
      </c>
      <c r="J28" s="15">
        <v>37</v>
      </c>
      <c r="K28" s="15">
        <v>37.700000000000003</v>
      </c>
      <c r="L28" s="15">
        <v>37.299999999999997</v>
      </c>
      <c r="M28" s="15">
        <v>36.4</v>
      </c>
      <c r="N28" s="15">
        <v>35.799999999999997</v>
      </c>
      <c r="O28" s="15">
        <v>37.299999999999997</v>
      </c>
      <c r="P28" s="15">
        <v>36.200000000000003</v>
      </c>
      <c r="Q28" s="15">
        <v>34.6</v>
      </c>
      <c r="R28" s="15">
        <v>36</v>
      </c>
      <c r="S28" s="15">
        <v>37.9</v>
      </c>
      <c r="T28" s="15">
        <v>32.799999999999997</v>
      </c>
      <c r="U28" s="15">
        <v>38.9</v>
      </c>
      <c r="V28" s="14">
        <v>34.700000000000003</v>
      </c>
      <c r="X28" s="13">
        <f t="shared" si="0"/>
        <v>36.08</v>
      </c>
      <c r="Y28" s="3">
        <f t="shared" si="1"/>
        <v>1.4288456879593401</v>
      </c>
      <c r="Z28" s="3"/>
      <c r="AA28" s="12"/>
      <c r="AB28" s="11"/>
    </row>
    <row r="29" spans="1:28" x14ac:dyDescent="0.25">
      <c r="A29" s="18"/>
      <c r="B29" s="17">
        <v>3</v>
      </c>
      <c r="C29" s="16">
        <v>33.5</v>
      </c>
      <c r="D29" s="15">
        <v>25.9</v>
      </c>
      <c r="E29" s="15">
        <v>36.299999999999997</v>
      </c>
      <c r="F29" s="15">
        <v>27.2</v>
      </c>
      <c r="G29" s="15">
        <v>38.200000000000003</v>
      </c>
      <c r="H29" s="15">
        <v>34.299999999999997</v>
      </c>
      <c r="I29" s="15">
        <v>32.4</v>
      </c>
      <c r="J29" s="15">
        <v>40.200000000000003</v>
      </c>
      <c r="K29" s="15">
        <v>35.799999999999997</v>
      </c>
      <c r="L29" s="15">
        <v>37.700000000000003</v>
      </c>
      <c r="M29" s="15">
        <v>40.5</v>
      </c>
      <c r="N29" s="15">
        <v>35.700000000000003</v>
      </c>
      <c r="O29" s="15">
        <v>38.4</v>
      </c>
      <c r="P29" s="15">
        <v>35.4</v>
      </c>
      <c r="Q29" s="15">
        <v>34.4</v>
      </c>
      <c r="R29" s="15">
        <v>33.1</v>
      </c>
      <c r="S29" s="15">
        <v>37.200000000000003</v>
      </c>
      <c r="T29" s="15">
        <v>34.700000000000003</v>
      </c>
      <c r="U29" s="15">
        <v>32.5</v>
      </c>
      <c r="V29" s="14">
        <v>36.4</v>
      </c>
      <c r="X29" s="13">
        <f t="shared" si="0"/>
        <v>34.99</v>
      </c>
      <c r="Y29" s="3">
        <f t="shared" si="1"/>
        <v>3.6029016084261611</v>
      </c>
      <c r="Z29" s="3"/>
      <c r="AA29" s="12"/>
      <c r="AB29" s="11"/>
    </row>
    <row r="30" spans="1:28" ht="15.75" thickBot="1" x14ac:dyDescent="0.3">
      <c r="A30" s="10"/>
      <c r="B30" s="9">
        <v>4</v>
      </c>
      <c r="C30" s="8">
        <v>40.299999999999997</v>
      </c>
      <c r="D30" s="7">
        <v>33.299999999999997</v>
      </c>
      <c r="E30" s="7">
        <v>39.6</v>
      </c>
      <c r="F30" s="7">
        <v>36.5</v>
      </c>
      <c r="G30" s="7">
        <v>36.4</v>
      </c>
      <c r="H30" s="7">
        <v>39.700000000000003</v>
      </c>
      <c r="I30" s="7">
        <v>37.1</v>
      </c>
      <c r="J30" s="7">
        <v>36.5</v>
      </c>
      <c r="K30" s="7">
        <v>38.5</v>
      </c>
      <c r="L30" s="7">
        <v>38.799999999999997</v>
      </c>
      <c r="M30" s="7">
        <v>37.5</v>
      </c>
      <c r="N30" s="7">
        <v>34.5</v>
      </c>
      <c r="O30" s="7">
        <v>37.200000000000003</v>
      </c>
      <c r="P30" s="7">
        <v>39.700000000000003</v>
      </c>
      <c r="Q30" s="7">
        <v>38.200000000000003</v>
      </c>
      <c r="R30" s="7">
        <v>32.799999999999997</v>
      </c>
      <c r="S30" s="7">
        <v>36.799999999999997</v>
      </c>
      <c r="T30" s="7">
        <v>38.5</v>
      </c>
      <c r="U30" s="7">
        <v>39.9</v>
      </c>
      <c r="V30" s="6">
        <v>38.299999999999997</v>
      </c>
      <c r="X30" s="5">
        <f t="shared" si="0"/>
        <v>37.504999999999995</v>
      </c>
      <c r="Y30" s="4">
        <f t="shared" si="1"/>
        <v>2.0638495584707726</v>
      </c>
      <c r="Z30" s="3"/>
      <c r="AA30" s="2"/>
      <c r="AB30" s="1"/>
    </row>
    <row r="31" spans="1:28" x14ac:dyDescent="0.25">
      <c r="A31" s="24" t="s">
        <v>34</v>
      </c>
      <c r="B31" s="23">
        <v>1</v>
      </c>
      <c r="C31" s="1">
        <v>37.1</v>
      </c>
      <c r="D31" s="2">
        <v>33.5</v>
      </c>
      <c r="E31" s="2">
        <v>33.200000000000003</v>
      </c>
      <c r="F31" s="2">
        <v>36.700000000000003</v>
      </c>
      <c r="G31" s="2">
        <v>36.1</v>
      </c>
      <c r="H31" s="2">
        <v>37.4</v>
      </c>
      <c r="I31" s="2">
        <v>35.4</v>
      </c>
      <c r="J31" s="2">
        <v>34.6</v>
      </c>
      <c r="K31" s="2">
        <v>34.200000000000003</v>
      </c>
      <c r="L31" s="2">
        <v>38.299999999999997</v>
      </c>
      <c r="M31" s="2">
        <v>36.1</v>
      </c>
      <c r="N31" s="2">
        <v>39.9</v>
      </c>
      <c r="O31" s="2">
        <v>34.5</v>
      </c>
      <c r="P31" s="2">
        <v>33.5</v>
      </c>
      <c r="Q31" s="2">
        <v>34.9</v>
      </c>
      <c r="R31" s="2">
        <v>33.299999999999997</v>
      </c>
      <c r="S31" s="2">
        <v>32.4</v>
      </c>
      <c r="T31" s="2">
        <v>37.200000000000003</v>
      </c>
      <c r="U31" s="2">
        <v>34.6</v>
      </c>
      <c r="V31" s="22">
        <v>36.4</v>
      </c>
      <c r="X31" s="20">
        <f t="shared" si="0"/>
        <v>35.464999999999996</v>
      </c>
      <c r="Y31" s="21">
        <f t="shared" si="1"/>
        <v>1.8924256920682512</v>
      </c>
      <c r="Z31" s="3"/>
      <c r="AA31" s="20">
        <f>AVERAGE(X31:X34)</f>
        <v>33.597499999999997</v>
      </c>
      <c r="AB31" s="19">
        <f>_xlfn.STDEV.P(X31:X34)</f>
        <v>1.4353941096437564</v>
      </c>
    </row>
    <row r="32" spans="1:28" x14ac:dyDescent="0.25">
      <c r="A32" s="18"/>
      <c r="B32" s="17">
        <v>2</v>
      </c>
      <c r="C32" s="16">
        <v>30.3</v>
      </c>
      <c r="D32" s="15">
        <v>31.6</v>
      </c>
      <c r="E32" s="15">
        <v>32.799999999999997</v>
      </c>
      <c r="F32" s="15">
        <v>33.700000000000003</v>
      </c>
      <c r="G32" s="15">
        <v>35.700000000000003</v>
      </c>
      <c r="H32" s="15">
        <v>30</v>
      </c>
      <c r="I32" s="15">
        <v>29.8</v>
      </c>
      <c r="J32" s="15">
        <v>31.9</v>
      </c>
      <c r="K32" s="15">
        <v>34</v>
      </c>
      <c r="L32" s="15">
        <v>32.799999999999997</v>
      </c>
      <c r="M32" s="15">
        <v>34.700000000000003</v>
      </c>
      <c r="N32" s="15">
        <v>32.700000000000003</v>
      </c>
      <c r="O32" s="15">
        <v>30.3</v>
      </c>
      <c r="P32" s="15">
        <v>28.7</v>
      </c>
      <c r="Q32" s="15">
        <v>30.8</v>
      </c>
      <c r="R32" s="15">
        <v>31.7</v>
      </c>
      <c r="S32" s="15">
        <v>34.5</v>
      </c>
      <c r="T32" s="15">
        <v>31.6</v>
      </c>
      <c r="U32" s="15">
        <v>30.1</v>
      </c>
      <c r="V32" s="14">
        <v>32.5</v>
      </c>
      <c r="X32" s="13">
        <f t="shared" si="0"/>
        <v>32.010000000000005</v>
      </c>
      <c r="Y32" s="3">
        <f t="shared" si="1"/>
        <v>1.8319115699181556</v>
      </c>
      <c r="Z32" s="3"/>
      <c r="AA32" s="12"/>
      <c r="AB32" s="11"/>
    </row>
    <row r="33" spans="1:28" x14ac:dyDescent="0.25">
      <c r="A33" s="18"/>
      <c r="B33" s="17">
        <v>3</v>
      </c>
      <c r="C33" s="16">
        <v>16.399999999999999</v>
      </c>
      <c r="D33" s="15">
        <v>33.799999999999997</v>
      </c>
      <c r="E33" s="15">
        <v>35.4</v>
      </c>
      <c r="F33" s="15">
        <v>35.5</v>
      </c>
      <c r="G33" s="15">
        <v>36.9</v>
      </c>
      <c r="H33" s="15">
        <v>24.8</v>
      </c>
      <c r="I33" s="15">
        <v>32.5</v>
      </c>
      <c r="J33" s="15">
        <v>37.200000000000003</v>
      </c>
      <c r="K33" s="15">
        <v>38.9</v>
      </c>
      <c r="L33" s="15">
        <v>38.9</v>
      </c>
      <c r="M33" s="15">
        <v>32.700000000000003</v>
      </c>
      <c r="N33" s="15">
        <v>37.200000000000003</v>
      </c>
      <c r="O33" s="15">
        <v>36.9</v>
      </c>
      <c r="P33" s="15">
        <v>35.4</v>
      </c>
      <c r="Q33" s="15">
        <v>34.6</v>
      </c>
      <c r="R33" s="15">
        <v>34.200000000000003</v>
      </c>
      <c r="S33" s="15">
        <v>34.4</v>
      </c>
      <c r="T33" s="15">
        <v>36.700000000000003</v>
      </c>
      <c r="U33" s="15">
        <v>38.799999999999997</v>
      </c>
      <c r="V33" s="14">
        <v>38.9</v>
      </c>
      <c r="X33" s="13">
        <f t="shared" si="0"/>
        <v>34.504999999999995</v>
      </c>
      <c r="Y33" s="3">
        <f t="shared" si="1"/>
        <v>5.1945620604628484</v>
      </c>
      <c r="Z33" s="3"/>
      <c r="AA33" s="12"/>
      <c r="AB33" s="11"/>
    </row>
    <row r="34" spans="1:28" ht="15.75" thickBot="1" x14ac:dyDescent="0.3">
      <c r="A34" s="33"/>
      <c r="B34" s="32">
        <v>4</v>
      </c>
      <c r="C34" s="19">
        <v>33.4</v>
      </c>
      <c r="D34" s="31">
        <v>33.700000000000003</v>
      </c>
      <c r="E34" s="31">
        <v>30.9</v>
      </c>
      <c r="F34" s="31">
        <v>33.4</v>
      </c>
      <c r="G34" s="31">
        <v>34</v>
      </c>
      <c r="H34" s="31">
        <v>32.1</v>
      </c>
      <c r="I34" s="31">
        <v>35.299999999999997</v>
      </c>
      <c r="J34" s="31">
        <v>33.299999999999997</v>
      </c>
      <c r="K34" s="31">
        <v>31.4</v>
      </c>
      <c r="L34" s="31">
        <v>32.4</v>
      </c>
      <c r="M34" s="31">
        <v>31.9</v>
      </c>
      <c r="N34" s="31">
        <v>30.7</v>
      </c>
      <c r="O34" s="31">
        <v>33.6</v>
      </c>
      <c r="P34" s="31">
        <v>22.9</v>
      </c>
      <c r="Q34" s="31">
        <v>30.4</v>
      </c>
      <c r="R34" s="31">
        <v>33.4</v>
      </c>
      <c r="S34" s="31">
        <v>34.9</v>
      </c>
      <c r="T34" s="31">
        <v>33.4</v>
      </c>
      <c r="U34" s="31">
        <v>33</v>
      </c>
      <c r="V34" s="30">
        <v>34.1</v>
      </c>
      <c r="X34" s="5">
        <f t="shared" si="0"/>
        <v>32.409999999999997</v>
      </c>
      <c r="Y34" s="4">
        <f t="shared" si="1"/>
        <v>2.5410430929049594</v>
      </c>
      <c r="Z34" s="3"/>
      <c r="AA34" s="2"/>
      <c r="AB34" s="1"/>
    </row>
    <row r="35" spans="1:28" x14ac:dyDescent="0.25">
      <c r="A35" s="29" t="s">
        <v>35</v>
      </c>
      <c r="B35" s="28">
        <v>1</v>
      </c>
      <c r="C35" s="27">
        <v>27.9</v>
      </c>
      <c r="D35" s="26">
        <v>34.700000000000003</v>
      </c>
      <c r="E35" s="26">
        <v>33.299999999999997</v>
      </c>
      <c r="F35" s="26">
        <v>37.299999999999997</v>
      </c>
      <c r="G35" s="26">
        <v>39</v>
      </c>
      <c r="H35" s="26">
        <v>39.4</v>
      </c>
      <c r="I35" s="26">
        <v>37.5</v>
      </c>
      <c r="J35" s="26">
        <v>38.1</v>
      </c>
      <c r="K35" s="26">
        <v>35.5</v>
      </c>
      <c r="L35" s="26">
        <v>38.200000000000003</v>
      </c>
      <c r="M35" s="26">
        <v>33.6</v>
      </c>
      <c r="N35" s="26">
        <v>38.799999999999997</v>
      </c>
      <c r="O35" s="26">
        <v>41.1</v>
      </c>
      <c r="P35" s="26">
        <v>40.4</v>
      </c>
      <c r="Q35" s="26">
        <v>38.6</v>
      </c>
      <c r="R35" s="26">
        <v>35.799999999999997</v>
      </c>
      <c r="S35" s="26">
        <v>39.200000000000003</v>
      </c>
      <c r="T35" s="26">
        <v>39.700000000000003</v>
      </c>
      <c r="U35" s="26">
        <v>37.1</v>
      </c>
      <c r="V35" s="25">
        <v>36.6</v>
      </c>
      <c r="X35" s="20">
        <f t="shared" si="0"/>
        <v>37.090000000000011</v>
      </c>
      <c r="Y35" s="21">
        <f t="shared" si="1"/>
        <v>2.967305174733466</v>
      </c>
      <c r="Z35" s="3"/>
      <c r="AA35" s="20">
        <f>AVERAGE(X35:X38)</f>
        <v>41.311250000000008</v>
      </c>
      <c r="AB35" s="19">
        <f>_xlfn.STDEV.P(X35:X38)</f>
        <v>2.4784429966210615</v>
      </c>
    </row>
    <row r="36" spans="1:28" x14ac:dyDescent="0.25">
      <c r="A36" s="18"/>
      <c r="B36" s="17">
        <v>2</v>
      </c>
      <c r="C36" s="16">
        <v>42.1</v>
      </c>
      <c r="D36" s="15">
        <v>44.8</v>
      </c>
      <c r="E36" s="15">
        <v>41.5</v>
      </c>
      <c r="F36" s="15">
        <v>43.7</v>
      </c>
      <c r="G36" s="15">
        <v>40.299999999999997</v>
      </c>
      <c r="H36" s="15">
        <v>42</v>
      </c>
      <c r="I36" s="15">
        <v>43.5</v>
      </c>
      <c r="J36" s="15">
        <v>43.8</v>
      </c>
      <c r="K36" s="15">
        <v>43.5</v>
      </c>
      <c r="L36" s="15">
        <v>45.3</v>
      </c>
      <c r="M36" s="15">
        <v>43.6</v>
      </c>
      <c r="N36" s="15">
        <v>42.3</v>
      </c>
      <c r="O36" s="15">
        <v>43.1</v>
      </c>
      <c r="P36" s="15">
        <v>40.299999999999997</v>
      </c>
      <c r="Q36" s="15">
        <v>42.2</v>
      </c>
      <c r="R36" s="15">
        <v>40</v>
      </c>
      <c r="S36" s="15">
        <v>39.9</v>
      </c>
      <c r="T36" s="15">
        <v>41.9</v>
      </c>
      <c r="U36" s="15">
        <v>39.700000000000003</v>
      </c>
      <c r="V36" s="14">
        <v>42.2</v>
      </c>
      <c r="X36" s="13">
        <f t="shared" si="0"/>
        <v>42.285000000000011</v>
      </c>
      <c r="Y36" s="3">
        <f t="shared" si="1"/>
        <v>1.6035195664537427</v>
      </c>
      <c r="Z36" s="3"/>
      <c r="AA36" s="12"/>
      <c r="AB36" s="11"/>
    </row>
    <row r="37" spans="1:28" x14ac:dyDescent="0.25">
      <c r="A37" s="18"/>
      <c r="B37" s="17">
        <v>3</v>
      </c>
      <c r="C37" s="16">
        <v>45.2</v>
      </c>
      <c r="D37" s="15">
        <v>44.3</v>
      </c>
      <c r="E37" s="15">
        <v>37.299999999999997</v>
      </c>
      <c r="F37" s="15">
        <v>43.9</v>
      </c>
      <c r="G37" s="15">
        <v>42</v>
      </c>
      <c r="H37" s="15">
        <v>46.4</v>
      </c>
      <c r="I37" s="15">
        <v>44.1</v>
      </c>
      <c r="J37" s="15">
        <v>40</v>
      </c>
      <c r="K37" s="15">
        <v>43.8</v>
      </c>
      <c r="L37" s="15">
        <v>43.9</v>
      </c>
      <c r="M37" s="15">
        <v>41.9</v>
      </c>
      <c r="N37" s="15">
        <v>44.3</v>
      </c>
      <c r="O37" s="15">
        <v>44.3</v>
      </c>
      <c r="P37" s="15">
        <v>39.5</v>
      </c>
      <c r="Q37" s="15">
        <v>41.6</v>
      </c>
      <c r="R37" s="15">
        <v>36.700000000000003</v>
      </c>
      <c r="S37" s="15">
        <v>38.700000000000003</v>
      </c>
      <c r="T37" s="15">
        <v>43.7</v>
      </c>
      <c r="U37" s="15">
        <v>41.6</v>
      </c>
      <c r="V37" s="14">
        <v>45.2</v>
      </c>
      <c r="X37" s="13">
        <f t="shared" si="0"/>
        <v>42.42</v>
      </c>
      <c r="Y37" s="3">
        <f t="shared" si="1"/>
        <v>2.6607517734655364</v>
      </c>
      <c r="Z37" s="3"/>
      <c r="AA37" s="12"/>
      <c r="AB37" s="11"/>
    </row>
    <row r="38" spans="1:28" ht="15.75" thickBot="1" x14ac:dyDescent="0.3">
      <c r="A38" s="10"/>
      <c r="B38" s="9">
        <v>4</v>
      </c>
      <c r="C38" s="8">
        <v>42.2</v>
      </c>
      <c r="D38" s="7">
        <v>41.9</v>
      </c>
      <c r="E38" s="7">
        <v>43.9</v>
      </c>
      <c r="F38" s="7">
        <v>43.9</v>
      </c>
      <c r="G38" s="7">
        <v>45.5</v>
      </c>
      <c r="H38" s="7">
        <v>44.7</v>
      </c>
      <c r="I38" s="7">
        <v>41.7</v>
      </c>
      <c r="J38" s="7">
        <v>45</v>
      </c>
      <c r="K38" s="7">
        <v>40.799999999999997</v>
      </c>
      <c r="L38" s="7">
        <v>38.9</v>
      </c>
      <c r="M38" s="7">
        <v>44.5</v>
      </c>
      <c r="N38" s="7">
        <v>40.9</v>
      </c>
      <c r="O38" s="7">
        <v>41.5</v>
      </c>
      <c r="P38" s="7">
        <v>45.7</v>
      </c>
      <c r="Q38" s="7">
        <v>45.9</v>
      </c>
      <c r="R38" s="7">
        <v>44.7</v>
      </c>
      <c r="S38" s="7">
        <v>44.4</v>
      </c>
      <c r="T38" s="7">
        <v>42.1</v>
      </c>
      <c r="U38" s="7">
        <v>45.5</v>
      </c>
      <c r="V38" s="6">
        <v>45.3</v>
      </c>
      <c r="X38" s="5">
        <f t="shared" si="0"/>
        <v>43.45</v>
      </c>
      <c r="Y38" s="4">
        <f t="shared" si="1"/>
        <v>1.9711671669343525</v>
      </c>
      <c r="Z38" s="3"/>
      <c r="AA38" s="2"/>
      <c r="AB38" s="1"/>
    </row>
    <row r="39" spans="1:28" x14ac:dyDescent="0.25">
      <c r="A39" s="24" t="s">
        <v>36</v>
      </c>
      <c r="B39" s="23">
        <v>1</v>
      </c>
      <c r="C39" s="1">
        <v>35.6</v>
      </c>
      <c r="D39" s="2">
        <v>36.200000000000003</v>
      </c>
      <c r="E39" s="2">
        <v>35.299999999999997</v>
      </c>
      <c r="F39" s="2">
        <v>32.799999999999997</v>
      </c>
      <c r="G39" s="2">
        <v>35.299999999999997</v>
      </c>
      <c r="H39" s="2">
        <v>37.799999999999997</v>
      </c>
      <c r="I39" s="2">
        <v>30.7</v>
      </c>
      <c r="J39" s="2">
        <v>35.799999999999997</v>
      </c>
      <c r="K39" s="2">
        <v>38.1</v>
      </c>
      <c r="L39" s="2">
        <v>38.4</v>
      </c>
      <c r="M39" s="2">
        <v>37.1</v>
      </c>
      <c r="N39" s="2">
        <v>32.9</v>
      </c>
      <c r="O39" s="2">
        <v>36</v>
      </c>
      <c r="P39" s="2">
        <v>40.5</v>
      </c>
      <c r="Q39" s="2">
        <v>35.9</v>
      </c>
      <c r="R39" s="2">
        <v>36.1</v>
      </c>
      <c r="S39" s="2">
        <v>32.799999999999997</v>
      </c>
      <c r="T39" s="2">
        <v>35.799999999999997</v>
      </c>
      <c r="U39" s="2">
        <v>33.5</v>
      </c>
      <c r="V39" s="22">
        <v>34.700000000000003</v>
      </c>
      <c r="X39" s="20">
        <f t="shared" si="0"/>
        <v>35.564999999999998</v>
      </c>
      <c r="Y39" s="21">
        <f t="shared" si="1"/>
        <v>2.2190707514633239</v>
      </c>
      <c r="Z39" s="3"/>
      <c r="AA39" s="20">
        <f>AVERAGE(X39:X42)</f>
        <v>36.003749999999997</v>
      </c>
      <c r="AB39" s="19">
        <f>_xlfn.STDEV.P(X39:X42)</f>
        <v>0.76506025089531093</v>
      </c>
    </row>
    <row r="40" spans="1:28" x14ac:dyDescent="0.25">
      <c r="A40" s="18"/>
      <c r="B40" s="17">
        <v>2</v>
      </c>
      <c r="C40" s="16">
        <v>36.700000000000003</v>
      </c>
      <c r="D40" s="15">
        <v>34.9</v>
      </c>
      <c r="E40" s="15">
        <v>35.1</v>
      </c>
      <c r="F40" s="15">
        <v>35.200000000000003</v>
      </c>
      <c r="G40" s="15">
        <v>39.299999999999997</v>
      </c>
      <c r="H40" s="15">
        <v>33.799999999999997</v>
      </c>
      <c r="I40" s="15">
        <v>37.299999999999997</v>
      </c>
      <c r="J40" s="15">
        <v>33.1</v>
      </c>
      <c r="K40" s="15">
        <v>34.299999999999997</v>
      </c>
      <c r="L40" s="15">
        <v>33.6</v>
      </c>
      <c r="M40" s="15">
        <v>33.200000000000003</v>
      </c>
      <c r="N40" s="15">
        <v>37.200000000000003</v>
      </c>
      <c r="O40" s="15">
        <v>33.700000000000003</v>
      </c>
      <c r="P40" s="15">
        <v>36.1</v>
      </c>
      <c r="Q40" s="15">
        <v>34.799999999999997</v>
      </c>
      <c r="R40" s="15">
        <v>35</v>
      </c>
      <c r="S40" s="15">
        <v>38.4</v>
      </c>
      <c r="T40" s="15">
        <v>39.6</v>
      </c>
      <c r="U40" s="15">
        <v>30.5</v>
      </c>
      <c r="V40" s="14">
        <v>37</v>
      </c>
      <c r="X40" s="13">
        <f t="shared" si="0"/>
        <v>35.440000000000005</v>
      </c>
      <c r="Y40" s="3">
        <f t="shared" si="1"/>
        <v>2.2175211385689195</v>
      </c>
      <c r="Z40" s="3"/>
      <c r="AA40" s="12"/>
      <c r="AB40" s="11"/>
    </row>
    <row r="41" spans="1:28" x14ac:dyDescent="0.25">
      <c r="A41" s="18"/>
      <c r="B41" s="17">
        <v>3</v>
      </c>
      <c r="C41" s="16">
        <v>37.5</v>
      </c>
      <c r="D41" s="15">
        <v>38.299999999999997</v>
      </c>
      <c r="E41" s="15">
        <v>38.700000000000003</v>
      </c>
      <c r="F41" s="15">
        <v>38.6</v>
      </c>
      <c r="G41" s="15">
        <v>34.6</v>
      </c>
      <c r="H41" s="15">
        <v>36.299999999999997</v>
      </c>
      <c r="I41" s="15">
        <v>40.799999999999997</v>
      </c>
      <c r="J41" s="15">
        <v>38.200000000000003</v>
      </c>
      <c r="K41" s="15">
        <v>38</v>
      </c>
      <c r="L41" s="15">
        <v>38.4</v>
      </c>
      <c r="M41" s="15">
        <v>36.9</v>
      </c>
      <c r="N41" s="15">
        <v>37</v>
      </c>
      <c r="O41" s="15">
        <v>35.200000000000003</v>
      </c>
      <c r="P41" s="15">
        <v>34.299999999999997</v>
      </c>
      <c r="Q41" s="15">
        <v>37.1</v>
      </c>
      <c r="R41" s="15">
        <v>36.4</v>
      </c>
      <c r="S41" s="15">
        <v>37.4</v>
      </c>
      <c r="T41" s="15">
        <v>35.4</v>
      </c>
      <c r="U41" s="15">
        <v>36.299999999999997</v>
      </c>
      <c r="V41" s="14">
        <v>41</v>
      </c>
      <c r="X41" s="13">
        <f t="shared" si="0"/>
        <v>37.319999999999993</v>
      </c>
      <c r="Y41" s="3">
        <f t="shared" si="1"/>
        <v>1.74</v>
      </c>
      <c r="Z41" s="3"/>
      <c r="AA41" s="12"/>
      <c r="AB41" s="11"/>
    </row>
    <row r="42" spans="1:28" ht="15.75" thickBot="1" x14ac:dyDescent="0.3">
      <c r="A42" s="33"/>
      <c r="B42" s="32">
        <v>4</v>
      </c>
      <c r="C42" s="19">
        <v>36.700000000000003</v>
      </c>
      <c r="D42" s="31">
        <v>33.700000000000003</v>
      </c>
      <c r="E42" s="31">
        <v>32</v>
      </c>
      <c r="F42" s="31">
        <v>34.1</v>
      </c>
      <c r="G42" s="31">
        <v>35.200000000000003</v>
      </c>
      <c r="H42" s="31">
        <v>37.299999999999997</v>
      </c>
      <c r="I42" s="31">
        <v>36.200000000000003</v>
      </c>
      <c r="J42" s="31">
        <v>35.9</v>
      </c>
      <c r="K42" s="31">
        <v>35.9</v>
      </c>
      <c r="L42" s="31">
        <v>35.5</v>
      </c>
      <c r="M42" s="31">
        <v>38.700000000000003</v>
      </c>
      <c r="N42" s="31">
        <v>36.700000000000003</v>
      </c>
      <c r="O42" s="31">
        <v>39.6</v>
      </c>
      <c r="P42" s="31">
        <v>32.200000000000003</v>
      </c>
      <c r="Q42" s="31">
        <v>34</v>
      </c>
      <c r="R42" s="31">
        <v>38.4</v>
      </c>
      <c r="S42" s="31">
        <v>35.1</v>
      </c>
      <c r="T42" s="31">
        <v>35.9</v>
      </c>
      <c r="U42" s="31">
        <v>37.4</v>
      </c>
      <c r="V42" s="30">
        <v>33.299999999999997</v>
      </c>
      <c r="X42" s="5">
        <f t="shared" si="0"/>
        <v>35.689999999999991</v>
      </c>
      <c r="Y42" s="4">
        <f t="shared" si="1"/>
        <v>2.0139265130585078</v>
      </c>
      <c r="Z42" s="3"/>
      <c r="AA42" s="2"/>
      <c r="AB42" s="1"/>
    </row>
    <row r="43" spans="1:28" x14ac:dyDescent="0.25">
      <c r="A43" s="29" t="s">
        <v>37</v>
      </c>
      <c r="B43" s="28">
        <v>1</v>
      </c>
      <c r="C43" s="27">
        <v>39.9</v>
      </c>
      <c r="D43" s="26">
        <v>36.6</v>
      </c>
      <c r="E43" s="26">
        <v>41.2</v>
      </c>
      <c r="F43" s="26">
        <v>37.700000000000003</v>
      </c>
      <c r="G43" s="26">
        <v>35.4</v>
      </c>
      <c r="H43" s="26">
        <v>36.4</v>
      </c>
      <c r="I43" s="26">
        <v>33.799999999999997</v>
      </c>
      <c r="J43" s="26">
        <v>40.200000000000003</v>
      </c>
      <c r="K43" s="26">
        <v>37.700000000000003</v>
      </c>
      <c r="L43" s="26">
        <v>36.6</v>
      </c>
      <c r="M43" s="26">
        <v>37.9</v>
      </c>
      <c r="N43" s="26">
        <v>41.3</v>
      </c>
      <c r="O43" s="26">
        <v>42.3</v>
      </c>
      <c r="P43" s="26">
        <v>39.200000000000003</v>
      </c>
      <c r="Q43" s="26">
        <v>37</v>
      </c>
      <c r="R43" s="26">
        <v>34.6</v>
      </c>
      <c r="S43" s="26">
        <v>37.200000000000003</v>
      </c>
      <c r="T43" s="26">
        <v>34.799999999999997</v>
      </c>
      <c r="U43" s="26">
        <v>38</v>
      </c>
      <c r="V43" s="25">
        <v>39.700000000000003</v>
      </c>
      <c r="X43" s="20">
        <f t="shared" si="0"/>
        <v>37.875000000000007</v>
      </c>
      <c r="Y43" s="21">
        <f t="shared" si="1"/>
        <v>2.308652204209201</v>
      </c>
      <c r="Z43" s="3"/>
      <c r="AA43" s="20">
        <f>AVERAGE(X43:X46)</f>
        <v>39.882500000000007</v>
      </c>
      <c r="AB43" s="19">
        <f>_xlfn.STDEV.P(X43:X46)</f>
        <v>1.5769650440006551</v>
      </c>
    </row>
    <row r="44" spans="1:28" x14ac:dyDescent="0.25">
      <c r="A44" s="18"/>
      <c r="B44" s="17">
        <v>2</v>
      </c>
      <c r="C44" s="16">
        <v>36.799999999999997</v>
      </c>
      <c r="D44" s="15">
        <v>42.6</v>
      </c>
      <c r="E44" s="15">
        <v>40.5</v>
      </c>
      <c r="F44" s="15">
        <v>43.4</v>
      </c>
      <c r="G44" s="15">
        <v>38.700000000000003</v>
      </c>
      <c r="H44" s="15">
        <v>45.5</v>
      </c>
      <c r="I44" s="15">
        <v>43.5</v>
      </c>
      <c r="J44" s="15">
        <v>39.9</v>
      </c>
      <c r="K44" s="15">
        <v>42</v>
      </c>
      <c r="L44" s="15">
        <v>43.2</v>
      </c>
      <c r="M44" s="15">
        <v>40.700000000000003</v>
      </c>
      <c r="N44" s="15">
        <v>40.5</v>
      </c>
      <c r="O44" s="15">
        <v>45.1</v>
      </c>
      <c r="P44" s="15">
        <v>39.6</v>
      </c>
      <c r="Q44" s="15">
        <v>43.6</v>
      </c>
      <c r="R44" s="15">
        <v>43.2</v>
      </c>
      <c r="S44" s="15">
        <v>41.9</v>
      </c>
      <c r="T44" s="15">
        <v>42.5</v>
      </c>
      <c r="U44" s="15">
        <v>42.5</v>
      </c>
      <c r="V44" s="14">
        <v>38.799999999999997</v>
      </c>
      <c r="X44" s="13">
        <f t="shared" si="0"/>
        <v>41.725000000000001</v>
      </c>
      <c r="Y44" s="3">
        <f t="shared" si="1"/>
        <v>2.1840043498125188</v>
      </c>
      <c r="Z44" s="3"/>
      <c r="AA44" s="12"/>
      <c r="AB44" s="11"/>
    </row>
    <row r="45" spans="1:28" x14ac:dyDescent="0.25">
      <c r="A45" s="18"/>
      <c r="B45" s="17">
        <v>3</v>
      </c>
      <c r="C45" s="16">
        <v>39.4</v>
      </c>
      <c r="D45" s="15">
        <v>35.200000000000003</v>
      </c>
      <c r="E45" s="15">
        <v>37.700000000000003</v>
      </c>
      <c r="F45" s="15">
        <v>34.9</v>
      </c>
      <c r="G45" s="15">
        <v>39.4</v>
      </c>
      <c r="H45" s="15">
        <v>42.4</v>
      </c>
      <c r="I45" s="15">
        <v>38.5</v>
      </c>
      <c r="J45" s="15">
        <v>41.6</v>
      </c>
      <c r="K45" s="15">
        <v>35.200000000000003</v>
      </c>
      <c r="L45" s="15">
        <v>34</v>
      </c>
      <c r="M45" s="15">
        <v>38.9</v>
      </c>
      <c r="N45" s="15">
        <v>39.1</v>
      </c>
      <c r="O45" s="15">
        <v>39.1</v>
      </c>
      <c r="P45" s="15">
        <v>42</v>
      </c>
      <c r="Q45" s="15">
        <v>41.5</v>
      </c>
      <c r="R45" s="15">
        <v>40.200000000000003</v>
      </c>
      <c r="S45" s="15">
        <v>39.6</v>
      </c>
      <c r="T45" s="15">
        <v>40.6</v>
      </c>
      <c r="U45" s="15">
        <v>39</v>
      </c>
      <c r="V45" s="14">
        <v>38.6</v>
      </c>
      <c r="X45" s="13">
        <f t="shared" si="0"/>
        <v>38.845000000000013</v>
      </c>
      <c r="Y45" s="3">
        <f t="shared" si="1"/>
        <v>2.3514835742568985</v>
      </c>
      <c r="Z45" s="3"/>
      <c r="AA45" s="12"/>
      <c r="AB45" s="11"/>
    </row>
    <row r="46" spans="1:28" ht="15.75" thickBot="1" x14ac:dyDescent="0.3">
      <c r="A46" s="10"/>
      <c r="B46" s="9">
        <v>4</v>
      </c>
      <c r="C46" s="8">
        <v>42.9</v>
      </c>
      <c r="D46" s="7">
        <v>40.5</v>
      </c>
      <c r="E46" s="7">
        <v>38.4</v>
      </c>
      <c r="F46" s="7">
        <v>41.5</v>
      </c>
      <c r="G46" s="7">
        <v>45</v>
      </c>
      <c r="H46" s="7">
        <v>45.6</v>
      </c>
      <c r="I46" s="7">
        <v>41.9</v>
      </c>
      <c r="J46" s="7">
        <v>42.4</v>
      </c>
      <c r="K46" s="7">
        <v>39.6</v>
      </c>
      <c r="L46" s="7">
        <v>42</v>
      </c>
      <c r="M46" s="7">
        <v>35.1</v>
      </c>
      <c r="N46" s="7">
        <v>48.7</v>
      </c>
      <c r="O46" s="7">
        <v>40.5</v>
      </c>
      <c r="P46" s="7">
        <v>34.200000000000003</v>
      </c>
      <c r="Q46" s="7">
        <v>40.700000000000003</v>
      </c>
      <c r="R46" s="7">
        <v>44.5</v>
      </c>
      <c r="S46" s="7">
        <v>38.9</v>
      </c>
      <c r="T46" s="7">
        <v>39.4</v>
      </c>
      <c r="U46" s="7">
        <v>37.1</v>
      </c>
      <c r="V46" s="6">
        <v>42.8</v>
      </c>
      <c r="X46" s="5">
        <f t="shared" si="0"/>
        <v>41.085000000000001</v>
      </c>
      <c r="Y46" s="4">
        <f t="shared" si="1"/>
        <v>3.405624025050328</v>
      </c>
      <c r="Z46" s="3"/>
      <c r="AA46" s="2"/>
      <c r="AB46" s="1"/>
    </row>
    <row r="47" spans="1:28" x14ac:dyDescent="0.25">
      <c r="A47" s="29" t="s">
        <v>38</v>
      </c>
      <c r="B47" s="28">
        <v>1</v>
      </c>
      <c r="C47" s="1">
        <v>36.1</v>
      </c>
      <c r="D47" s="2">
        <v>34</v>
      </c>
      <c r="E47" s="2">
        <v>35.6</v>
      </c>
      <c r="F47" s="2">
        <v>37.6</v>
      </c>
      <c r="G47" s="2">
        <v>33.299999999999997</v>
      </c>
      <c r="H47" s="2">
        <v>33.4</v>
      </c>
      <c r="I47" s="2">
        <v>35.9</v>
      </c>
      <c r="J47" s="2">
        <v>34.5</v>
      </c>
      <c r="K47" s="2">
        <v>31.9</v>
      </c>
      <c r="L47" s="2">
        <v>36.9</v>
      </c>
      <c r="M47" s="2">
        <v>39.4</v>
      </c>
      <c r="N47" s="2">
        <v>36.200000000000003</v>
      </c>
      <c r="O47" s="2">
        <v>34.299999999999997</v>
      </c>
      <c r="P47" s="2">
        <v>37.200000000000003</v>
      </c>
      <c r="Q47" s="2">
        <v>35.700000000000003</v>
      </c>
      <c r="R47" s="2">
        <v>37.5</v>
      </c>
      <c r="S47" s="2">
        <v>36.9</v>
      </c>
      <c r="T47" s="2">
        <v>35.1</v>
      </c>
      <c r="U47" s="2">
        <v>33.9</v>
      </c>
      <c r="V47" s="22">
        <v>33.799999999999997</v>
      </c>
      <c r="X47" s="20">
        <f t="shared" si="0"/>
        <v>35.459999999999994</v>
      </c>
      <c r="Y47" s="21">
        <f t="shared" si="1"/>
        <v>1.7884071124886534</v>
      </c>
      <c r="Z47" s="3"/>
      <c r="AA47" s="20">
        <f>AVERAGE(X47:X50)</f>
        <v>36.186249999999994</v>
      </c>
      <c r="AB47" s="19">
        <f>_xlfn.STDEV.P(X47:X50)</f>
        <v>0.98328133690211117</v>
      </c>
    </row>
    <row r="48" spans="1:28" x14ac:dyDescent="0.25">
      <c r="A48" s="18"/>
      <c r="B48" s="17">
        <v>2</v>
      </c>
      <c r="C48" s="16">
        <v>32.9</v>
      </c>
      <c r="D48" s="15">
        <v>31.9</v>
      </c>
      <c r="E48" s="15">
        <v>35.5</v>
      </c>
      <c r="F48" s="15">
        <v>33.5</v>
      </c>
      <c r="G48" s="15">
        <v>40</v>
      </c>
      <c r="H48" s="15">
        <v>36.9</v>
      </c>
      <c r="I48" s="15">
        <v>38</v>
      </c>
      <c r="J48" s="15">
        <v>35.700000000000003</v>
      </c>
      <c r="K48" s="15">
        <v>33.700000000000003</v>
      </c>
      <c r="L48" s="15">
        <v>36.1</v>
      </c>
      <c r="M48" s="15">
        <v>34.200000000000003</v>
      </c>
      <c r="N48" s="15">
        <v>34.799999999999997</v>
      </c>
      <c r="O48" s="15">
        <v>35.9</v>
      </c>
      <c r="P48" s="15">
        <v>34.9</v>
      </c>
      <c r="Q48" s="15">
        <v>35.299999999999997</v>
      </c>
      <c r="R48" s="15">
        <v>32</v>
      </c>
      <c r="S48" s="15">
        <v>36.1</v>
      </c>
      <c r="T48" s="15">
        <v>31</v>
      </c>
      <c r="U48" s="15">
        <v>34.6</v>
      </c>
      <c r="V48" s="14">
        <v>38.6</v>
      </c>
      <c r="X48" s="13">
        <f t="shared" si="0"/>
        <v>35.08</v>
      </c>
      <c r="Y48" s="3">
        <f t="shared" si="1"/>
        <v>2.2171152428324516</v>
      </c>
      <c r="Z48" s="3"/>
      <c r="AA48" s="12"/>
      <c r="AB48" s="11"/>
    </row>
    <row r="49" spans="1:28" x14ac:dyDescent="0.25">
      <c r="A49" s="18"/>
      <c r="B49" s="17">
        <v>3</v>
      </c>
      <c r="C49" s="16">
        <v>36.5</v>
      </c>
      <c r="D49" s="15">
        <v>32.799999999999997</v>
      </c>
      <c r="E49" s="15">
        <v>34.9</v>
      </c>
      <c r="F49" s="15">
        <v>41.2</v>
      </c>
      <c r="G49" s="15">
        <v>36.9</v>
      </c>
      <c r="H49" s="15">
        <v>37.9</v>
      </c>
      <c r="I49" s="15">
        <v>39.1</v>
      </c>
      <c r="J49" s="15">
        <v>42.4</v>
      </c>
      <c r="K49" s="15">
        <v>39</v>
      </c>
      <c r="L49" s="15">
        <v>36.200000000000003</v>
      </c>
      <c r="M49" s="15">
        <v>37.700000000000003</v>
      </c>
      <c r="N49" s="15">
        <v>32.299999999999997</v>
      </c>
      <c r="O49" s="15">
        <v>36.5</v>
      </c>
      <c r="P49" s="15">
        <v>38.9</v>
      </c>
      <c r="Q49" s="15">
        <v>36.1</v>
      </c>
      <c r="R49" s="15">
        <v>35.9</v>
      </c>
      <c r="S49" s="15">
        <v>40.1</v>
      </c>
      <c r="T49" s="15">
        <v>41.4</v>
      </c>
      <c r="U49" s="15">
        <v>35.9</v>
      </c>
      <c r="V49" s="14">
        <v>39.700000000000003</v>
      </c>
      <c r="X49" s="13">
        <f t="shared" si="0"/>
        <v>37.57</v>
      </c>
      <c r="Y49" s="3">
        <f t="shared" si="1"/>
        <v>2.6306082946725469</v>
      </c>
      <c r="Z49" s="3"/>
      <c r="AA49" s="12"/>
      <c r="AB49" s="11"/>
    </row>
    <row r="50" spans="1:28" ht="15.75" thickBot="1" x14ac:dyDescent="0.3">
      <c r="A50" s="10"/>
      <c r="B50" s="9">
        <v>4</v>
      </c>
      <c r="C50" s="8">
        <v>34.4</v>
      </c>
      <c r="D50" s="7">
        <v>39.1</v>
      </c>
      <c r="E50" s="7">
        <v>38.4</v>
      </c>
      <c r="F50" s="7">
        <v>39</v>
      </c>
      <c r="G50" s="7">
        <v>35.200000000000003</v>
      </c>
      <c r="H50" s="7">
        <v>34.5</v>
      </c>
      <c r="I50" s="7">
        <v>34.6</v>
      </c>
      <c r="J50" s="7">
        <v>33.1</v>
      </c>
      <c r="K50" s="7">
        <v>38</v>
      </c>
      <c r="L50" s="7">
        <v>33.5</v>
      </c>
      <c r="M50" s="7">
        <v>32.1</v>
      </c>
      <c r="N50" s="7">
        <v>36</v>
      </c>
      <c r="O50" s="7">
        <v>38.200000000000003</v>
      </c>
      <c r="P50" s="7">
        <v>37.4</v>
      </c>
      <c r="Q50" s="7">
        <v>39.9</v>
      </c>
      <c r="R50" s="7">
        <v>37.9</v>
      </c>
      <c r="S50" s="7">
        <v>38</v>
      </c>
      <c r="T50" s="7">
        <v>37.6</v>
      </c>
      <c r="U50" s="7">
        <v>36.5</v>
      </c>
      <c r="V50" s="6">
        <v>39.299999999999997</v>
      </c>
      <c r="X50" s="5">
        <f t="shared" si="0"/>
        <v>36.634999999999998</v>
      </c>
      <c r="Y50" s="4">
        <f t="shared" si="1"/>
        <v>2.2461689606973017</v>
      </c>
      <c r="Z50" s="3"/>
      <c r="AA50" s="2"/>
      <c r="AB50" s="1"/>
    </row>
    <row r="51" spans="1:28" x14ac:dyDescent="0.25"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X51" s="52"/>
      <c r="Y51" s="51"/>
      <c r="Z51" s="51"/>
      <c r="AA51" s="51"/>
      <c r="AB51" s="51"/>
    </row>
    <row r="53" spans="1:28" ht="21.75" thickBot="1" x14ac:dyDescent="0.4">
      <c r="A53" s="50">
        <v>44693</v>
      </c>
      <c r="B53" s="50"/>
      <c r="C53" s="50"/>
    </row>
    <row r="54" spans="1:28" ht="15.75" thickBot="1" x14ac:dyDescent="0.3">
      <c r="A54" s="53" t="s">
        <v>25</v>
      </c>
      <c r="B54" s="54" t="s">
        <v>26</v>
      </c>
      <c r="C54" s="55" t="s">
        <v>39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6"/>
      <c r="X54" s="15" t="s">
        <v>3</v>
      </c>
      <c r="Y54" s="34" t="s">
        <v>2</v>
      </c>
      <c r="Z54" s="3"/>
      <c r="AA54" s="15" t="s">
        <v>1</v>
      </c>
      <c r="AB54" s="16" t="s">
        <v>0</v>
      </c>
    </row>
    <row r="55" spans="1:28" x14ac:dyDescent="0.25">
      <c r="A55" s="29" t="s">
        <v>27</v>
      </c>
      <c r="B55" s="28">
        <v>1</v>
      </c>
      <c r="C55" s="27">
        <v>29.7</v>
      </c>
      <c r="D55" s="26">
        <v>28.6</v>
      </c>
      <c r="E55" s="26">
        <v>29.4</v>
      </c>
      <c r="F55" s="26">
        <v>30.9</v>
      </c>
      <c r="G55" s="26">
        <v>31.4</v>
      </c>
      <c r="H55" s="26">
        <v>31.7</v>
      </c>
      <c r="I55" s="26">
        <v>27.7</v>
      </c>
      <c r="J55" s="26">
        <v>30.5</v>
      </c>
      <c r="K55" s="26">
        <v>32.9</v>
      </c>
      <c r="L55" s="26">
        <v>34</v>
      </c>
      <c r="M55" s="26">
        <v>31.5</v>
      </c>
      <c r="N55" s="26">
        <v>31.3</v>
      </c>
      <c r="O55" s="26">
        <v>35.9</v>
      </c>
      <c r="P55" s="26">
        <v>29.1</v>
      </c>
      <c r="Q55" s="26">
        <v>33.4</v>
      </c>
      <c r="R55" s="26">
        <v>30.4</v>
      </c>
      <c r="S55" s="26">
        <v>30.9</v>
      </c>
      <c r="T55" s="26">
        <v>31.9</v>
      </c>
      <c r="U55" s="26">
        <v>31.5</v>
      </c>
      <c r="V55" s="25">
        <v>31.4</v>
      </c>
      <c r="X55" s="20">
        <f t="shared" ref="X55:X102" si="2">AVERAGE(C55:V55)</f>
        <v>31.204999999999995</v>
      </c>
      <c r="Y55" s="21">
        <f t="shared" ref="Y55:Y102" si="3">_xlfn.STDEV.P(C55:V55)</f>
        <v>1.8559296861680936</v>
      </c>
      <c r="Z55" s="3"/>
      <c r="AA55" s="20">
        <f>AVERAGE(X55:X58)</f>
        <v>29.808749999999996</v>
      </c>
      <c r="AB55" s="19">
        <f>_xlfn.STDEV.P(X55:X58)</f>
        <v>0.82604763028532247</v>
      </c>
    </row>
    <row r="56" spans="1:28" x14ac:dyDescent="0.25">
      <c r="A56" s="18"/>
      <c r="B56" s="17">
        <v>2</v>
      </c>
      <c r="C56" s="16">
        <v>30.1</v>
      </c>
      <c r="D56" s="15">
        <v>30</v>
      </c>
      <c r="E56" s="15">
        <v>30.3</v>
      </c>
      <c r="F56" s="15">
        <v>26.6</v>
      </c>
      <c r="G56" s="15">
        <v>30</v>
      </c>
      <c r="H56" s="15">
        <v>30.9</v>
      </c>
      <c r="I56" s="15">
        <v>28</v>
      </c>
      <c r="J56" s="15">
        <v>32.1</v>
      </c>
      <c r="K56" s="15">
        <v>30.9</v>
      </c>
      <c r="L56" s="15">
        <v>28</v>
      </c>
      <c r="M56" s="15">
        <v>30.1</v>
      </c>
      <c r="N56" s="15">
        <v>26.5</v>
      </c>
      <c r="O56" s="15">
        <v>28.8</v>
      </c>
      <c r="P56" s="15">
        <v>31.1</v>
      </c>
      <c r="Q56" s="15">
        <v>31.6</v>
      </c>
      <c r="R56" s="15">
        <v>31.4</v>
      </c>
      <c r="S56" s="15">
        <v>28.1</v>
      </c>
      <c r="T56" s="15">
        <v>30.7</v>
      </c>
      <c r="U56" s="15">
        <v>27</v>
      </c>
      <c r="V56" s="14">
        <v>29.8</v>
      </c>
      <c r="X56" s="13">
        <f t="shared" si="2"/>
        <v>29.6</v>
      </c>
      <c r="Y56" s="3">
        <f t="shared" si="3"/>
        <v>1.6592166826548</v>
      </c>
      <c r="Z56" s="3"/>
      <c r="AA56" s="12"/>
      <c r="AB56" s="11"/>
    </row>
    <row r="57" spans="1:28" x14ac:dyDescent="0.25">
      <c r="A57" s="18"/>
      <c r="B57" s="17">
        <v>3</v>
      </c>
      <c r="C57" s="16">
        <v>29.9</v>
      </c>
      <c r="D57" s="15">
        <v>26.3</v>
      </c>
      <c r="E57" s="15">
        <v>28.1</v>
      </c>
      <c r="F57" s="15">
        <v>30.2</v>
      </c>
      <c r="G57" s="15">
        <v>27.6</v>
      </c>
      <c r="H57" s="15">
        <v>27.9</v>
      </c>
      <c r="I57" s="15">
        <v>28.9</v>
      </c>
      <c r="J57" s="15">
        <v>29.7</v>
      </c>
      <c r="K57" s="15">
        <v>31.1</v>
      </c>
      <c r="L57" s="15">
        <v>27.5</v>
      </c>
      <c r="M57" s="15">
        <v>31.8</v>
      </c>
      <c r="N57" s="15">
        <v>28</v>
      </c>
      <c r="O57" s="15">
        <v>29.2</v>
      </c>
      <c r="P57" s="15">
        <v>28.2</v>
      </c>
      <c r="Q57" s="15">
        <v>26.7</v>
      </c>
      <c r="R57" s="15">
        <v>29.5</v>
      </c>
      <c r="S57" s="15">
        <v>31.4</v>
      </c>
      <c r="T57" s="15">
        <v>32.5</v>
      </c>
      <c r="U57" s="15">
        <v>28.9</v>
      </c>
      <c r="V57" s="14">
        <v>28.4</v>
      </c>
      <c r="X57" s="13">
        <f t="shared" si="2"/>
        <v>29.089999999999996</v>
      </c>
      <c r="Y57" s="3">
        <f t="shared" si="3"/>
        <v>1.6425285385648554</v>
      </c>
      <c r="Z57" s="3"/>
      <c r="AA57" s="12"/>
      <c r="AB57" s="11"/>
    </row>
    <row r="58" spans="1:28" ht="15.75" thickBot="1" x14ac:dyDescent="0.3">
      <c r="A58" s="10"/>
      <c r="B58" s="9">
        <v>4</v>
      </c>
      <c r="C58" s="8">
        <v>31.9</v>
      </c>
      <c r="D58" s="7">
        <v>29.7</v>
      </c>
      <c r="E58" s="7">
        <v>29.4</v>
      </c>
      <c r="F58" s="7">
        <v>29.2</v>
      </c>
      <c r="G58" s="7">
        <v>29.9</v>
      </c>
      <c r="H58" s="7">
        <v>28.8</v>
      </c>
      <c r="I58" s="7">
        <v>28.7</v>
      </c>
      <c r="J58" s="7">
        <v>31.7</v>
      </c>
      <c r="K58" s="7">
        <v>28.9</v>
      </c>
      <c r="L58" s="7">
        <v>34.799999999999997</v>
      </c>
      <c r="M58" s="7">
        <v>29.6</v>
      </c>
      <c r="N58" s="7">
        <v>26.5</v>
      </c>
      <c r="O58" s="7">
        <v>29.1</v>
      </c>
      <c r="P58" s="7">
        <v>29.1</v>
      </c>
      <c r="Q58" s="7">
        <v>29.1</v>
      </c>
      <c r="R58" s="7">
        <v>27.9</v>
      </c>
      <c r="S58" s="7">
        <v>31.9</v>
      </c>
      <c r="T58" s="7">
        <v>27.7</v>
      </c>
      <c r="U58" s="7">
        <v>27.9</v>
      </c>
      <c r="V58" s="6">
        <v>25</v>
      </c>
      <c r="X58" s="5">
        <f t="shared" si="2"/>
        <v>29.340000000000003</v>
      </c>
      <c r="Y58" s="4">
        <f t="shared" si="3"/>
        <v>2.0472908928630531</v>
      </c>
      <c r="Z58" s="3"/>
      <c r="AA58" s="2"/>
      <c r="AB58" s="1"/>
    </row>
    <row r="59" spans="1:28" x14ac:dyDescent="0.25">
      <c r="A59" s="24" t="s">
        <v>28</v>
      </c>
      <c r="B59" s="23">
        <v>1</v>
      </c>
      <c r="C59" s="1">
        <v>27.6</v>
      </c>
      <c r="D59" s="2">
        <v>29.4</v>
      </c>
      <c r="E59" s="2">
        <v>27.9</v>
      </c>
      <c r="F59" s="2">
        <v>30.8</v>
      </c>
      <c r="G59" s="2">
        <v>27</v>
      </c>
      <c r="H59" s="2">
        <v>28</v>
      </c>
      <c r="I59" s="2">
        <v>30.7</v>
      </c>
      <c r="J59" s="2">
        <v>28.3</v>
      </c>
      <c r="K59" s="2">
        <v>28.5</v>
      </c>
      <c r="L59" s="2">
        <v>29.1</v>
      </c>
      <c r="M59" s="2">
        <v>27.5</v>
      </c>
      <c r="N59" s="2">
        <v>30.1</v>
      </c>
      <c r="O59" s="2">
        <v>29.3</v>
      </c>
      <c r="P59" s="2">
        <v>29.3</v>
      </c>
      <c r="Q59" s="2">
        <v>27.9</v>
      </c>
      <c r="R59" s="2">
        <v>25.7</v>
      </c>
      <c r="S59" s="2">
        <v>28</v>
      </c>
      <c r="T59" s="2">
        <v>29.6</v>
      </c>
      <c r="U59" s="2">
        <v>31.2</v>
      </c>
      <c r="V59" s="22">
        <v>31.2</v>
      </c>
      <c r="X59" s="20">
        <f t="shared" si="2"/>
        <v>28.855000000000008</v>
      </c>
      <c r="Y59" s="21">
        <f t="shared" si="3"/>
        <v>1.4416917146186281</v>
      </c>
      <c r="Z59" s="3"/>
      <c r="AA59" s="20">
        <f>AVERAGE(X59:X62)</f>
        <v>27.262500000000003</v>
      </c>
      <c r="AB59" s="19">
        <f>_xlfn.STDEV.P(X59:X62)</f>
        <v>1.0838271310499672</v>
      </c>
    </row>
    <row r="60" spans="1:28" x14ac:dyDescent="0.25">
      <c r="A60" s="18"/>
      <c r="B60" s="17">
        <v>2</v>
      </c>
      <c r="C60" s="16">
        <v>29</v>
      </c>
      <c r="D60" s="15">
        <v>27.7</v>
      </c>
      <c r="E60" s="15">
        <v>26.9</v>
      </c>
      <c r="F60" s="15">
        <v>27.2</v>
      </c>
      <c r="G60" s="15">
        <v>26.5</v>
      </c>
      <c r="H60" s="15">
        <v>29.1</v>
      </c>
      <c r="I60" s="15">
        <v>27.8</v>
      </c>
      <c r="J60" s="15">
        <v>26.6</v>
      </c>
      <c r="K60" s="15">
        <v>27.8</v>
      </c>
      <c r="L60" s="15">
        <v>26.3</v>
      </c>
      <c r="M60" s="15">
        <v>29.3</v>
      </c>
      <c r="N60" s="15">
        <v>28.1</v>
      </c>
      <c r="O60" s="15">
        <v>27.5</v>
      </c>
      <c r="P60" s="15">
        <v>25.9</v>
      </c>
      <c r="Q60" s="15">
        <v>27.2</v>
      </c>
      <c r="R60" s="15">
        <v>20.2</v>
      </c>
      <c r="S60" s="15">
        <v>29.5</v>
      </c>
      <c r="T60" s="15">
        <v>26.1</v>
      </c>
      <c r="U60" s="15">
        <v>28.9</v>
      </c>
      <c r="V60" s="14">
        <v>24.6</v>
      </c>
      <c r="X60" s="13">
        <f t="shared" si="2"/>
        <v>27.110000000000003</v>
      </c>
      <c r="Y60" s="3">
        <f t="shared" si="3"/>
        <v>2.01938109330557</v>
      </c>
      <c r="Z60" s="3"/>
      <c r="AA60" s="12"/>
      <c r="AB60" s="11"/>
    </row>
    <row r="61" spans="1:28" x14ac:dyDescent="0.25">
      <c r="A61" s="18"/>
      <c r="B61" s="17">
        <v>3</v>
      </c>
      <c r="C61" s="16">
        <v>29.8</v>
      </c>
      <c r="D61" s="15">
        <v>26.3</v>
      </c>
      <c r="E61" s="15">
        <v>27.4</v>
      </c>
      <c r="F61" s="15">
        <v>19.600000000000001</v>
      </c>
      <c r="G61" s="15">
        <v>20.6</v>
      </c>
      <c r="H61" s="15">
        <v>20.3</v>
      </c>
      <c r="I61" s="15">
        <v>26.3</v>
      </c>
      <c r="J61" s="15">
        <v>26.3</v>
      </c>
      <c r="K61" s="15">
        <v>27.4</v>
      </c>
      <c r="L61" s="15">
        <v>24</v>
      </c>
      <c r="M61" s="15">
        <v>24.4</v>
      </c>
      <c r="N61" s="15">
        <v>24.9</v>
      </c>
      <c r="O61" s="15">
        <v>28.8</v>
      </c>
      <c r="P61" s="15">
        <v>29.2</v>
      </c>
      <c r="Q61" s="15">
        <v>29.1</v>
      </c>
      <c r="R61" s="15">
        <v>20.3</v>
      </c>
      <c r="S61" s="15">
        <v>27.4</v>
      </c>
      <c r="T61" s="15">
        <v>29.1</v>
      </c>
      <c r="U61" s="15">
        <v>26.1</v>
      </c>
      <c r="V61" s="14">
        <v>28.7</v>
      </c>
      <c r="X61" s="13">
        <f t="shared" si="2"/>
        <v>25.800000000000004</v>
      </c>
      <c r="Y61" s="3">
        <f t="shared" si="3"/>
        <v>3.2191613814780609</v>
      </c>
      <c r="Z61" s="3"/>
      <c r="AA61" s="12"/>
      <c r="AB61" s="11"/>
    </row>
    <row r="62" spans="1:28" ht="15.75" thickBot="1" x14ac:dyDescent="0.3">
      <c r="A62" s="33"/>
      <c r="B62" s="32">
        <v>4</v>
      </c>
      <c r="C62" s="19">
        <v>24.2</v>
      </c>
      <c r="D62" s="31">
        <v>26</v>
      </c>
      <c r="E62" s="31">
        <v>26.1</v>
      </c>
      <c r="F62" s="31">
        <v>28.9</v>
      </c>
      <c r="G62" s="31">
        <v>27.1</v>
      </c>
      <c r="H62" s="31">
        <v>28.2</v>
      </c>
      <c r="I62" s="31">
        <v>30.1</v>
      </c>
      <c r="J62" s="31">
        <v>26.8</v>
      </c>
      <c r="K62" s="31">
        <v>27.7</v>
      </c>
      <c r="L62" s="31">
        <v>21.6</v>
      </c>
      <c r="M62" s="31">
        <v>25.8</v>
      </c>
      <c r="N62" s="31">
        <v>27.8</v>
      </c>
      <c r="O62" s="31">
        <v>28.2</v>
      </c>
      <c r="P62" s="31">
        <v>28.6</v>
      </c>
      <c r="Q62" s="31">
        <v>27.8</v>
      </c>
      <c r="R62" s="31">
        <v>28.9</v>
      </c>
      <c r="S62" s="31">
        <v>27.3</v>
      </c>
      <c r="T62" s="31">
        <v>26.4</v>
      </c>
      <c r="U62" s="31">
        <v>28.5</v>
      </c>
      <c r="V62" s="30">
        <v>29.7</v>
      </c>
      <c r="X62" s="5">
        <f t="shared" si="2"/>
        <v>27.285000000000004</v>
      </c>
      <c r="Y62" s="4">
        <f t="shared" si="3"/>
        <v>1.9066397142617162</v>
      </c>
      <c r="Z62" s="3"/>
      <c r="AA62" s="2"/>
      <c r="AB62" s="1"/>
    </row>
    <row r="63" spans="1:28" x14ac:dyDescent="0.25">
      <c r="A63" s="29" t="s">
        <v>29</v>
      </c>
      <c r="B63" s="28">
        <v>1</v>
      </c>
      <c r="C63" s="27">
        <v>32.4</v>
      </c>
      <c r="D63" s="26">
        <v>30.1</v>
      </c>
      <c r="E63" s="26">
        <v>31.5</v>
      </c>
      <c r="F63" s="26">
        <v>31.9</v>
      </c>
      <c r="G63" s="26">
        <v>22</v>
      </c>
      <c r="H63" s="26">
        <v>31.6</v>
      </c>
      <c r="I63" s="26">
        <v>31.8</v>
      </c>
      <c r="J63" s="26">
        <v>33.4</v>
      </c>
      <c r="K63" s="26">
        <v>30.3</v>
      </c>
      <c r="L63" s="26">
        <v>28.2</v>
      </c>
      <c r="M63" s="26">
        <v>26.5</v>
      </c>
      <c r="N63" s="26">
        <v>31.9</v>
      </c>
      <c r="O63" s="26">
        <v>28.6</v>
      </c>
      <c r="P63" s="26">
        <v>30</v>
      </c>
      <c r="Q63" s="26">
        <v>32.700000000000003</v>
      </c>
      <c r="R63" s="26">
        <v>29.8</v>
      </c>
      <c r="S63" s="26">
        <v>29.6</v>
      </c>
      <c r="T63" s="26">
        <v>31.7</v>
      </c>
      <c r="U63" s="26">
        <v>31.3</v>
      </c>
      <c r="V63" s="25">
        <v>28.7</v>
      </c>
      <c r="X63" s="20">
        <f t="shared" si="2"/>
        <v>30.2</v>
      </c>
      <c r="Y63" s="21">
        <f t="shared" si="3"/>
        <v>2.5209125331911064</v>
      </c>
      <c r="Z63" s="3"/>
      <c r="AA63" s="20">
        <f>AVERAGE(X63:X66)</f>
        <v>32.607499999999995</v>
      </c>
      <c r="AB63" s="19">
        <f>_xlfn.STDEV.P(X63:X66)</f>
        <v>2.0474542119422359</v>
      </c>
    </row>
    <row r="64" spans="1:28" x14ac:dyDescent="0.25">
      <c r="A64" s="18"/>
      <c r="B64" s="17">
        <v>2</v>
      </c>
      <c r="C64" s="16">
        <v>27.4</v>
      </c>
      <c r="D64" s="15">
        <v>31.1</v>
      </c>
      <c r="E64" s="15">
        <v>27.7</v>
      </c>
      <c r="F64" s="15">
        <v>36.299999999999997</v>
      </c>
      <c r="G64" s="15">
        <v>36.5</v>
      </c>
      <c r="H64" s="15">
        <v>27.1</v>
      </c>
      <c r="I64" s="15">
        <v>30</v>
      </c>
      <c r="J64" s="15">
        <v>35.5</v>
      </c>
      <c r="K64" s="15">
        <v>31.4</v>
      </c>
      <c r="L64" s="15">
        <v>34.9</v>
      </c>
      <c r="M64" s="15">
        <v>25.5</v>
      </c>
      <c r="N64" s="15">
        <v>29.3</v>
      </c>
      <c r="O64" s="15">
        <v>28.6</v>
      </c>
      <c r="P64" s="15">
        <v>30.6</v>
      </c>
      <c r="Q64" s="15">
        <v>30</v>
      </c>
      <c r="R64" s="15">
        <v>30</v>
      </c>
      <c r="S64" s="15">
        <v>35.799999999999997</v>
      </c>
      <c r="T64" s="15">
        <v>30.3</v>
      </c>
      <c r="U64" s="15">
        <v>31.3</v>
      </c>
      <c r="V64" s="14">
        <v>31.9</v>
      </c>
      <c r="W64" s="3"/>
      <c r="X64" s="13">
        <f t="shared" si="2"/>
        <v>31.059999999999995</v>
      </c>
      <c r="Y64" s="3">
        <f t="shared" si="3"/>
        <v>3.1579107017140386</v>
      </c>
      <c r="Z64" s="3"/>
      <c r="AA64" s="12"/>
      <c r="AB64" s="11"/>
    </row>
    <row r="65" spans="1:28" x14ac:dyDescent="0.25">
      <c r="A65" s="18"/>
      <c r="B65" s="17">
        <v>3</v>
      </c>
      <c r="C65" s="16">
        <v>36</v>
      </c>
      <c r="D65" s="15">
        <v>35.6</v>
      </c>
      <c r="E65" s="15">
        <v>38</v>
      </c>
      <c r="F65" s="15">
        <v>37.299999999999997</v>
      </c>
      <c r="G65" s="15">
        <v>33.5</v>
      </c>
      <c r="H65" s="15">
        <v>34.4</v>
      </c>
      <c r="I65" s="15">
        <v>35.6</v>
      </c>
      <c r="J65" s="15">
        <v>32</v>
      </c>
      <c r="K65" s="15">
        <v>32.799999999999997</v>
      </c>
      <c r="L65" s="15">
        <v>33.700000000000003</v>
      </c>
      <c r="M65" s="15">
        <v>31.6</v>
      </c>
      <c r="N65" s="15">
        <v>37.6</v>
      </c>
      <c r="O65" s="15">
        <v>31.6</v>
      </c>
      <c r="P65" s="15">
        <v>35.6</v>
      </c>
      <c r="Q65" s="15">
        <v>28.6</v>
      </c>
      <c r="R65" s="15">
        <v>30.5</v>
      </c>
      <c r="S65" s="15">
        <v>34.5</v>
      </c>
      <c r="T65" s="15">
        <v>32.200000000000003</v>
      </c>
      <c r="U65" s="15">
        <v>34.799999999999997</v>
      </c>
      <c r="V65" s="14">
        <v>33.5</v>
      </c>
      <c r="X65" s="13">
        <f t="shared" si="2"/>
        <v>33.970000000000006</v>
      </c>
      <c r="Y65" s="3">
        <f t="shared" si="3"/>
        <v>2.3954331549847092</v>
      </c>
      <c r="Z65" s="3"/>
      <c r="AA65" s="12"/>
      <c r="AB65" s="11"/>
    </row>
    <row r="66" spans="1:28" ht="15.75" thickBot="1" x14ac:dyDescent="0.3">
      <c r="A66" s="10"/>
      <c r="B66" s="9">
        <v>4</v>
      </c>
      <c r="C66" s="8">
        <v>33.700000000000003</v>
      </c>
      <c r="D66" s="7">
        <v>33.799999999999997</v>
      </c>
      <c r="E66" s="7">
        <v>37.9</v>
      </c>
      <c r="F66" s="7">
        <v>32.1</v>
      </c>
      <c r="G66" s="7">
        <v>36</v>
      </c>
      <c r="H66" s="7">
        <v>35.4</v>
      </c>
      <c r="I66" s="7">
        <v>32.9</v>
      </c>
      <c r="J66" s="7">
        <v>38.799999999999997</v>
      </c>
      <c r="K66" s="7">
        <v>37</v>
      </c>
      <c r="L66" s="7">
        <v>38.200000000000003</v>
      </c>
      <c r="M66" s="7">
        <v>38.700000000000003</v>
      </c>
      <c r="N66" s="7">
        <v>34.9</v>
      </c>
      <c r="O66" s="7">
        <v>30.7</v>
      </c>
      <c r="P66" s="7">
        <v>35.700000000000003</v>
      </c>
      <c r="Q66" s="7">
        <v>33.4</v>
      </c>
      <c r="R66" s="7">
        <v>34.799999999999997</v>
      </c>
      <c r="S66" s="7">
        <v>37.299999999999997</v>
      </c>
      <c r="T66" s="7">
        <v>35.1</v>
      </c>
      <c r="U66" s="7">
        <v>33.9</v>
      </c>
      <c r="V66" s="6">
        <v>33.700000000000003</v>
      </c>
      <c r="X66" s="5">
        <f t="shared" si="2"/>
        <v>35.199999999999996</v>
      </c>
      <c r="Y66" s="4">
        <f t="shared" si="3"/>
        <v>2.2009089031579658</v>
      </c>
      <c r="Z66" s="3"/>
      <c r="AA66" s="2"/>
      <c r="AB66" s="1"/>
    </row>
    <row r="67" spans="1:28" x14ac:dyDescent="0.25">
      <c r="A67" s="24" t="s">
        <v>30</v>
      </c>
      <c r="B67" s="23">
        <v>1</v>
      </c>
      <c r="C67" s="1">
        <v>25.1</v>
      </c>
      <c r="D67" s="2">
        <v>29.7</v>
      </c>
      <c r="E67" s="2">
        <v>29.7</v>
      </c>
      <c r="F67" s="2">
        <v>28.3</v>
      </c>
      <c r="G67" s="2">
        <v>31.7</v>
      </c>
      <c r="H67" s="2">
        <v>30.3</v>
      </c>
      <c r="I67" s="2">
        <v>29.3</v>
      </c>
      <c r="J67" s="2">
        <v>30.2</v>
      </c>
      <c r="K67" s="2">
        <v>24</v>
      </c>
      <c r="L67" s="2">
        <v>30.4</v>
      </c>
      <c r="M67" s="2">
        <v>28.3</v>
      </c>
      <c r="N67" s="2">
        <v>30.5</v>
      </c>
      <c r="O67" s="2">
        <v>28.4</v>
      </c>
      <c r="P67" s="2">
        <v>27</v>
      </c>
      <c r="Q67" s="2">
        <v>30.9</v>
      </c>
      <c r="R67" s="2">
        <v>30.5</v>
      </c>
      <c r="S67" s="2">
        <v>28.3</v>
      </c>
      <c r="T67" s="2">
        <v>28.4</v>
      </c>
      <c r="U67" s="2">
        <v>30.9</v>
      </c>
      <c r="V67" s="22">
        <v>27.8</v>
      </c>
      <c r="X67" s="20">
        <f t="shared" si="2"/>
        <v>28.984999999999996</v>
      </c>
      <c r="Y67" s="21">
        <f t="shared" si="3"/>
        <v>1.9105692868880728</v>
      </c>
      <c r="Z67" s="3"/>
      <c r="AA67" s="20">
        <f>AVERAGE(X67:X70)</f>
        <v>28.507499999999997</v>
      </c>
      <c r="AB67" s="19">
        <f>_xlfn.STDEV.P(X67:X70)</f>
        <v>0.53631264202888229</v>
      </c>
    </row>
    <row r="68" spans="1:28" x14ac:dyDescent="0.25">
      <c r="A68" s="18"/>
      <c r="B68" s="17">
        <v>2</v>
      </c>
      <c r="C68" s="16">
        <v>28.2</v>
      </c>
      <c r="D68" s="15">
        <v>26.2</v>
      </c>
      <c r="E68" s="15">
        <v>28.4</v>
      </c>
      <c r="F68" s="15">
        <v>32</v>
      </c>
      <c r="G68" s="15">
        <v>29.4</v>
      </c>
      <c r="H68" s="15">
        <v>26.8</v>
      </c>
      <c r="I68" s="15">
        <v>30.4</v>
      </c>
      <c r="J68" s="15">
        <v>29.6</v>
      </c>
      <c r="K68" s="15">
        <v>28.8</v>
      </c>
      <c r="L68" s="15">
        <v>31.1</v>
      </c>
      <c r="M68" s="15">
        <v>28.1</v>
      </c>
      <c r="N68" s="15">
        <v>31.9</v>
      </c>
      <c r="O68" s="15">
        <v>29.4</v>
      </c>
      <c r="P68" s="15">
        <v>28.8</v>
      </c>
      <c r="Q68" s="15">
        <v>28.7</v>
      </c>
      <c r="R68" s="15">
        <v>27.3</v>
      </c>
      <c r="S68" s="15">
        <v>28.5</v>
      </c>
      <c r="T68" s="15">
        <v>31.4</v>
      </c>
      <c r="U68" s="15">
        <v>24.6</v>
      </c>
      <c r="V68" s="14">
        <v>32</v>
      </c>
      <c r="X68" s="13">
        <f t="shared" si="2"/>
        <v>29.080000000000002</v>
      </c>
      <c r="Y68" s="3">
        <f t="shared" si="3"/>
        <v>1.9525880261847348</v>
      </c>
      <c r="Z68" s="3"/>
      <c r="AA68" s="12"/>
      <c r="AB68" s="11"/>
    </row>
    <row r="69" spans="1:28" x14ac:dyDescent="0.25">
      <c r="A69" s="18"/>
      <c r="B69" s="17">
        <v>3</v>
      </c>
      <c r="C69" s="16">
        <v>26</v>
      </c>
      <c r="D69" s="15">
        <v>29.1</v>
      </c>
      <c r="E69" s="15">
        <v>28.1</v>
      </c>
      <c r="F69" s="15">
        <v>26.2</v>
      </c>
      <c r="G69" s="15">
        <v>26.8</v>
      </c>
      <c r="H69" s="15">
        <v>31.8</v>
      </c>
      <c r="I69" s="15">
        <v>31</v>
      </c>
      <c r="J69" s="15">
        <v>30.9</v>
      </c>
      <c r="K69" s="15">
        <v>30.6</v>
      </c>
      <c r="L69" s="15">
        <v>27.6</v>
      </c>
      <c r="M69" s="15">
        <v>29.8</v>
      </c>
      <c r="N69" s="15">
        <v>28.2</v>
      </c>
      <c r="O69" s="15">
        <v>25</v>
      </c>
      <c r="P69" s="15">
        <v>28</v>
      </c>
      <c r="Q69" s="15">
        <v>31.1</v>
      </c>
      <c r="R69" s="15">
        <v>29</v>
      </c>
      <c r="S69" s="15">
        <v>29.7</v>
      </c>
      <c r="T69" s="15">
        <v>24.1</v>
      </c>
      <c r="U69" s="15">
        <v>25.3</v>
      </c>
      <c r="V69" s="14">
        <v>24.3</v>
      </c>
      <c r="X69" s="13">
        <f t="shared" si="2"/>
        <v>28.130000000000003</v>
      </c>
      <c r="Y69" s="3">
        <f t="shared" si="3"/>
        <v>2.3484250041251049</v>
      </c>
      <c r="Z69" s="3"/>
      <c r="AA69" s="12"/>
      <c r="AB69" s="11"/>
    </row>
    <row r="70" spans="1:28" ht="15.75" thickBot="1" x14ac:dyDescent="0.3">
      <c r="A70" s="33"/>
      <c r="B70" s="32">
        <v>4</v>
      </c>
      <c r="C70" s="19">
        <v>30.4</v>
      </c>
      <c r="D70" s="31">
        <v>27.3</v>
      </c>
      <c r="E70" s="31">
        <v>27.2</v>
      </c>
      <c r="F70" s="31">
        <v>30.9</v>
      </c>
      <c r="G70" s="31">
        <v>19.3</v>
      </c>
      <c r="H70" s="31">
        <v>23.1</v>
      </c>
      <c r="I70" s="31">
        <v>31</v>
      </c>
      <c r="J70" s="31">
        <v>28.4</v>
      </c>
      <c r="K70" s="31">
        <v>29.3</v>
      </c>
      <c r="L70" s="31">
        <v>29.5</v>
      </c>
      <c r="M70" s="31">
        <v>31.3</v>
      </c>
      <c r="N70" s="31">
        <v>26.8</v>
      </c>
      <c r="O70" s="31">
        <v>28.8</v>
      </c>
      <c r="P70" s="31">
        <v>28.7</v>
      </c>
      <c r="Q70" s="31">
        <v>28.2</v>
      </c>
      <c r="R70" s="31">
        <v>25.5</v>
      </c>
      <c r="S70" s="31">
        <v>27.4</v>
      </c>
      <c r="T70" s="31">
        <v>27.4</v>
      </c>
      <c r="U70" s="31">
        <v>28.9</v>
      </c>
      <c r="V70" s="30">
        <v>27.3</v>
      </c>
      <c r="X70" s="5">
        <f t="shared" si="2"/>
        <v>27.834999999999997</v>
      </c>
      <c r="Y70" s="4">
        <f t="shared" si="3"/>
        <v>2.7324485356544228</v>
      </c>
      <c r="Z70" s="3"/>
      <c r="AA70" s="2"/>
      <c r="AB70" s="1"/>
    </row>
    <row r="71" spans="1:28" x14ac:dyDescent="0.25">
      <c r="A71" s="29" t="s">
        <v>31</v>
      </c>
      <c r="B71" s="28">
        <v>1</v>
      </c>
      <c r="C71" s="27">
        <v>35.700000000000003</v>
      </c>
      <c r="D71" s="26">
        <v>33</v>
      </c>
      <c r="E71" s="26">
        <v>34.9</v>
      </c>
      <c r="F71" s="26">
        <v>34.9</v>
      </c>
      <c r="G71" s="26">
        <v>35.700000000000003</v>
      </c>
      <c r="H71" s="26">
        <v>33</v>
      </c>
      <c r="I71" s="26">
        <v>28.6</v>
      </c>
      <c r="J71" s="26">
        <v>38.299999999999997</v>
      </c>
      <c r="K71" s="26">
        <v>38.9</v>
      </c>
      <c r="L71" s="26">
        <v>32.6</v>
      </c>
      <c r="M71" s="26">
        <v>35.5</v>
      </c>
      <c r="N71" s="26">
        <v>35.4</v>
      </c>
      <c r="O71" s="26">
        <v>34.4</v>
      </c>
      <c r="P71" s="26">
        <v>36.6</v>
      </c>
      <c r="Q71" s="26">
        <v>34.299999999999997</v>
      </c>
      <c r="R71" s="26">
        <v>35.6</v>
      </c>
      <c r="S71" s="26">
        <v>35.799999999999997</v>
      </c>
      <c r="T71" s="26">
        <v>29.6</v>
      </c>
      <c r="U71" s="26">
        <v>34.1</v>
      </c>
      <c r="V71" s="25">
        <v>38.4</v>
      </c>
      <c r="X71" s="20">
        <f t="shared" si="2"/>
        <v>34.765000000000001</v>
      </c>
      <c r="Y71" s="21">
        <f t="shared" si="3"/>
        <v>2.5205703719594887</v>
      </c>
      <c r="Z71" s="3"/>
      <c r="AA71" s="20">
        <f>AVERAGE(X71:X74)</f>
        <v>36.063749999999999</v>
      </c>
      <c r="AB71" s="19">
        <f>_xlfn.STDEV.P(X71:X74)</f>
        <v>1.1715501216337278</v>
      </c>
    </row>
    <row r="72" spans="1:28" x14ac:dyDescent="0.25">
      <c r="A72" s="18"/>
      <c r="B72" s="17">
        <v>2</v>
      </c>
      <c r="C72" s="16">
        <v>34.9</v>
      </c>
      <c r="D72" s="15">
        <v>40.1</v>
      </c>
      <c r="E72" s="15">
        <v>36.299999999999997</v>
      </c>
      <c r="F72" s="15">
        <v>33.5</v>
      </c>
      <c r="G72" s="15">
        <v>39.799999999999997</v>
      </c>
      <c r="H72" s="15">
        <v>34.700000000000003</v>
      </c>
      <c r="I72" s="15">
        <v>37.4</v>
      </c>
      <c r="J72" s="15">
        <v>38</v>
      </c>
      <c r="K72" s="15">
        <v>36.4</v>
      </c>
      <c r="L72" s="15">
        <v>37.799999999999997</v>
      </c>
      <c r="M72" s="15">
        <v>39.799999999999997</v>
      </c>
      <c r="N72" s="15">
        <v>32.5</v>
      </c>
      <c r="O72" s="15">
        <v>37.299999999999997</v>
      </c>
      <c r="P72" s="15">
        <v>39.799999999999997</v>
      </c>
      <c r="Q72" s="15">
        <v>36.200000000000003</v>
      </c>
      <c r="R72" s="15">
        <v>28.9</v>
      </c>
      <c r="S72" s="15">
        <v>38.4</v>
      </c>
      <c r="T72" s="15">
        <v>37.799999999999997</v>
      </c>
      <c r="U72" s="15">
        <v>34.1</v>
      </c>
      <c r="V72" s="14">
        <v>35.4</v>
      </c>
      <c r="X72" s="13">
        <f t="shared" si="2"/>
        <v>36.454999999999998</v>
      </c>
      <c r="Y72" s="3">
        <f t="shared" si="3"/>
        <v>2.7563517554913046</v>
      </c>
      <c r="Z72" s="3"/>
      <c r="AA72" s="12"/>
      <c r="AB72" s="11"/>
    </row>
    <row r="73" spans="1:28" x14ac:dyDescent="0.25">
      <c r="A73" s="18"/>
      <c r="B73" s="17">
        <v>3</v>
      </c>
      <c r="C73" s="16">
        <v>38.200000000000003</v>
      </c>
      <c r="D73" s="15">
        <v>35.5</v>
      </c>
      <c r="E73" s="15">
        <v>35.4</v>
      </c>
      <c r="F73" s="15">
        <v>35.6</v>
      </c>
      <c r="G73" s="15">
        <v>33.5</v>
      </c>
      <c r="H73" s="15">
        <v>36.6</v>
      </c>
      <c r="I73" s="15">
        <v>37.5</v>
      </c>
      <c r="J73" s="15">
        <v>33.700000000000003</v>
      </c>
      <c r="K73" s="15">
        <v>35.9</v>
      </c>
      <c r="L73" s="15">
        <v>31.3</v>
      </c>
      <c r="M73" s="15">
        <v>34.1</v>
      </c>
      <c r="N73" s="15">
        <v>30.9</v>
      </c>
      <c r="O73" s="15">
        <v>33.9</v>
      </c>
      <c r="P73" s="15">
        <v>34.700000000000003</v>
      </c>
      <c r="Q73" s="15">
        <v>37</v>
      </c>
      <c r="R73" s="15">
        <v>35.5</v>
      </c>
      <c r="S73" s="15">
        <v>34</v>
      </c>
      <c r="T73" s="15">
        <v>41.8</v>
      </c>
      <c r="U73" s="15">
        <v>34.9</v>
      </c>
      <c r="V73" s="14">
        <v>34.9</v>
      </c>
      <c r="X73" s="13">
        <f t="shared" si="2"/>
        <v>35.24499999999999</v>
      </c>
      <c r="Y73" s="3">
        <f t="shared" si="3"/>
        <v>2.3182913966971448</v>
      </c>
      <c r="Z73" s="3"/>
      <c r="AA73" s="12"/>
      <c r="AB73" s="11"/>
    </row>
    <row r="74" spans="1:28" ht="15.75" thickBot="1" x14ac:dyDescent="0.3">
      <c r="A74" s="10"/>
      <c r="B74" s="9">
        <v>4</v>
      </c>
      <c r="C74" s="8">
        <v>38.799999999999997</v>
      </c>
      <c r="D74" s="7">
        <v>40.700000000000003</v>
      </c>
      <c r="E74" s="7">
        <v>37.4</v>
      </c>
      <c r="F74" s="7">
        <v>39</v>
      </c>
      <c r="G74" s="7">
        <v>40.200000000000003</v>
      </c>
      <c r="H74" s="7">
        <v>36.1</v>
      </c>
      <c r="I74" s="7">
        <v>31.9</v>
      </c>
      <c r="J74" s="7">
        <v>40.799999999999997</v>
      </c>
      <c r="K74" s="7">
        <v>38.6</v>
      </c>
      <c r="L74" s="7">
        <v>37.799999999999997</v>
      </c>
      <c r="M74" s="7">
        <v>36.700000000000003</v>
      </c>
      <c r="N74" s="7">
        <v>36.6</v>
      </c>
      <c r="O74" s="7">
        <v>40.700000000000003</v>
      </c>
      <c r="P74" s="7">
        <v>33.5</v>
      </c>
      <c r="Q74" s="7">
        <v>41.2</v>
      </c>
      <c r="R74" s="7">
        <v>40.799999999999997</v>
      </c>
      <c r="S74" s="7">
        <v>33.4</v>
      </c>
      <c r="T74" s="7">
        <v>36.9</v>
      </c>
      <c r="U74" s="7">
        <v>38.799999999999997</v>
      </c>
      <c r="V74" s="6">
        <v>35.9</v>
      </c>
      <c r="X74" s="5">
        <f t="shared" si="2"/>
        <v>37.79</v>
      </c>
      <c r="Y74" s="4">
        <f t="shared" si="3"/>
        <v>2.636266299143545</v>
      </c>
      <c r="Z74" s="3"/>
      <c r="AA74" s="2"/>
      <c r="AB74" s="1"/>
    </row>
    <row r="75" spans="1:28" x14ac:dyDescent="0.25">
      <c r="A75" s="24" t="s">
        <v>32</v>
      </c>
      <c r="B75" s="23">
        <v>1</v>
      </c>
      <c r="C75" s="1">
        <v>34.6</v>
      </c>
      <c r="D75" s="2">
        <v>36.5</v>
      </c>
      <c r="E75" s="2">
        <v>37.6</v>
      </c>
      <c r="F75" s="2">
        <v>30.5</v>
      </c>
      <c r="G75" s="2">
        <v>29.8</v>
      </c>
      <c r="H75" s="2">
        <v>33.799999999999997</v>
      </c>
      <c r="I75" s="2">
        <v>30.7</v>
      </c>
      <c r="J75" s="2">
        <v>30.9</v>
      </c>
      <c r="K75" s="2">
        <v>35.9</v>
      </c>
      <c r="L75" s="2">
        <v>31.8</v>
      </c>
      <c r="M75" s="2">
        <v>29.4</v>
      </c>
      <c r="N75" s="2">
        <v>35.200000000000003</v>
      </c>
      <c r="O75" s="2">
        <v>36.1</v>
      </c>
      <c r="P75" s="2">
        <v>37</v>
      </c>
      <c r="Q75" s="2">
        <v>37.799999999999997</v>
      </c>
      <c r="R75" s="2">
        <v>28</v>
      </c>
      <c r="S75" s="2">
        <v>33.299999999999997</v>
      </c>
      <c r="T75" s="2">
        <v>32.6</v>
      </c>
      <c r="U75" s="2">
        <v>31.2</v>
      </c>
      <c r="V75" s="22">
        <v>36</v>
      </c>
      <c r="X75" s="20">
        <f t="shared" si="2"/>
        <v>33.434999999999995</v>
      </c>
      <c r="Y75" s="21">
        <f t="shared" si="3"/>
        <v>2.9394344694175443</v>
      </c>
      <c r="Z75" s="3"/>
      <c r="AA75" s="20">
        <f>AVERAGE(X75:X78)</f>
        <v>33.012500000000003</v>
      </c>
      <c r="AB75" s="19">
        <f>_xlfn.STDEV.P(X75:X78)</f>
        <v>0.55571463000356269</v>
      </c>
    </row>
    <row r="76" spans="1:28" x14ac:dyDescent="0.25">
      <c r="A76" s="18"/>
      <c r="B76" s="17">
        <v>2</v>
      </c>
      <c r="C76" s="16">
        <v>32.200000000000003</v>
      </c>
      <c r="D76" s="15">
        <v>30.4</v>
      </c>
      <c r="E76" s="15">
        <v>31.2</v>
      </c>
      <c r="F76" s="15">
        <v>32.5</v>
      </c>
      <c r="G76" s="15">
        <v>33.299999999999997</v>
      </c>
      <c r="H76" s="15">
        <v>35</v>
      </c>
      <c r="I76" s="15">
        <v>26.9</v>
      </c>
      <c r="J76" s="15">
        <v>33.299999999999997</v>
      </c>
      <c r="K76" s="15">
        <v>30.9</v>
      </c>
      <c r="L76" s="15">
        <v>27.5</v>
      </c>
      <c r="M76" s="15">
        <v>27.9</v>
      </c>
      <c r="N76" s="15">
        <v>32</v>
      </c>
      <c r="O76" s="15">
        <v>31.4</v>
      </c>
      <c r="P76" s="15">
        <v>43.6</v>
      </c>
      <c r="Q76" s="15">
        <v>34.6</v>
      </c>
      <c r="R76" s="15">
        <v>33.5</v>
      </c>
      <c r="S76" s="15">
        <v>33.700000000000003</v>
      </c>
      <c r="T76" s="15">
        <v>32.200000000000003</v>
      </c>
      <c r="U76" s="15">
        <v>29.8</v>
      </c>
      <c r="V76" s="14">
        <v>30</v>
      </c>
      <c r="X76" s="13">
        <f t="shared" si="2"/>
        <v>32.095000000000006</v>
      </c>
      <c r="Y76" s="3">
        <f t="shared" si="3"/>
        <v>3.4327066580177803</v>
      </c>
      <c r="Z76" s="3"/>
      <c r="AA76" s="12"/>
      <c r="AB76" s="11"/>
    </row>
    <row r="77" spans="1:28" x14ac:dyDescent="0.25">
      <c r="A77" s="18"/>
      <c r="B77" s="17">
        <v>3</v>
      </c>
      <c r="C77" s="16">
        <v>30.7</v>
      </c>
      <c r="D77" s="15">
        <v>31.6</v>
      </c>
      <c r="E77" s="15">
        <v>29.3</v>
      </c>
      <c r="F77" s="15">
        <v>31.8</v>
      </c>
      <c r="G77" s="15">
        <v>37.6</v>
      </c>
      <c r="H77" s="15">
        <v>32.4</v>
      </c>
      <c r="I77" s="15">
        <v>33.700000000000003</v>
      </c>
      <c r="J77" s="15">
        <v>30.6</v>
      </c>
      <c r="K77" s="15">
        <v>29.7</v>
      </c>
      <c r="L77" s="15">
        <v>38.200000000000003</v>
      </c>
      <c r="M77" s="15">
        <v>31.1</v>
      </c>
      <c r="N77" s="15">
        <v>37.9</v>
      </c>
      <c r="O77" s="15">
        <v>32.200000000000003</v>
      </c>
      <c r="P77" s="15">
        <v>32.200000000000003</v>
      </c>
      <c r="Q77" s="15">
        <v>34.4</v>
      </c>
      <c r="R77" s="15">
        <v>31.7</v>
      </c>
      <c r="S77" s="15">
        <v>34.1</v>
      </c>
      <c r="T77" s="15">
        <v>32.1</v>
      </c>
      <c r="U77" s="15">
        <v>33.799999999999997</v>
      </c>
      <c r="V77" s="14">
        <v>35.799999999999997</v>
      </c>
      <c r="X77" s="13">
        <f t="shared" si="2"/>
        <v>33.045000000000002</v>
      </c>
      <c r="Y77" s="3">
        <f t="shared" si="3"/>
        <v>2.5601708927335296</v>
      </c>
      <c r="Z77" s="3"/>
      <c r="AA77" s="12"/>
      <c r="AB77" s="11"/>
    </row>
    <row r="78" spans="1:28" ht="15.75" thickBot="1" x14ac:dyDescent="0.3">
      <c r="A78" s="33"/>
      <c r="B78" s="32">
        <v>4</v>
      </c>
      <c r="C78" s="19">
        <v>33.799999999999997</v>
      </c>
      <c r="D78" s="31">
        <v>31.9</v>
      </c>
      <c r="E78" s="31">
        <v>35.4</v>
      </c>
      <c r="F78" s="31">
        <v>36.799999999999997</v>
      </c>
      <c r="G78" s="31">
        <v>34</v>
      </c>
      <c r="H78" s="31">
        <v>31.4</v>
      </c>
      <c r="I78" s="31">
        <v>36</v>
      </c>
      <c r="J78" s="31">
        <v>31.7</v>
      </c>
      <c r="K78" s="31">
        <v>28.5</v>
      </c>
      <c r="L78" s="31">
        <v>41</v>
      </c>
      <c r="M78" s="31">
        <v>33</v>
      </c>
      <c r="N78" s="31">
        <v>35.9</v>
      </c>
      <c r="O78" s="31">
        <v>34</v>
      </c>
      <c r="P78" s="31">
        <v>28.2</v>
      </c>
      <c r="Q78" s="31">
        <v>31.4</v>
      </c>
      <c r="R78" s="31">
        <v>41.9</v>
      </c>
      <c r="S78" s="31">
        <v>28.1</v>
      </c>
      <c r="T78" s="31">
        <v>32.4</v>
      </c>
      <c r="U78" s="31">
        <v>31</v>
      </c>
      <c r="V78" s="30">
        <v>33.1</v>
      </c>
      <c r="X78" s="5">
        <f t="shared" si="2"/>
        <v>33.475000000000001</v>
      </c>
      <c r="Y78" s="4">
        <f t="shared" si="3"/>
        <v>3.5960916284210356</v>
      </c>
      <c r="Z78" s="3"/>
      <c r="AA78" s="2"/>
      <c r="AB78" s="1"/>
    </row>
    <row r="79" spans="1:28" x14ac:dyDescent="0.25">
      <c r="A79" s="29" t="s">
        <v>33</v>
      </c>
      <c r="B79" s="28">
        <v>1</v>
      </c>
      <c r="C79" s="27">
        <v>34.4</v>
      </c>
      <c r="D79" s="26">
        <v>37.4</v>
      </c>
      <c r="E79" s="26">
        <v>34.799999999999997</v>
      </c>
      <c r="F79" s="26">
        <v>35.299999999999997</v>
      </c>
      <c r="G79" s="26">
        <v>38.299999999999997</v>
      </c>
      <c r="H79" s="26">
        <v>29.4</v>
      </c>
      <c r="I79" s="26">
        <v>36.200000000000003</v>
      </c>
      <c r="J79" s="26">
        <v>35.1</v>
      </c>
      <c r="K79" s="26">
        <v>33.299999999999997</v>
      </c>
      <c r="L79" s="26">
        <v>29.8</v>
      </c>
      <c r="M79" s="26">
        <v>35.200000000000003</v>
      </c>
      <c r="N79" s="26">
        <v>39.4</v>
      </c>
      <c r="O79" s="26">
        <v>37</v>
      </c>
      <c r="P79" s="26">
        <v>30.5</v>
      </c>
      <c r="Q79" s="26">
        <v>35.6</v>
      </c>
      <c r="R79" s="26">
        <v>32.9</v>
      </c>
      <c r="S79" s="26">
        <v>34.4</v>
      </c>
      <c r="T79" s="26">
        <v>33.799999999999997</v>
      </c>
      <c r="U79" s="26">
        <v>35.5</v>
      </c>
      <c r="V79" s="25">
        <v>37.9</v>
      </c>
      <c r="X79" s="20">
        <f t="shared" si="2"/>
        <v>34.809999999999995</v>
      </c>
      <c r="Y79" s="21">
        <f t="shared" si="3"/>
        <v>2.6271467412384863</v>
      </c>
      <c r="Z79" s="3"/>
      <c r="AA79" s="20">
        <f>AVERAGE(X79:X82)</f>
        <v>34.106250000000003</v>
      </c>
      <c r="AB79" s="19">
        <f>_xlfn.STDEV.P(X79:X82)</f>
        <v>0.42938000360985085</v>
      </c>
    </row>
    <row r="80" spans="1:28" x14ac:dyDescent="0.25">
      <c r="A80" s="18"/>
      <c r="B80" s="17">
        <v>2</v>
      </c>
      <c r="C80" s="16">
        <v>33.299999999999997</v>
      </c>
      <c r="D80" s="15">
        <v>32.700000000000003</v>
      </c>
      <c r="E80" s="15">
        <v>35.299999999999997</v>
      </c>
      <c r="F80" s="15">
        <v>32.5</v>
      </c>
      <c r="G80" s="15">
        <v>33.700000000000003</v>
      </c>
      <c r="H80" s="15">
        <v>33.6</v>
      </c>
      <c r="I80" s="15">
        <v>33.5</v>
      </c>
      <c r="J80" s="15">
        <v>35.4</v>
      </c>
      <c r="K80" s="15">
        <v>34.6</v>
      </c>
      <c r="L80" s="15">
        <v>34.299999999999997</v>
      </c>
      <c r="M80" s="15">
        <v>33.5</v>
      </c>
      <c r="N80" s="15">
        <v>33.9</v>
      </c>
      <c r="O80" s="15">
        <v>35.6</v>
      </c>
      <c r="P80" s="15">
        <v>33.6</v>
      </c>
      <c r="Q80" s="15">
        <v>34.6</v>
      </c>
      <c r="R80" s="15">
        <v>32.5</v>
      </c>
      <c r="S80" s="15">
        <v>36.4</v>
      </c>
      <c r="T80" s="15">
        <v>34.700000000000003</v>
      </c>
      <c r="U80" s="15">
        <v>33.700000000000003</v>
      </c>
      <c r="V80" s="14">
        <v>32.200000000000003</v>
      </c>
      <c r="X80" s="13">
        <f t="shared" si="2"/>
        <v>33.980000000000011</v>
      </c>
      <c r="Y80" s="3">
        <f t="shared" si="3"/>
        <v>1.0998181667894011</v>
      </c>
      <c r="Z80" s="3"/>
      <c r="AA80" s="12"/>
      <c r="AB80" s="11"/>
    </row>
    <row r="81" spans="1:28" x14ac:dyDescent="0.25">
      <c r="A81" s="18"/>
      <c r="B81" s="17">
        <v>3</v>
      </c>
      <c r="C81" s="16">
        <v>34.1</v>
      </c>
      <c r="D81" s="15">
        <v>32.9</v>
      </c>
      <c r="E81" s="15">
        <v>34.5</v>
      </c>
      <c r="F81" s="15">
        <v>33.799999999999997</v>
      </c>
      <c r="G81" s="15">
        <v>35</v>
      </c>
      <c r="H81" s="15">
        <v>32.700000000000003</v>
      </c>
      <c r="I81" s="15">
        <v>35.4</v>
      </c>
      <c r="J81" s="15">
        <v>36.700000000000003</v>
      </c>
      <c r="K81" s="15">
        <v>33.700000000000003</v>
      </c>
      <c r="L81" s="15">
        <v>34.9</v>
      </c>
      <c r="M81" s="15">
        <v>34.299999999999997</v>
      </c>
      <c r="N81" s="15">
        <v>33.5</v>
      </c>
      <c r="O81" s="15">
        <v>32.700000000000003</v>
      </c>
      <c r="P81" s="15">
        <v>36.299999999999997</v>
      </c>
      <c r="Q81" s="15">
        <v>32.4</v>
      </c>
      <c r="R81" s="15">
        <v>33.6</v>
      </c>
      <c r="S81" s="15">
        <v>34.299999999999997</v>
      </c>
      <c r="T81" s="15">
        <v>35.6</v>
      </c>
      <c r="U81" s="15">
        <v>31.4</v>
      </c>
      <c r="V81" s="14">
        <v>32</v>
      </c>
      <c r="X81" s="13">
        <f t="shared" si="2"/>
        <v>33.989999999999995</v>
      </c>
      <c r="Y81" s="3">
        <f t="shared" si="3"/>
        <v>1.3747363383572866</v>
      </c>
      <c r="Z81" s="3"/>
      <c r="AA81" s="12"/>
      <c r="AB81" s="11"/>
    </row>
    <row r="82" spans="1:28" ht="15.75" thickBot="1" x14ac:dyDescent="0.3">
      <c r="A82" s="10"/>
      <c r="B82" s="9">
        <v>4</v>
      </c>
      <c r="C82" s="8">
        <v>28.3</v>
      </c>
      <c r="D82" s="7">
        <v>33.299999999999997</v>
      </c>
      <c r="E82" s="7">
        <v>35.6</v>
      </c>
      <c r="F82" s="7">
        <v>31.7</v>
      </c>
      <c r="G82" s="7">
        <v>30.9</v>
      </c>
      <c r="H82" s="7">
        <v>31.8</v>
      </c>
      <c r="I82" s="7">
        <v>32.9</v>
      </c>
      <c r="J82" s="7">
        <v>36.4</v>
      </c>
      <c r="K82" s="7">
        <v>35.5</v>
      </c>
      <c r="L82" s="7">
        <v>35.6</v>
      </c>
      <c r="M82" s="7">
        <v>36.299999999999997</v>
      </c>
      <c r="N82" s="7">
        <v>30.7</v>
      </c>
      <c r="O82" s="7">
        <v>33.6</v>
      </c>
      <c r="P82" s="7">
        <v>32.4</v>
      </c>
      <c r="Q82" s="7">
        <v>33.1</v>
      </c>
      <c r="R82" s="7">
        <v>35.1</v>
      </c>
      <c r="S82" s="7">
        <v>36.700000000000003</v>
      </c>
      <c r="T82" s="7">
        <v>32.200000000000003</v>
      </c>
      <c r="U82" s="7">
        <v>35.1</v>
      </c>
      <c r="V82" s="6">
        <v>35.700000000000003</v>
      </c>
      <c r="X82" s="5">
        <f t="shared" si="2"/>
        <v>33.64500000000001</v>
      </c>
      <c r="Y82" s="4">
        <f t="shared" si="3"/>
        <v>2.2370683941265632</v>
      </c>
      <c r="Z82" s="3"/>
      <c r="AA82" s="2"/>
      <c r="AB82" s="1"/>
    </row>
    <row r="83" spans="1:28" x14ac:dyDescent="0.25">
      <c r="A83" s="24" t="s">
        <v>34</v>
      </c>
      <c r="B83" s="23">
        <v>1</v>
      </c>
      <c r="C83" s="1">
        <v>32.5</v>
      </c>
      <c r="D83" s="2">
        <v>35.4</v>
      </c>
      <c r="E83" s="2">
        <v>25.1</v>
      </c>
      <c r="F83" s="2">
        <v>37.4</v>
      </c>
      <c r="G83" s="2">
        <v>38.299999999999997</v>
      </c>
      <c r="H83" s="2">
        <v>37.5</v>
      </c>
      <c r="I83" s="2">
        <v>35.200000000000003</v>
      </c>
      <c r="J83" s="2">
        <v>34.1</v>
      </c>
      <c r="K83" s="2">
        <v>32.9</v>
      </c>
      <c r="L83" s="2">
        <v>24.2</v>
      </c>
      <c r="M83" s="2">
        <v>30.9</v>
      </c>
      <c r="N83" s="2">
        <v>33.4</v>
      </c>
      <c r="O83" s="2">
        <v>32.299999999999997</v>
      </c>
      <c r="P83" s="2">
        <v>32.799999999999997</v>
      </c>
      <c r="Q83" s="2">
        <v>32.4</v>
      </c>
      <c r="R83" s="2">
        <v>32.200000000000003</v>
      </c>
      <c r="S83" s="2">
        <v>32.4</v>
      </c>
      <c r="T83" s="2">
        <v>33.299999999999997</v>
      </c>
      <c r="U83" s="2">
        <v>35.4</v>
      </c>
      <c r="V83" s="22">
        <v>35.6</v>
      </c>
      <c r="X83" s="20">
        <f t="shared" si="2"/>
        <v>33.164999999999992</v>
      </c>
      <c r="Y83" s="21">
        <f t="shared" si="3"/>
        <v>3.450691959593065</v>
      </c>
      <c r="Z83" s="3"/>
      <c r="AA83" s="20">
        <f>AVERAGE(X83:X86)</f>
        <v>31.7575</v>
      </c>
      <c r="AB83" s="19">
        <f>_xlfn.STDEV.P(X83:X86)</f>
        <v>1.0584097741423186</v>
      </c>
    </row>
    <row r="84" spans="1:28" x14ac:dyDescent="0.25">
      <c r="A84" s="18"/>
      <c r="B84" s="17">
        <v>2</v>
      </c>
      <c r="C84" s="16">
        <v>32</v>
      </c>
      <c r="D84" s="15">
        <v>33.1</v>
      </c>
      <c r="E84" s="15">
        <v>27.8</v>
      </c>
      <c r="F84" s="15">
        <v>32</v>
      </c>
      <c r="G84" s="15">
        <v>27.7</v>
      </c>
      <c r="H84" s="15">
        <v>27.7</v>
      </c>
      <c r="I84" s="15">
        <v>29</v>
      </c>
      <c r="J84" s="15">
        <v>33.200000000000003</v>
      </c>
      <c r="K84" s="15">
        <v>32.9</v>
      </c>
      <c r="L84" s="15">
        <v>32.200000000000003</v>
      </c>
      <c r="M84" s="15">
        <v>33.299999999999997</v>
      </c>
      <c r="N84" s="15">
        <v>31.8</v>
      </c>
      <c r="O84" s="15">
        <v>29.6</v>
      </c>
      <c r="P84" s="15">
        <v>30.3</v>
      </c>
      <c r="Q84" s="15">
        <v>28.8</v>
      </c>
      <c r="R84" s="15">
        <v>30</v>
      </c>
      <c r="S84" s="15">
        <v>31.1</v>
      </c>
      <c r="T84" s="15">
        <v>28.9</v>
      </c>
      <c r="U84" s="15">
        <v>29.3</v>
      </c>
      <c r="V84" s="14">
        <v>33.299999999999997</v>
      </c>
      <c r="X84" s="13">
        <f t="shared" si="2"/>
        <v>30.699999999999996</v>
      </c>
      <c r="Y84" s="3">
        <f t="shared" si="3"/>
        <v>1.9664689166117018</v>
      </c>
      <c r="Z84" s="3"/>
      <c r="AA84" s="12"/>
      <c r="AB84" s="11"/>
    </row>
    <row r="85" spans="1:28" x14ac:dyDescent="0.25">
      <c r="A85" s="18"/>
      <c r="B85" s="17">
        <v>3</v>
      </c>
      <c r="C85" s="16">
        <v>33</v>
      </c>
      <c r="D85" s="15">
        <v>33.5</v>
      </c>
      <c r="E85" s="15">
        <v>31.6</v>
      </c>
      <c r="F85" s="15">
        <v>29.7</v>
      </c>
      <c r="G85" s="15">
        <v>23.7</v>
      </c>
      <c r="H85" s="15">
        <v>32.1</v>
      </c>
      <c r="I85" s="15">
        <v>35.299999999999997</v>
      </c>
      <c r="J85" s="15">
        <v>34.5</v>
      </c>
      <c r="K85" s="15">
        <v>34.799999999999997</v>
      </c>
      <c r="L85" s="15">
        <v>33</v>
      </c>
      <c r="M85" s="15">
        <v>31.6</v>
      </c>
      <c r="N85" s="15">
        <v>29.6</v>
      </c>
      <c r="O85" s="15">
        <v>34.5</v>
      </c>
      <c r="P85" s="15">
        <v>32.200000000000003</v>
      </c>
      <c r="Q85" s="15">
        <v>27.9</v>
      </c>
      <c r="R85" s="15">
        <v>33.799999999999997</v>
      </c>
      <c r="S85" s="15">
        <v>33</v>
      </c>
      <c r="T85" s="15">
        <v>34</v>
      </c>
      <c r="U85" s="15">
        <v>33.4</v>
      </c>
      <c r="V85" s="14">
        <v>36.700000000000003</v>
      </c>
      <c r="X85" s="13">
        <f t="shared" si="2"/>
        <v>32.394999999999996</v>
      </c>
      <c r="Y85" s="3">
        <f t="shared" si="3"/>
        <v>2.8440244373071062</v>
      </c>
      <c r="Z85" s="3"/>
      <c r="AA85" s="12"/>
      <c r="AB85" s="11"/>
    </row>
    <row r="86" spans="1:28" ht="15.75" thickBot="1" x14ac:dyDescent="0.3">
      <c r="A86" s="33"/>
      <c r="B86" s="32">
        <v>4</v>
      </c>
      <c r="C86" s="19">
        <v>28.9</v>
      </c>
      <c r="D86" s="31">
        <v>29.8</v>
      </c>
      <c r="E86" s="31">
        <v>31.2</v>
      </c>
      <c r="F86" s="31">
        <v>33.5</v>
      </c>
      <c r="G86" s="31">
        <v>32.299999999999997</v>
      </c>
      <c r="H86" s="31">
        <v>30.8</v>
      </c>
      <c r="I86" s="31">
        <v>29.8</v>
      </c>
      <c r="J86" s="31">
        <v>31.5</v>
      </c>
      <c r="K86" s="31">
        <v>27.7</v>
      </c>
      <c r="L86" s="31">
        <v>29.1</v>
      </c>
      <c r="M86" s="31">
        <v>27.7</v>
      </c>
      <c r="N86" s="31">
        <v>27.6</v>
      </c>
      <c r="O86" s="31">
        <v>32.9</v>
      </c>
      <c r="P86" s="31">
        <v>33.1</v>
      </c>
      <c r="Q86" s="31">
        <v>31.8</v>
      </c>
      <c r="R86" s="31">
        <v>33.6</v>
      </c>
      <c r="S86" s="31">
        <v>32.299999999999997</v>
      </c>
      <c r="T86" s="31">
        <v>30.5</v>
      </c>
      <c r="U86" s="31">
        <v>29.2</v>
      </c>
      <c r="V86" s="30">
        <v>32.1</v>
      </c>
      <c r="X86" s="5">
        <f t="shared" si="2"/>
        <v>30.770000000000003</v>
      </c>
      <c r="Y86" s="4">
        <f t="shared" si="3"/>
        <v>1.9139226734641084</v>
      </c>
      <c r="Z86" s="3"/>
      <c r="AA86" s="2"/>
      <c r="AB86" s="1"/>
    </row>
    <row r="87" spans="1:28" x14ac:dyDescent="0.25">
      <c r="A87" s="29" t="s">
        <v>35</v>
      </c>
      <c r="B87" s="28">
        <v>1</v>
      </c>
      <c r="C87" s="27">
        <v>35.1</v>
      </c>
      <c r="D87" s="26">
        <v>35.200000000000003</v>
      </c>
      <c r="E87" s="26">
        <v>36.700000000000003</v>
      </c>
      <c r="F87" s="26">
        <v>38.1</v>
      </c>
      <c r="G87" s="26">
        <v>38.9</v>
      </c>
      <c r="H87" s="26">
        <v>37.4</v>
      </c>
      <c r="I87" s="26">
        <v>34.4</v>
      </c>
      <c r="J87" s="26">
        <v>37</v>
      </c>
      <c r="K87" s="26">
        <v>38</v>
      </c>
      <c r="L87" s="26">
        <v>32.1</v>
      </c>
      <c r="M87" s="26">
        <v>34.299999999999997</v>
      </c>
      <c r="N87" s="26">
        <v>40.799999999999997</v>
      </c>
      <c r="O87" s="26">
        <v>39.700000000000003</v>
      </c>
      <c r="P87" s="26">
        <v>36.799999999999997</v>
      </c>
      <c r="Q87" s="26">
        <v>37.1</v>
      </c>
      <c r="R87" s="26">
        <v>33.1</v>
      </c>
      <c r="S87" s="26">
        <v>35.799999999999997</v>
      </c>
      <c r="T87" s="26">
        <v>34.700000000000003</v>
      </c>
      <c r="U87" s="26">
        <v>37.700000000000003</v>
      </c>
      <c r="V87" s="25">
        <v>41.4</v>
      </c>
      <c r="X87" s="20">
        <f t="shared" si="2"/>
        <v>36.715000000000011</v>
      </c>
      <c r="Y87" s="21">
        <f t="shared" si="3"/>
        <v>2.3761891759706333</v>
      </c>
      <c r="Z87" s="3"/>
      <c r="AA87" s="20">
        <f>AVERAGE(X87:X90)</f>
        <v>38.911249999999995</v>
      </c>
      <c r="AB87" s="19">
        <f>_xlfn.STDEV.P(X87:X90)</f>
        <v>1.4833213365619669</v>
      </c>
    </row>
    <row r="88" spans="1:28" x14ac:dyDescent="0.25">
      <c r="A88" s="18"/>
      <c r="B88" s="17">
        <v>2</v>
      </c>
      <c r="C88" s="16">
        <v>39.6</v>
      </c>
      <c r="D88" s="15">
        <v>40.5</v>
      </c>
      <c r="E88" s="15">
        <v>37.200000000000003</v>
      </c>
      <c r="F88" s="15">
        <v>39.5</v>
      </c>
      <c r="G88" s="15">
        <v>38.4</v>
      </c>
      <c r="H88" s="15">
        <v>38.5</v>
      </c>
      <c r="I88" s="15">
        <v>38.799999999999997</v>
      </c>
      <c r="J88" s="15">
        <v>37.6</v>
      </c>
      <c r="K88" s="15">
        <v>39.9</v>
      </c>
      <c r="L88" s="15">
        <v>40</v>
      </c>
      <c r="M88" s="15">
        <v>32.799999999999997</v>
      </c>
      <c r="N88" s="15">
        <v>42.5</v>
      </c>
      <c r="O88" s="15">
        <v>37.200000000000003</v>
      </c>
      <c r="P88" s="15">
        <v>39</v>
      </c>
      <c r="Q88" s="15">
        <v>40.299999999999997</v>
      </c>
      <c r="R88" s="15">
        <v>39.9</v>
      </c>
      <c r="S88" s="15">
        <v>37.5</v>
      </c>
      <c r="T88" s="15">
        <v>37.299999999999997</v>
      </c>
      <c r="U88" s="15">
        <v>40</v>
      </c>
      <c r="V88" s="14">
        <v>44.2</v>
      </c>
      <c r="X88" s="13">
        <f t="shared" si="2"/>
        <v>39.034999999999997</v>
      </c>
      <c r="Y88" s="3">
        <f t="shared" si="3"/>
        <v>2.2372471924219735</v>
      </c>
      <c r="Z88" s="3"/>
      <c r="AA88" s="12"/>
      <c r="AB88" s="11"/>
    </row>
    <row r="89" spans="1:28" x14ac:dyDescent="0.25">
      <c r="A89" s="18"/>
      <c r="B89" s="17">
        <v>3</v>
      </c>
      <c r="C89" s="16">
        <v>40.6</v>
      </c>
      <c r="D89" s="15">
        <v>41.4</v>
      </c>
      <c r="E89" s="15">
        <v>31.9</v>
      </c>
      <c r="F89" s="15">
        <v>41.8</v>
      </c>
      <c r="G89" s="15">
        <v>39.9</v>
      </c>
      <c r="H89" s="15">
        <v>44.3</v>
      </c>
      <c r="I89" s="15">
        <v>41.8</v>
      </c>
      <c r="J89" s="15">
        <v>38.700000000000003</v>
      </c>
      <c r="K89" s="15">
        <v>41.1</v>
      </c>
      <c r="L89" s="15">
        <v>39</v>
      </c>
      <c r="M89" s="15">
        <v>37.799999999999997</v>
      </c>
      <c r="N89" s="15">
        <v>41.5</v>
      </c>
      <c r="O89" s="15">
        <v>37.799999999999997</v>
      </c>
      <c r="P89" s="15">
        <v>37.5</v>
      </c>
      <c r="Q89" s="15">
        <v>36.4</v>
      </c>
      <c r="R89" s="15">
        <v>38.700000000000003</v>
      </c>
      <c r="S89" s="15">
        <v>31.4</v>
      </c>
      <c r="T89" s="15">
        <v>37.700000000000003</v>
      </c>
      <c r="U89" s="15">
        <v>38.700000000000003</v>
      </c>
      <c r="V89" s="14">
        <v>41.9</v>
      </c>
      <c r="X89" s="13">
        <f t="shared" si="2"/>
        <v>38.995000000000005</v>
      </c>
      <c r="Y89" s="3">
        <f t="shared" si="3"/>
        <v>3.1143980156685176</v>
      </c>
      <c r="Z89" s="3"/>
      <c r="AA89" s="12"/>
      <c r="AB89" s="11"/>
    </row>
    <row r="90" spans="1:28" ht="15.75" thickBot="1" x14ac:dyDescent="0.3">
      <c r="A90" s="10"/>
      <c r="B90" s="9">
        <v>4</v>
      </c>
      <c r="C90" s="8">
        <v>40.1</v>
      </c>
      <c r="D90" s="7">
        <v>42.3</v>
      </c>
      <c r="E90" s="7">
        <v>42.4</v>
      </c>
      <c r="F90" s="7">
        <v>39.9</v>
      </c>
      <c r="G90" s="7">
        <v>40.1</v>
      </c>
      <c r="H90" s="7">
        <v>42.3</v>
      </c>
      <c r="I90" s="7">
        <v>39.9</v>
      </c>
      <c r="J90" s="7">
        <v>42.2</v>
      </c>
      <c r="K90" s="7">
        <v>37.700000000000003</v>
      </c>
      <c r="L90" s="7">
        <v>34.200000000000003</v>
      </c>
      <c r="M90" s="7">
        <v>42.2</v>
      </c>
      <c r="N90" s="7">
        <v>41</v>
      </c>
      <c r="O90" s="7">
        <v>40.799999999999997</v>
      </c>
      <c r="P90" s="7">
        <v>38.5</v>
      </c>
      <c r="Q90" s="7">
        <v>42.8</v>
      </c>
      <c r="R90" s="7">
        <v>42.6</v>
      </c>
      <c r="S90" s="7">
        <v>42.4</v>
      </c>
      <c r="T90" s="7">
        <v>42.3</v>
      </c>
      <c r="U90" s="7">
        <v>40.1</v>
      </c>
      <c r="V90" s="6">
        <v>44.2</v>
      </c>
      <c r="X90" s="5">
        <f t="shared" si="2"/>
        <v>40.899999999999991</v>
      </c>
      <c r="Y90" s="4">
        <f t="shared" si="3"/>
        <v>2.1906620004007915</v>
      </c>
      <c r="Z90" s="3"/>
      <c r="AA90" s="2"/>
      <c r="AB90" s="1"/>
    </row>
    <row r="91" spans="1:28" x14ac:dyDescent="0.25">
      <c r="A91" s="24" t="s">
        <v>36</v>
      </c>
      <c r="B91" s="23">
        <v>1</v>
      </c>
      <c r="C91" s="1">
        <v>31.3</v>
      </c>
      <c r="D91" s="2">
        <v>31.6</v>
      </c>
      <c r="E91" s="2">
        <v>32.9</v>
      </c>
      <c r="F91" s="2">
        <v>34</v>
      </c>
      <c r="G91" s="2">
        <v>33.5</v>
      </c>
      <c r="H91" s="2">
        <v>27.8</v>
      </c>
      <c r="I91" s="2">
        <v>28.6</v>
      </c>
      <c r="J91" s="2">
        <v>33.299999999999997</v>
      </c>
      <c r="K91" s="2">
        <v>33.1</v>
      </c>
      <c r="L91" s="2">
        <v>31.8</v>
      </c>
      <c r="M91" s="2">
        <v>36.6</v>
      </c>
      <c r="N91" s="2">
        <v>29.5</v>
      </c>
      <c r="O91" s="2">
        <v>30.2</v>
      </c>
      <c r="P91" s="2">
        <v>32.299999999999997</v>
      </c>
      <c r="Q91" s="2">
        <v>33.1</v>
      </c>
      <c r="R91" s="2">
        <v>35.1</v>
      </c>
      <c r="S91" s="2">
        <v>22.8</v>
      </c>
      <c r="T91" s="2">
        <v>29.6</v>
      </c>
      <c r="U91" s="2">
        <v>28.5</v>
      </c>
      <c r="V91" s="22">
        <v>28.2</v>
      </c>
      <c r="X91" s="20">
        <f t="shared" si="2"/>
        <v>31.190000000000005</v>
      </c>
      <c r="Y91" s="21">
        <f t="shared" si="3"/>
        <v>3.0444868204674491</v>
      </c>
      <c r="Z91" s="3"/>
      <c r="AA91" s="20">
        <f>AVERAGE(X91:X94)</f>
        <v>31.64</v>
      </c>
      <c r="AB91" s="19">
        <f>_xlfn.STDEV.P(X91:X94)</f>
        <v>0.35051747460005345</v>
      </c>
    </row>
    <row r="92" spans="1:28" x14ac:dyDescent="0.25">
      <c r="A92" s="18"/>
      <c r="B92" s="17">
        <v>2</v>
      </c>
      <c r="C92" s="16">
        <v>32.700000000000003</v>
      </c>
      <c r="D92" s="15">
        <v>32.700000000000003</v>
      </c>
      <c r="E92" s="15">
        <v>33</v>
      </c>
      <c r="F92" s="15">
        <v>29.6</v>
      </c>
      <c r="G92" s="15">
        <v>34.700000000000003</v>
      </c>
      <c r="H92" s="15">
        <v>32.700000000000003</v>
      </c>
      <c r="I92" s="15">
        <v>34</v>
      </c>
      <c r="J92" s="15">
        <v>30.6</v>
      </c>
      <c r="K92" s="15">
        <v>29.4</v>
      </c>
      <c r="L92" s="15">
        <v>35.799999999999997</v>
      </c>
      <c r="M92" s="15">
        <v>31.1</v>
      </c>
      <c r="N92" s="15">
        <v>27.8</v>
      </c>
      <c r="O92" s="15">
        <v>33.9</v>
      </c>
      <c r="P92" s="15">
        <v>31.9</v>
      </c>
      <c r="Q92" s="15">
        <v>30.9</v>
      </c>
      <c r="R92" s="15">
        <v>30</v>
      </c>
      <c r="S92" s="15">
        <v>34.700000000000003</v>
      </c>
      <c r="T92" s="15">
        <v>33.299999999999997</v>
      </c>
      <c r="U92" s="15">
        <v>30.5</v>
      </c>
      <c r="V92" s="14">
        <v>34</v>
      </c>
      <c r="X92" s="13">
        <f t="shared" si="2"/>
        <v>32.164999999999999</v>
      </c>
      <c r="Y92" s="3">
        <f t="shared" si="3"/>
        <v>2.0572493772024818</v>
      </c>
      <c r="Z92" s="3"/>
      <c r="AA92" s="12"/>
      <c r="AB92" s="11"/>
    </row>
    <row r="93" spans="1:28" x14ac:dyDescent="0.25">
      <c r="A93" s="18"/>
      <c r="B93" s="17">
        <v>3</v>
      </c>
      <c r="C93" s="16">
        <v>28.5</v>
      </c>
      <c r="D93" s="15">
        <v>30.5</v>
      </c>
      <c r="E93" s="15">
        <v>33.799999999999997</v>
      </c>
      <c r="F93" s="15">
        <v>34.4</v>
      </c>
      <c r="G93" s="15">
        <v>30.6</v>
      </c>
      <c r="H93" s="15">
        <v>27.9</v>
      </c>
      <c r="I93" s="15">
        <v>26.4</v>
      </c>
      <c r="J93" s="15">
        <v>33.9</v>
      </c>
      <c r="K93" s="15">
        <v>33.6</v>
      </c>
      <c r="L93" s="15">
        <v>26.6</v>
      </c>
      <c r="M93" s="15">
        <v>34.5</v>
      </c>
      <c r="N93" s="15">
        <v>32.6</v>
      </c>
      <c r="O93" s="15">
        <v>26.9</v>
      </c>
      <c r="P93" s="15">
        <v>34</v>
      </c>
      <c r="Q93" s="15">
        <v>34.700000000000003</v>
      </c>
      <c r="R93" s="15">
        <v>33</v>
      </c>
      <c r="S93" s="15">
        <v>34.5</v>
      </c>
      <c r="T93" s="15">
        <v>30.5</v>
      </c>
      <c r="U93" s="15">
        <v>33.700000000000003</v>
      </c>
      <c r="V93" s="14">
        <v>32.9</v>
      </c>
      <c r="X93" s="13">
        <f t="shared" si="2"/>
        <v>31.675000000000004</v>
      </c>
      <c r="Y93" s="3">
        <f t="shared" si="3"/>
        <v>2.8631931475190422</v>
      </c>
      <c r="Z93" s="3"/>
      <c r="AA93" s="12"/>
      <c r="AB93" s="11"/>
    </row>
    <row r="94" spans="1:28" ht="15.75" thickBot="1" x14ac:dyDescent="0.3">
      <c r="A94" s="33"/>
      <c r="B94" s="32">
        <v>4</v>
      </c>
      <c r="C94" s="19">
        <v>30.7</v>
      </c>
      <c r="D94" s="31">
        <v>31.7</v>
      </c>
      <c r="E94" s="31">
        <v>27.1</v>
      </c>
      <c r="F94" s="31">
        <v>31.3</v>
      </c>
      <c r="G94" s="31">
        <v>30.8</v>
      </c>
      <c r="H94" s="31">
        <v>32.299999999999997</v>
      </c>
      <c r="I94" s="31">
        <v>32.9</v>
      </c>
      <c r="J94" s="31">
        <v>29.8</v>
      </c>
      <c r="K94" s="31">
        <v>35.700000000000003</v>
      </c>
      <c r="L94" s="31">
        <v>28</v>
      </c>
      <c r="M94" s="31">
        <v>33.5</v>
      </c>
      <c r="N94" s="31">
        <v>32.4</v>
      </c>
      <c r="O94" s="31">
        <v>32.200000000000003</v>
      </c>
      <c r="P94" s="31">
        <v>32.200000000000003</v>
      </c>
      <c r="Q94" s="31">
        <v>35.799999999999997</v>
      </c>
      <c r="R94" s="31">
        <v>28.4</v>
      </c>
      <c r="S94" s="31">
        <v>29</v>
      </c>
      <c r="T94" s="31">
        <v>32.1</v>
      </c>
      <c r="U94" s="31">
        <v>31.4</v>
      </c>
      <c r="V94" s="30">
        <v>33.299999999999997</v>
      </c>
      <c r="X94" s="5">
        <f t="shared" si="2"/>
        <v>31.529999999999994</v>
      </c>
      <c r="Y94" s="4">
        <f t="shared" si="3"/>
        <v>2.232509798410748</v>
      </c>
      <c r="Z94" s="3"/>
      <c r="AA94" s="2"/>
      <c r="AB94" s="1"/>
    </row>
    <row r="95" spans="1:28" x14ac:dyDescent="0.25">
      <c r="A95" s="29" t="s">
        <v>37</v>
      </c>
      <c r="B95" s="28">
        <v>1</v>
      </c>
      <c r="C95" s="27">
        <v>40.4</v>
      </c>
      <c r="D95" s="26">
        <v>41.5</v>
      </c>
      <c r="E95" s="26">
        <v>39.6</v>
      </c>
      <c r="F95" s="26">
        <v>35.4</v>
      </c>
      <c r="G95" s="26">
        <v>36.200000000000003</v>
      </c>
      <c r="H95" s="26">
        <v>38</v>
      </c>
      <c r="I95" s="26">
        <v>39.1</v>
      </c>
      <c r="J95" s="26">
        <v>34</v>
      </c>
      <c r="K95" s="26">
        <v>35.700000000000003</v>
      </c>
      <c r="L95" s="26">
        <v>41</v>
      </c>
      <c r="M95" s="26">
        <v>34.5</v>
      </c>
      <c r="N95" s="26">
        <v>33.5</v>
      </c>
      <c r="O95" s="26">
        <v>41.1</v>
      </c>
      <c r="P95" s="26">
        <v>38.799999999999997</v>
      </c>
      <c r="Q95" s="26">
        <v>36.200000000000003</v>
      </c>
      <c r="R95" s="26">
        <v>40.4</v>
      </c>
      <c r="S95" s="26">
        <v>33.799999999999997</v>
      </c>
      <c r="T95" s="26">
        <v>38.9</v>
      </c>
      <c r="U95" s="26">
        <v>42.1</v>
      </c>
      <c r="V95" s="25">
        <v>39.700000000000003</v>
      </c>
      <c r="X95" s="20">
        <f t="shared" si="2"/>
        <v>37.995000000000005</v>
      </c>
      <c r="Y95" s="21">
        <f t="shared" si="3"/>
        <v>2.7565331487214153</v>
      </c>
      <c r="Z95" s="3"/>
      <c r="AA95" s="20">
        <f>AVERAGE(X95:X98)</f>
        <v>39.431250000000006</v>
      </c>
      <c r="AB95" s="19">
        <f>_xlfn.STDEV.P(X95:X98)</f>
        <v>1.3014385069990848</v>
      </c>
    </row>
    <row r="96" spans="1:28" x14ac:dyDescent="0.25">
      <c r="A96" s="18"/>
      <c r="B96" s="17">
        <v>2</v>
      </c>
      <c r="C96" s="16">
        <v>43.8</v>
      </c>
      <c r="D96" s="15">
        <v>42.7</v>
      </c>
      <c r="E96" s="15">
        <v>31</v>
      </c>
      <c r="F96" s="15">
        <v>42.4</v>
      </c>
      <c r="G96" s="15">
        <v>40.5</v>
      </c>
      <c r="H96" s="15">
        <v>34.6</v>
      </c>
      <c r="I96" s="15">
        <v>42.6</v>
      </c>
      <c r="J96" s="15">
        <v>40.799999999999997</v>
      </c>
      <c r="K96" s="15">
        <v>39.799999999999997</v>
      </c>
      <c r="L96" s="15">
        <v>41.3</v>
      </c>
      <c r="M96" s="15">
        <v>39.6</v>
      </c>
      <c r="N96" s="15">
        <v>41.7</v>
      </c>
      <c r="O96" s="15">
        <v>45.6</v>
      </c>
      <c r="P96" s="15">
        <v>45.2</v>
      </c>
      <c r="Q96" s="15">
        <v>39.5</v>
      </c>
      <c r="R96" s="15">
        <v>38.5</v>
      </c>
      <c r="S96" s="15">
        <v>43.2</v>
      </c>
      <c r="T96" s="15">
        <v>39</v>
      </c>
      <c r="U96" s="15">
        <v>41.9</v>
      </c>
      <c r="V96" s="14">
        <v>43.6</v>
      </c>
      <c r="X96" s="13">
        <f t="shared" si="2"/>
        <v>40.865000000000009</v>
      </c>
      <c r="Y96" s="3">
        <f t="shared" si="3"/>
        <v>3.3453363059638712</v>
      </c>
      <c r="Z96" s="3"/>
      <c r="AA96" s="12"/>
      <c r="AB96" s="11"/>
    </row>
    <row r="97" spans="1:28" x14ac:dyDescent="0.25">
      <c r="A97" s="18"/>
      <c r="B97" s="17">
        <v>3</v>
      </c>
      <c r="C97" s="16">
        <v>35.4</v>
      </c>
      <c r="D97" s="15">
        <v>35.4</v>
      </c>
      <c r="E97" s="15">
        <v>38.200000000000003</v>
      </c>
      <c r="F97" s="15">
        <v>37</v>
      </c>
      <c r="G97" s="15">
        <v>39.6</v>
      </c>
      <c r="H97" s="15">
        <v>38.700000000000003</v>
      </c>
      <c r="I97" s="15">
        <v>39</v>
      </c>
      <c r="J97" s="15">
        <v>43</v>
      </c>
      <c r="K97" s="15">
        <v>39.6</v>
      </c>
      <c r="L97" s="15">
        <v>32.5</v>
      </c>
      <c r="M97" s="15">
        <v>35.5</v>
      </c>
      <c r="N97" s="15">
        <v>38.700000000000003</v>
      </c>
      <c r="O97" s="15">
        <v>38</v>
      </c>
      <c r="P97" s="15">
        <v>42.6</v>
      </c>
      <c r="Q97" s="15">
        <v>39.4</v>
      </c>
      <c r="R97" s="15">
        <v>40.9</v>
      </c>
      <c r="S97" s="15">
        <v>40.799999999999997</v>
      </c>
      <c r="T97" s="15">
        <v>39.299999999999997</v>
      </c>
      <c r="U97" s="15">
        <v>36.4</v>
      </c>
      <c r="V97" s="14">
        <v>35.6</v>
      </c>
      <c r="X97" s="13">
        <f t="shared" si="2"/>
        <v>38.279999999999994</v>
      </c>
      <c r="Y97" s="3">
        <f t="shared" si="3"/>
        <v>2.5590232511643967</v>
      </c>
      <c r="Z97" s="3"/>
      <c r="AA97" s="12"/>
      <c r="AB97" s="11"/>
    </row>
    <row r="98" spans="1:28" ht="15.75" thickBot="1" x14ac:dyDescent="0.3">
      <c r="A98" s="10"/>
      <c r="B98" s="9">
        <v>4</v>
      </c>
      <c r="C98" s="8">
        <v>36.700000000000003</v>
      </c>
      <c r="D98" s="7">
        <v>43</v>
      </c>
      <c r="E98" s="7">
        <v>40.700000000000003</v>
      </c>
      <c r="F98" s="7">
        <v>42.8</v>
      </c>
      <c r="G98" s="7">
        <v>41</v>
      </c>
      <c r="H98" s="7">
        <v>40.200000000000003</v>
      </c>
      <c r="I98" s="7">
        <v>43.1</v>
      </c>
      <c r="J98" s="7">
        <v>42.1</v>
      </c>
      <c r="K98" s="7">
        <v>40.299999999999997</v>
      </c>
      <c r="L98" s="7">
        <v>41.6</v>
      </c>
      <c r="M98" s="7">
        <v>37</v>
      </c>
      <c r="N98" s="7">
        <v>41.5</v>
      </c>
      <c r="O98" s="7">
        <v>46.2</v>
      </c>
      <c r="P98" s="7">
        <v>35.1</v>
      </c>
      <c r="Q98" s="7">
        <v>45</v>
      </c>
      <c r="R98" s="7">
        <v>38.299999999999997</v>
      </c>
      <c r="S98" s="7">
        <v>42.2</v>
      </c>
      <c r="T98" s="7">
        <v>38.200000000000003</v>
      </c>
      <c r="U98" s="7">
        <v>36.9</v>
      </c>
      <c r="V98" s="6">
        <v>39.799999999999997</v>
      </c>
      <c r="X98" s="5">
        <f t="shared" si="2"/>
        <v>40.585000000000001</v>
      </c>
      <c r="Y98" s="4">
        <f t="shared" si="3"/>
        <v>2.8142983139674445</v>
      </c>
      <c r="Z98" s="3"/>
      <c r="AA98" s="2"/>
      <c r="AB98" s="1"/>
    </row>
    <row r="99" spans="1:28" x14ac:dyDescent="0.25">
      <c r="A99" s="29" t="s">
        <v>38</v>
      </c>
      <c r="B99" s="28">
        <v>1</v>
      </c>
      <c r="C99" s="1">
        <v>38</v>
      </c>
      <c r="D99" s="2">
        <v>38.6</v>
      </c>
      <c r="E99" s="2">
        <v>33.299999999999997</v>
      </c>
      <c r="F99" s="2">
        <v>33.700000000000003</v>
      </c>
      <c r="G99" s="2">
        <v>36.700000000000003</v>
      </c>
      <c r="H99" s="2">
        <v>32.799999999999997</v>
      </c>
      <c r="I99" s="2">
        <v>28.9</v>
      </c>
      <c r="J99" s="2">
        <v>30.9</v>
      </c>
      <c r="K99" s="2">
        <v>33</v>
      </c>
      <c r="L99" s="2">
        <v>38.1</v>
      </c>
      <c r="M99" s="2">
        <v>35.6</v>
      </c>
      <c r="N99" s="2">
        <v>35.6</v>
      </c>
      <c r="O99" s="2">
        <v>35.9</v>
      </c>
      <c r="P99" s="2">
        <v>34.200000000000003</v>
      </c>
      <c r="Q99" s="2">
        <v>35.4</v>
      </c>
      <c r="R99" s="2">
        <v>35.1</v>
      </c>
      <c r="S99" s="2">
        <v>34</v>
      </c>
      <c r="T99" s="2">
        <v>34.799999999999997</v>
      </c>
      <c r="U99" s="2">
        <v>30.3</v>
      </c>
      <c r="V99" s="22">
        <v>38.299999999999997</v>
      </c>
      <c r="X99" s="20">
        <f t="shared" si="2"/>
        <v>34.659999999999997</v>
      </c>
      <c r="Y99" s="21">
        <f t="shared" si="3"/>
        <v>2.607182387175857</v>
      </c>
      <c r="Z99" s="3"/>
      <c r="AA99" s="20">
        <f>AVERAGE(X99:X102)</f>
        <v>35.796250000000001</v>
      </c>
      <c r="AB99" s="19">
        <f>_xlfn.STDEV.P(X99:X102)</f>
        <v>1.0458511784666125</v>
      </c>
    </row>
    <row r="100" spans="1:28" x14ac:dyDescent="0.25">
      <c r="A100" s="18"/>
      <c r="B100" s="17">
        <v>2</v>
      </c>
      <c r="C100" s="16">
        <v>38.299999999999997</v>
      </c>
      <c r="D100" s="15">
        <v>38.4</v>
      </c>
      <c r="E100" s="15">
        <v>37.200000000000003</v>
      </c>
      <c r="F100" s="15">
        <v>39</v>
      </c>
      <c r="G100" s="15">
        <v>31.3</v>
      </c>
      <c r="H100" s="15">
        <v>39.700000000000003</v>
      </c>
      <c r="I100" s="15">
        <v>35.1</v>
      </c>
      <c r="J100" s="15">
        <v>30.6</v>
      </c>
      <c r="K100" s="15">
        <v>34.700000000000003</v>
      </c>
      <c r="L100" s="15">
        <v>35.299999999999997</v>
      </c>
      <c r="M100" s="15">
        <v>31</v>
      </c>
      <c r="N100" s="15">
        <v>34</v>
      </c>
      <c r="O100" s="15">
        <v>33.5</v>
      </c>
      <c r="P100" s="15">
        <v>34.700000000000003</v>
      </c>
      <c r="Q100" s="15">
        <v>38.6</v>
      </c>
      <c r="R100" s="15">
        <v>32</v>
      </c>
      <c r="S100" s="15">
        <v>31.6</v>
      </c>
      <c r="T100" s="15">
        <v>30.4</v>
      </c>
      <c r="U100" s="15">
        <v>34.299999999999997</v>
      </c>
      <c r="V100" s="14">
        <v>37.200000000000003</v>
      </c>
      <c r="X100" s="13">
        <f t="shared" si="2"/>
        <v>34.844999999999999</v>
      </c>
      <c r="Y100" s="3">
        <f t="shared" si="3"/>
        <v>2.9790057066074915</v>
      </c>
      <c r="Z100" s="3"/>
      <c r="AA100" s="12"/>
      <c r="AB100" s="11"/>
    </row>
    <row r="101" spans="1:28" x14ac:dyDescent="0.25">
      <c r="A101" s="18"/>
      <c r="B101" s="17">
        <v>3</v>
      </c>
      <c r="C101" s="16">
        <v>36.299999999999997</v>
      </c>
      <c r="D101" s="15">
        <v>37.4</v>
      </c>
      <c r="E101" s="15">
        <v>39.9</v>
      </c>
      <c r="F101" s="15">
        <v>35.4</v>
      </c>
      <c r="G101" s="15">
        <v>35.6</v>
      </c>
      <c r="H101" s="15">
        <v>37.4</v>
      </c>
      <c r="I101" s="15">
        <v>34.4</v>
      </c>
      <c r="J101" s="15">
        <v>41.6</v>
      </c>
      <c r="K101" s="15">
        <v>29.9</v>
      </c>
      <c r="L101" s="15">
        <v>39.1</v>
      </c>
      <c r="M101" s="15">
        <v>38.6</v>
      </c>
      <c r="N101" s="15">
        <v>33.9</v>
      </c>
      <c r="O101" s="15">
        <v>38.5</v>
      </c>
      <c r="P101" s="15">
        <v>34</v>
      </c>
      <c r="Q101" s="15">
        <v>33.200000000000003</v>
      </c>
      <c r="R101" s="15">
        <v>35</v>
      </c>
      <c r="S101" s="15">
        <v>40.200000000000003</v>
      </c>
      <c r="T101" s="15">
        <v>37.200000000000003</v>
      </c>
      <c r="U101" s="15">
        <v>39.5</v>
      </c>
      <c r="V101" s="14">
        <v>39.4</v>
      </c>
      <c r="X101" s="13">
        <f t="shared" si="2"/>
        <v>36.825000000000003</v>
      </c>
      <c r="Y101" s="3">
        <f t="shared" si="3"/>
        <v>2.8285818001252854</v>
      </c>
      <c r="Z101" s="3"/>
      <c r="AA101" s="12"/>
      <c r="AB101" s="11"/>
    </row>
    <row r="102" spans="1:28" ht="15.75" thickBot="1" x14ac:dyDescent="0.3">
      <c r="A102" s="10"/>
      <c r="B102" s="9">
        <v>4</v>
      </c>
      <c r="C102" s="8">
        <v>43.7</v>
      </c>
      <c r="D102" s="7">
        <v>39.6</v>
      </c>
      <c r="E102" s="7">
        <v>31.2</v>
      </c>
      <c r="F102" s="7">
        <v>35.1</v>
      </c>
      <c r="G102" s="7">
        <v>34.799999999999997</v>
      </c>
      <c r="H102" s="7">
        <v>32.799999999999997</v>
      </c>
      <c r="I102" s="7">
        <v>36</v>
      </c>
      <c r="J102" s="7">
        <v>35.5</v>
      </c>
      <c r="K102" s="7">
        <v>33.299999999999997</v>
      </c>
      <c r="L102" s="7">
        <v>39.200000000000003</v>
      </c>
      <c r="M102" s="7">
        <v>33.799999999999997</v>
      </c>
      <c r="N102" s="7">
        <v>41.2</v>
      </c>
      <c r="O102" s="7">
        <v>33.700000000000003</v>
      </c>
      <c r="P102" s="7">
        <v>42.1</v>
      </c>
      <c r="Q102" s="7">
        <v>45.8</v>
      </c>
      <c r="R102" s="7">
        <v>36.1</v>
      </c>
      <c r="S102" s="7">
        <v>34.9</v>
      </c>
      <c r="T102" s="7">
        <v>35.1</v>
      </c>
      <c r="U102" s="7">
        <v>35.799999999999997</v>
      </c>
      <c r="V102" s="6">
        <v>37.4</v>
      </c>
      <c r="X102" s="5">
        <f t="shared" si="2"/>
        <v>36.854999999999997</v>
      </c>
      <c r="Y102" s="4">
        <f t="shared" si="3"/>
        <v>3.7774958636641554</v>
      </c>
      <c r="Z102" s="3"/>
      <c r="AA102" s="2"/>
      <c r="AB102" s="1"/>
    </row>
    <row r="104" spans="1:28" ht="21.75" thickBot="1" x14ac:dyDescent="0.4">
      <c r="A104" s="50">
        <v>44699</v>
      </c>
      <c r="B104" s="50"/>
      <c r="C104" s="50"/>
    </row>
    <row r="105" spans="1:28" ht="15.75" thickBot="1" x14ac:dyDescent="0.3">
      <c r="A105" s="53" t="s">
        <v>25</v>
      </c>
      <c r="B105" s="54" t="s">
        <v>26</v>
      </c>
      <c r="C105" s="55" t="s">
        <v>39</v>
      </c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6"/>
      <c r="X105" s="15" t="s">
        <v>3</v>
      </c>
      <c r="Y105" s="34" t="s">
        <v>2</v>
      </c>
      <c r="Z105" s="3"/>
      <c r="AA105" s="15" t="s">
        <v>1</v>
      </c>
      <c r="AB105" s="16" t="s">
        <v>0</v>
      </c>
    </row>
    <row r="106" spans="1:28" x14ac:dyDescent="0.25">
      <c r="A106" s="24" t="s">
        <v>27</v>
      </c>
      <c r="B106" s="23">
        <v>1</v>
      </c>
      <c r="C106" s="1">
        <v>28</v>
      </c>
      <c r="D106" s="2">
        <v>30</v>
      </c>
      <c r="E106" s="2">
        <v>26.3</v>
      </c>
      <c r="F106" s="2">
        <v>23.9</v>
      </c>
      <c r="G106" s="2">
        <v>27.8</v>
      </c>
      <c r="H106" s="2">
        <v>29.2</v>
      </c>
      <c r="I106" s="2">
        <v>32</v>
      </c>
      <c r="J106" s="2">
        <v>28.2</v>
      </c>
      <c r="K106" s="2">
        <v>28.4</v>
      </c>
      <c r="L106" s="2">
        <v>31.9</v>
      </c>
      <c r="M106" s="2">
        <v>29.5</v>
      </c>
      <c r="N106" s="2">
        <v>27.4</v>
      </c>
      <c r="O106" s="2">
        <v>27.1</v>
      </c>
      <c r="P106" s="2">
        <v>27.7</v>
      </c>
      <c r="Q106" s="2">
        <v>26</v>
      </c>
      <c r="R106" s="2">
        <v>29</v>
      </c>
      <c r="S106" s="2">
        <v>27</v>
      </c>
      <c r="T106" s="2">
        <v>28.8</v>
      </c>
      <c r="U106" s="2">
        <v>30.6</v>
      </c>
      <c r="V106" s="22">
        <v>29.7</v>
      </c>
      <c r="X106" s="20">
        <f t="shared" ref="X106:X153" si="4">AVERAGE(C106:V106)</f>
        <v>28.425000000000001</v>
      </c>
      <c r="Y106" s="21">
        <f t="shared" ref="Y106:Y153" si="5">_xlfn.STDEV.P(C106:V106)</f>
        <v>1.9075835499395564</v>
      </c>
      <c r="Z106" s="3"/>
      <c r="AA106" s="20">
        <f>AVERAGE(X106:X109)</f>
        <v>27.728750000000002</v>
      </c>
      <c r="AB106" s="19">
        <f>_xlfn.STDEV.P(X106:X109)</f>
        <v>0.78618839186291589</v>
      </c>
    </row>
    <row r="107" spans="1:28" x14ac:dyDescent="0.25">
      <c r="A107" s="18"/>
      <c r="B107" s="17">
        <v>2</v>
      </c>
      <c r="C107" s="16">
        <v>25.6</v>
      </c>
      <c r="D107" s="15">
        <v>27.7</v>
      </c>
      <c r="E107" s="15">
        <v>24.7</v>
      </c>
      <c r="F107" s="15">
        <v>26.8</v>
      </c>
      <c r="G107" s="15">
        <v>26.6</v>
      </c>
      <c r="H107" s="15">
        <v>25.3</v>
      </c>
      <c r="I107" s="15">
        <v>28.9</v>
      </c>
      <c r="J107" s="15">
        <v>27.3</v>
      </c>
      <c r="K107" s="15">
        <v>28.4</v>
      </c>
      <c r="L107" s="15">
        <v>27.5</v>
      </c>
      <c r="M107" s="15">
        <v>26.7</v>
      </c>
      <c r="N107" s="15">
        <v>25.6</v>
      </c>
      <c r="O107" s="15">
        <v>27.9</v>
      </c>
      <c r="P107" s="15">
        <v>29.7</v>
      </c>
      <c r="Q107" s="15">
        <v>28</v>
      </c>
      <c r="R107" s="15">
        <v>28.9</v>
      </c>
      <c r="S107" s="15">
        <v>25.6</v>
      </c>
      <c r="T107" s="15">
        <v>27.4</v>
      </c>
      <c r="U107" s="15">
        <v>25.1</v>
      </c>
      <c r="V107" s="14">
        <v>25.2</v>
      </c>
      <c r="X107" s="13">
        <f t="shared" si="4"/>
        <v>26.945000000000004</v>
      </c>
      <c r="Y107" s="3">
        <f t="shared" si="5"/>
        <v>1.4214341349496284</v>
      </c>
      <c r="Z107" s="3"/>
      <c r="AA107" s="12"/>
      <c r="AB107" s="11"/>
    </row>
    <row r="108" spans="1:28" x14ac:dyDescent="0.25">
      <c r="A108" s="18"/>
      <c r="B108" s="17">
        <v>3</v>
      </c>
      <c r="C108" s="16">
        <v>29.8</v>
      </c>
      <c r="D108" s="15">
        <v>30.3</v>
      </c>
      <c r="E108" s="15">
        <v>27.9</v>
      </c>
      <c r="F108" s="15">
        <v>29.9</v>
      </c>
      <c r="G108" s="15">
        <v>26.4</v>
      </c>
      <c r="H108" s="15">
        <v>30.9</v>
      </c>
      <c r="I108" s="15">
        <v>31.1</v>
      </c>
      <c r="J108" s="15">
        <v>28.3</v>
      </c>
      <c r="K108" s="15">
        <v>29</v>
      </c>
      <c r="L108" s="15">
        <v>23.4</v>
      </c>
      <c r="M108" s="15">
        <v>29.2</v>
      </c>
      <c r="N108" s="15">
        <v>30.1</v>
      </c>
      <c r="O108" s="15">
        <v>27.6</v>
      </c>
      <c r="P108" s="15">
        <v>26.7</v>
      </c>
      <c r="Q108" s="15">
        <v>28.2</v>
      </c>
      <c r="R108" s="15">
        <v>32.200000000000003</v>
      </c>
      <c r="S108" s="15">
        <v>27.5</v>
      </c>
      <c r="T108" s="15">
        <v>26.9</v>
      </c>
      <c r="U108" s="15">
        <v>27.6</v>
      </c>
      <c r="V108" s="14">
        <v>29</v>
      </c>
      <c r="X108" s="13">
        <f t="shared" si="4"/>
        <v>28.6</v>
      </c>
      <c r="Y108" s="3">
        <f t="shared" si="5"/>
        <v>1.9465353837010009</v>
      </c>
      <c r="Z108" s="3"/>
      <c r="AA108" s="12"/>
      <c r="AB108" s="11"/>
    </row>
    <row r="109" spans="1:28" ht="15.75" thickBot="1" x14ac:dyDescent="0.3">
      <c r="A109" s="10"/>
      <c r="B109" s="9">
        <v>4</v>
      </c>
      <c r="C109" s="8">
        <v>28.7</v>
      </c>
      <c r="D109" s="7">
        <v>26.5</v>
      </c>
      <c r="E109" s="7">
        <v>28.7</v>
      </c>
      <c r="F109" s="7">
        <v>26.4</v>
      </c>
      <c r="G109" s="7">
        <v>27.9</v>
      </c>
      <c r="H109" s="7">
        <v>27.2</v>
      </c>
      <c r="I109" s="7">
        <v>24.4</v>
      </c>
      <c r="J109" s="7">
        <v>27.2</v>
      </c>
      <c r="K109" s="7">
        <v>28.9</v>
      </c>
      <c r="L109" s="7">
        <v>27.4</v>
      </c>
      <c r="M109" s="7">
        <v>26</v>
      </c>
      <c r="N109" s="7">
        <v>26.3</v>
      </c>
      <c r="O109" s="7">
        <v>28.4</v>
      </c>
      <c r="P109" s="7">
        <v>28.1</v>
      </c>
      <c r="Q109" s="7">
        <v>27.6</v>
      </c>
      <c r="R109" s="7">
        <v>25.4</v>
      </c>
      <c r="S109" s="7">
        <v>29.3</v>
      </c>
      <c r="T109" s="7">
        <v>28.1</v>
      </c>
      <c r="U109" s="7">
        <v>23.7</v>
      </c>
      <c r="V109" s="6">
        <v>22.7</v>
      </c>
      <c r="X109" s="5">
        <f t="shared" si="4"/>
        <v>26.945000000000004</v>
      </c>
      <c r="Y109" s="4">
        <f t="shared" si="5"/>
        <v>1.7494213328983963</v>
      </c>
      <c r="Z109" s="3"/>
      <c r="AA109" s="2"/>
      <c r="AB109" s="1"/>
    </row>
    <row r="110" spans="1:28" x14ac:dyDescent="0.25">
      <c r="A110" s="24" t="s">
        <v>28</v>
      </c>
      <c r="B110" s="23">
        <v>1</v>
      </c>
      <c r="C110" s="1">
        <v>25.4</v>
      </c>
      <c r="D110" s="2">
        <v>23.6</v>
      </c>
      <c r="E110" s="2">
        <v>25</v>
      </c>
      <c r="F110" s="2">
        <v>26</v>
      </c>
      <c r="G110" s="2">
        <v>24.2</v>
      </c>
      <c r="H110" s="2">
        <v>17.8</v>
      </c>
      <c r="I110" s="2">
        <v>23.9</v>
      </c>
      <c r="J110" s="2">
        <v>24.5</v>
      </c>
      <c r="K110" s="2">
        <v>25.8</v>
      </c>
      <c r="L110" s="2">
        <v>21.3</v>
      </c>
      <c r="M110" s="2">
        <v>24.8</v>
      </c>
      <c r="N110" s="2">
        <v>27.7</v>
      </c>
      <c r="O110" s="2">
        <v>25.4</v>
      </c>
      <c r="P110" s="2">
        <v>27.1</v>
      </c>
      <c r="Q110" s="2">
        <v>26.3</v>
      </c>
      <c r="R110" s="2">
        <v>25</v>
      </c>
      <c r="S110" s="2">
        <v>28.1</v>
      </c>
      <c r="T110" s="2">
        <v>22.4</v>
      </c>
      <c r="U110" s="2">
        <v>27.1</v>
      </c>
      <c r="V110" s="22">
        <v>21.9</v>
      </c>
      <c r="X110" s="20">
        <f t="shared" si="4"/>
        <v>24.664999999999999</v>
      </c>
      <c r="Y110" s="21">
        <f t="shared" si="5"/>
        <v>2.378292454682561</v>
      </c>
      <c r="Z110" s="3"/>
      <c r="AA110" s="20">
        <f>AVERAGE(X110:X113)</f>
        <v>24.24</v>
      </c>
      <c r="AB110" s="19">
        <f>_xlfn.STDEV.P(X110:X113)</f>
        <v>0.5046533463675803</v>
      </c>
    </row>
    <row r="111" spans="1:28" x14ac:dyDescent="0.25">
      <c r="A111" s="18"/>
      <c r="B111" s="17">
        <v>2</v>
      </c>
      <c r="C111" s="16">
        <v>22.6</v>
      </c>
      <c r="D111" s="15">
        <v>22.9</v>
      </c>
      <c r="E111" s="15">
        <v>24.1</v>
      </c>
      <c r="F111" s="15">
        <v>20.399999999999999</v>
      </c>
      <c r="G111" s="15">
        <v>23.3</v>
      </c>
      <c r="H111" s="15">
        <v>25.2</v>
      </c>
      <c r="I111" s="15">
        <v>23.3</v>
      </c>
      <c r="J111" s="15">
        <v>25.3</v>
      </c>
      <c r="K111" s="15">
        <v>20.8</v>
      </c>
      <c r="L111" s="15">
        <v>22.9</v>
      </c>
      <c r="M111" s="15">
        <v>24.5</v>
      </c>
      <c r="N111" s="15">
        <v>25.2</v>
      </c>
      <c r="O111" s="15">
        <v>24.6</v>
      </c>
      <c r="P111" s="15">
        <v>24.1</v>
      </c>
      <c r="Q111" s="15">
        <v>25.4</v>
      </c>
      <c r="R111" s="15">
        <v>21.8</v>
      </c>
      <c r="S111" s="15">
        <v>23.9</v>
      </c>
      <c r="T111" s="15">
        <v>25.5</v>
      </c>
      <c r="U111" s="15">
        <v>23.3</v>
      </c>
      <c r="V111" s="14">
        <v>23.4</v>
      </c>
      <c r="X111" s="13">
        <f t="shared" si="4"/>
        <v>23.625000000000004</v>
      </c>
      <c r="Y111" s="3">
        <f t="shared" si="5"/>
        <v>1.429291782667206</v>
      </c>
      <c r="Z111" s="3"/>
      <c r="AA111" s="12"/>
      <c r="AB111" s="11"/>
    </row>
    <row r="112" spans="1:28" x14ac:dyDescent="0.25">
      <c r="A112" s="18"/>
      <c r="B112" s="17">
        <v>3</v>
      </c>
      <c r="C112" s="16">
        <v>21.3</v>
      </c>
      <c r="D112" s="15">
        <v>20</v>
      </c>
      <c r="E112" s="15">
        <v>22.8</v>
      </c>
      <c r="F112" s="15">
        <v>21</v>
      </c>
      <c r="G112" s="15">
        <v>26.6</v>
      </c>
      <c r="H112" s="15">
        <v>24.5</v>
      </c>
      <c r="I112" s="15">
        <v>26.2</v>
      </c>
      <c r="J112" s="15">
        <v>27.5</v>
      </c>
      <c r="K112" s="15">
        <v>24.1</v>
      </c>
      <c r="L112" s="15">
        <v>22.3</v>
      </c>
      <c r="M112" s="15">
        <v>21.1</v>
      </c>
      <c r="N112" s="15">
        <v>21.4</v>
      </c>
      <c r="O112" s="15">
        <v>22</v>
      </c>
      <c r="P112" s="15">
        <v>25.8</v>
      </c>
      <c r="Q112" s="15">
        <v>26.7</v>
      </c>
      <c r="R112" s="15">
        <v>25.8</v>
      </c>
      <c r="S112" s="15">
        <v>26.3</v>
      </c>
      <c r="T112" s="15">
        <v>23</v>
      </c>
      <c r="U112" s="15">
        <v>22.7</v>
      </c>
      <c r="V112" s="14">
        <v>26.2</v>
      </c>
      <c r="X112" s="13">
        <f t="shared" si="4"/>
        <v>23.864999999999998</v>
      </c>
      <c r="Y112" s="3">
        <f t="shared" si="5"/>
        <v>2.303535326405914</v>
      </c>
      <c r="Z112" s="3"/>
      <c r="AA112" s="12"/>
      <c r="AB112" s="11"/>
    </row>
    <row r="113" spans="1:28" ht="15.75" thickBot="1" x14ac:dyDescent="0.3">
      <c r="A113" s="33"/>
      <c r="B113" s="32">
        <v>4</v>
      </c>
      <c r="C113" s="19">
        <v>21.7</v>
      </c>
      <c r="D113" s="31">
        <v>25.7</v>
      </c>
      <c r="E113" s="31">
        <v>20.9</v>
      </c>
      <c r="F113" s="31">
        <v>25.6</v>
      </c>
      <c r="G113" s="31">
        <v>25.9</v>
      </c>
      <c r="H113" s="31">
        <v>28.5</v>
      </c>
      <c r="I113" s="31">
        <v>25.1</v>
      </c>
      <c r="J113" s="31">
        <v>23.5</v>
      </c>
      <c r="K113" s="31">
        <v>22.7</v>
      </c>
      <c r="L113" s="31">
        <v>26.2</v>
      </c>
      <c r="M113" s="31">
        <v>23</v>
      </c>
      <c r="N113" s="31">
        <v>26.5</v>
      </c>
      <c r="O113" s="31">
        <v>24.9</v>
      </c>
      <c r="P113" s="31">
        <v>22.5</v>
      </c>
      <c r="Q113" s="31">
        <v>25</v>
      </c>
      <c r="R113" s="31">
        <v>26.2</v>
      </c>
      <c r="S113" s="31">
        <v>24.4</v>
      </c>
      <c r="T113" s="31">
        <v>26.4</v>
      </c>
      <c r="U113" s="31">
        <v>24</v>
      </c>
      <c r="V113" s="30">
        <v>27.4</v>
      </c>
      <c r="X113" s="5">
        <f t="shared" si="4"/>
        <v>24.804999999999993</v>
      </c>
      <c r="Y113" s="4">
        <f t="shared" si="5"/>
        <v>1.9087888830355233</v>
      </c>
      <c r="Z113" s="3"/>
      <c r="AA113" s="2"/>
      <c r="AB113" s="1"/>
    </row>
    <row r="114" spans="1:28" x14ac:dyDescent="0.25">
      <c r="A114" s="29" t="s">
        <v>29</v>
      </c>
      <c r="B114" s="28">
        <v>1</v>
      </c>
      <c r="C114" s="27">
        <v>30.7</v>
      </c>
      <c r="D114" s="26">
        <v>26.5</v>
      </c>
      <c r="E114" s="26">
        <v>27.7</v>
      </c>
      <c r="F114" s="26">
        <v>25.6</v>
      </c>
      <c r="G114" s="26">
        <v>26.3</v>
      </c>
      <c r="H114" s="26">
        <v>27.6</v>
      </c>
      <c r="I114" s="26">
        <v>27</v>
      </c>
      <c r="J114" s="26">
        <v>30.6</v>
      </c>
      <c r="K114" s="26">
        <v>29.1</v>
      </c>
      <c r="L114" s="26">
        <v>30</v>
      </c>
      <c r="M114" s="26">
        <v>27.5</v>
      </c>
      <c r="N114" s="26">
        <v>31</v>
      </c>
      <c r="O114" s="26">
        <v>26</v>
      </c>
      <c r="P114" s="26">
        <v>25.6</v>
      </c>
      <c r="Q114" s="26">
        <v>29</v>
      </c>
      <c r="R114" s="26">
        <v>24.4</v>
      </c>
      <c r="S114" s="26">
        <v>23.9</v>
      </c>
      <c r="T114" s="26">
        <v>24</v>
      </c>
      <c r="U114" s="26">
        <v>30.3</v>
      </c>
      <c r="V114" s="25">
        <v>27.8</v>
      </c>
      <c r="X114" s="20">
        <f t="shared" si="4"/>
        <v>27.529999999999994</v>
      </c>
      <c r="Y114" s="21">
        <f t="shared" si="5"/>
        <v>2.2147460351019936</v>
      </c>
      <c r="Z114" s="3"/>
      <c r="AA114" s="20">
        <f>AVERAGE(X114:X117)</f>
        <v>29.041249999999998</v>
      </c>
      <c r="AB114" s="19">
        <f>_xlfn.STDEV.P(X114:X117)</f>
        <v>1.1293492318587741</v>
      </c>
    </row>
    <row r="115" spans="1:28" x14ac:dyDescent="0.25">
      <c r="A115" s="18"/>
      <c r="B115" s="17">
        <v>2</v>
      </c>
      <c r="C115" s="16">
        <v>27.2</v>
      </c>
      <c r="D115" s="15">
        <v>28.2</v>
      </c>
      <c r="E115" s="15">
        <v>27.5</v>
      </c>
      <c r="F115" s="15">
        <v>24.4</v>
      </c>
      <c r="G115" s="15">
        <v>30.1</v>
      </c>
      <c r="H115" s="15">
        <v>33.200000000000003</v>
      </c>
      <c r="I115" s="15">
        <v>28.9</v>
      </c>
      <c r="J115" s="15">
        <v>32.1</v>
      </c>
      <c r="K115" s="15">
        <v>34.6</v>
      </c>
      <c r="L115" s="15">
        <v>27.3</v>
      </c>
      <c r="M115" s="15">
        <v>27.9</v>
      </c>
      <c r="N115" s="15">
        <v>30.7</v>
      </c>
      <c r="O115" s="15">
        <v>23.4</v>
      </c>
      <c r="P115" s="15">
        <v>24.8</v>
      </c>
      <c r="Q115" s="15">
        <v>28</v>
      </c>
      <c r="R115" s="15">
        <v>26.6</v>
      </c>
      <c r="S115" s="15">
        <v>26.9</v>
      </c>
      <c r="T115" s="15">
        <v>25.4</v>
      </c>
      <c r="U115" s="15">
        <v>29.3</v>
      </c>
      <c r="V115" s="14">
        <v>31</v>
      </c>
      <c r="W115" s="3"/>
      <c r="X115" s="13">
        <f t="shared" si="4"/>
        <v>28.375</v>
      </c>
      <c r="Y115" s="3">
        <f t="shared" si="5"/>
        <v>2.8593487020648496</v>
      </c>
      <c r="Z115" s="3"/>
      <c r="AA115" s="12"/>
      <c r="AB115" s="11"/>
    </row>
    <row r="116" spans="1:28" x14ac:dyDescent="0.25">
      <c r="A116" s="18"/>
      <c r="B116" s="17">
        <v>3</v>
      </c>
      <c r="C116" s="16">
        <v>32.299999999999997</v>
      </c>
      <c r="D116" s="15">
        <v>27.8</v>
      </c>
      <c r="E116" s="15">
        <v>32.200000000000003</v>
      </c>
      <c r="F116" s="15">
        <v>32.1</v>
      </c>
      <c r="G116" s="15">
        <v>30.5</v>
      </c>
      <c r="H116" s="15">
        <v>30.5</v>
      </c>
      <c r="I116" s="15">
        <v>27.7</v>
      </c>
      <c r="J116" s="15">
        <v>31.2</v>
      </c>
      <c r="K116" s="15">
        <v>30.2</v>
      </c>
      <c r="L116" s="15">
        <v>31.8</v>
      </c>
      <c r="M116" s="15">
        <v>30.1</v>
      </c>
      <c r="N116" s="15">
        <v>29.7</v>
      </c>
      <c r="O116" s="15">
        <v>28.4</v>
      </c>
      <c r="P116" s="15">
        <v>30.4</v>
      </c>
      <c r="Q116" s="15">
        <v>29.2</v>
      </c>
      <c r="R116" s="15">
        <v>27.5</v>
      </c>
      <c r="S116" s="15">
        <v>30.6</v>
      </c>
      <c r="T116" s="15">
        <v>30.8</v>
      </c>
      <c r="U116" s="15">
        <v>31.9</v>
      </c>
      <c r="V116" s="14">
        <v>28.5</v>
      </c>
      <c r="X116" s="13">
        <f t="shared" si="4"/>
        <v>30.169999999999995</v>
      </c>
      <c r="Y116" s="3">
        <f t="shared" si="5"/>
        <v>1.5146286673637208</v>
      </c>
      <c r="Z116" s="3"/>
      <c r="AA116" s="12"/>
      <c r="AB116" s="11"/>
    </row>
    <row r="117" spans="1:28" ht="15.75" thickBot="1" x14ac:dyDescent="0.3">
      <c r="A117" s="10"/>
      <c r="B117" s="9">
        <v>4</v>
      </c>
      <c r="C117" s="8">
        <v>29.7</v>
      </c>
      <c r="D117" s="7">
        <v>29.7</v>
      </c>
      <c r="E117" s="7">
        <v>32.5</v>
      </c>
      <c r="F117" s="7">
        <v>28.6</v>
      </c>
      <c r="G117" s="7">
        <v>27.6</v>
      </c>
      <c r="H117" s="7">
        <v>30.4</v>
      </c>
      <c r="I117" s="7">
        <v>25</v>
      </c>
      <c r="J117" s="7">
        <v>32.700000000000003</v>
      </c>
      <c r="K117" s="7">
        <v>29.7</v>
      </c>
      <c r="L117" s="7">
        <v>25.9</v>
      </c>
      <c r="M117" s="7">
        <v>33.299999999999997</v>
      </c>
      <c r="N117" s="7">
        <v>27.6</v>
      </c>
      <c r="O117" s="7">
        <v>30.9</v>
      </c>
      <c r="P117" s="7">
        <v>32.700000000000003</v>
      </c>
      <c r="Q117" s="7">
        <v>32.6</v>
      </c>
      <c r="R117" s="7">
        <v>31</v>
      </c>
      <c r="S117" s="7">
        <v>30.1</v>
      </c>
      <c r="T117" s="7">
        <v>29.4</v>
      </c>
      <c r="U117" s="7">
        <v>29.7</v>
      </c>
      <c r="V117" s="6">
        <v>32.700000000000003</v>
      </c>
      <c r="X117" s="5">
        <f t="shared" si="4"/>
        <v>30.090000000000003</v>
      </c>
      <c r="Y117" s="4">
        <f t="shared" si="5"/>
        <v>2.2759393665034229</v>
      </c>
      <c r="Z117" s="3"/>
      <c r="AA117" s="2"/>
      <c r="AB117" s="1"/>
    </row>
    <row r="118" spans="1:28" x14ac:dyDescent="0.25">
      <c r="A118" s="24" t="s">
        <v>30</v>
      </c>
      <c r="B118" s="23">
        <v>1</v>
      </c>
      <c r="C118" s="1">
        <v>24.1</v>
      </c>
      <c r="D118" s="2">
        <v>24.5</v>
      </c>
      <c r="E118" s="2">
        <v>22.3</v>
      </c>
      <c r="F118" s="2">
        <v>27.3</v>
      </c>
      <c r="G118" s="2">
        <v>20.5</v>
      </c>
      <c r="H118" s="2">
        <v>24.1</v>
      </c>
      <c r="I118" s="2">
        <v>25.8</v>
      </c>
      <c r="J118" s="2">
        <v>26.6</v>
      </c>
      <c r="K118" s="2">
        <v>23.7</v>
      </c>
      <c r="L118" s="2">
        <v>24.8</v>
      </c>
      <c r="M118" s="2">
        <v>20.9</v>
      </c>
      <c r="N118" s="2">
        <v>23.6</v>
      </c>
      <c r="O118" s="2">
        <v>25.8</v>
      </c>
      <c r="P118" s="2">
        <v>24.2</v>
      </c>
      <c r="Q118" s="2">
        <v>27.5</v>
      </c>
      <c r="R118" s="2">
        <v>25.4</v>
      </c>
      <c r="S118" s="2">
        <v>21.6</v>
      </c>
      <c r="T118" s="2">
        <v>27.2</v>
      </c>
      <c r="U118" s="2">
        <v>25</v>
      </c>
      <c r="V118" s="22">
        <v>25.4</v>
      </c>
      <c r="X118" s="20">
        <f t="shared" si="4"/>
        <v>24.515000000000001</v>
      </c>
      <c r="Y118" s="21">
        <f t="shared" si="5"/>
        <v>1.974151716560812</v>
      </c>
      <c r="Z118" s="3"/>
      <c r="AA118" s="20">
        <f>AVERAGE(X118:X121)</f>
        <v>24.201249999999998</v>
      </c>
      <c r="AB118" s="19">
        <f>_xlfn.STDEV.P(X118:X121)</f>
        <v>1.757307510795991</v>
      </c>
    </row>
    <row r="119" spans="1:28" x14ac:dyDescent="0.25">
      <c r="A119" s="18"/>
      <c r="B119" s="17">
        <v>2</v>
      </c>
      <c r="C119" s="16">
        <v>26.2</v>
      </c>
      <c r="D119" s="15">
        <v>23.4</v>
      </c>
      <c r="E119" s="15">
        <v>27.2</v>
      </c>
      <c r="F119" s="15">
        <v>26.4</v>
      </c>
      <c r="G119" s="15">
        <v>24.6</v>
      </c>
      <c r="H119" s="15">
        <v>25.1</v>
      </c>
      <c r="I119" s="15">
        <v>23.4</v>
      </c>
      <c r="J119" s="15">
        <v>27.1</v>
      </c>
      <c r="K119" s="15">
        <v>25</v>
      </c>
      <c r="L119" s="15">
        <v>23.3</v>
      </c>
      <c r="M119" s="15">
        <v>26.9</v>
      </c>
      <c r="N119" s="15">
        <v>26.9</v>
      </c>
      <c r="O119" s="15">
        <v>24.7</v>
      </c>
      <c r="P119" s="15">
        <v>28.1</v>
      </c>
      <c r="Q119" s="15">
        <v>24.5</v>
      </c>
      <c r="R119" s="15">
        <v>23.8</v>
      </c>
      <c r="S119" s="15">
        <v>27.5</v>
      </c>
      <c r="T119" s="15">
        <v>26.5</v>
      </c>
      <c r="U119" s="15">
        <v>27.1</v>
      </c>
      <c r="V119" s="14">
        <v>28.1</v>
      </c>
      <c r="X119" s="13">
        <f t="shared" si="4"/>
        <v>25.79</v>
      </c>
      <c r="Y119" s="3">
        <f t="shared" si="5"/>
        <v>1.5728636304524308</v>
      </c>
      <c r="Z119" s="3"/>
      <c r="AA119" s="12"/>
      <c r="AB119" s="11"/>
    </row>
    <row r="120" spans="1:28" x14ac:dyDescent="0.25">
      <c r="A120" s="18"/>
      <c r="B120" s="17">
        <v>3</v>
      </c>
      <c r="C120" s="16">
        <v>23.8</v>
      </c>
      <c r="D120" s="15">
        <v>20.8</v>
      </c>
      <c r="E120" s="15">
        <v>23.8</v>
      </c>
      <c r="F120" s="15">
        <v>21.1</v>
      </c>
      <c r="G120" s="15">
        <v>19.899999999999999</v>
      </c>
      <c r="H120" s="15">
        <v>23.6</v>
      </c>
      <c r="I120" s="15">
        <v>19.399999999999999</v>
      </c>
      <c r="J120" s="15">
        <v>24</v>
      </c>
      <c r="K120" s="15">
        <v>24.7</v>
      </c>
      <c r="L120" s="15">
        <v>19.100000000000001</v>
      </c>
      <c r="M120" s="15">
        <v>22.3</v>
      </c>
      <c r="N120" s="15">
        <v>20.3</v>
      </c>
      <c r="O120" s="15">
        <v>20.7</v>
      </c>
      <c r="P120" s="15">
        <v>18.8</v>
      </c>
      <c r="Q120" s="15">
        <v>25.4</v>
      </c>
      <c r="R120" s="15">
        <v>18</v>
      </c>
      <c r="S120" s="15">
        <v>20.7</v>
      </c>
      <c r="T120" s="15">
        <v>18.8</v>
      </c>
      <c r="U120" s="15">
        <v>20.3</v>
      </c>
      <c r="V120" s="14">
        <v>19.7</v>
      </c>
      <c r="X120" s="13">
        <f t="shared" si="4"/>
        <v>21.259999999999998</v>
      </c>
      <c r="Y120" s="3">
        <f t="shared" si="5"/>
        <v>2.1655022512110431</v>
      </c>
      <c r="Z120" s="3"/>
      <c r="AA120" s="12"/>
      <c r="AB120" s="11"/>
    </row>
    <row r="121" spans="1:28" ht="15.75" thickBot="1" x14ac:dyDescent="0.3">
      <c r="A121" s="33"/>
      <c r="B121" s="32">
        <v>4</v>
      </c>
      <c r="C121" s="19">
        <v>26.4</v>
      </c>
      <c r="D121" s="31">
        <v>24.7</v>
      </c>
      <c r="E121" s="31">
        <v>23.9</v>
      </c>
      <c r="F121" s="31">
        <v>28.4</v>
      </c>
      <c r="G121" s="31">
        <v>26.3</v>
      </c>
      <c r="H121" s="31">
        <v>24.7</v>
      </c>
      <c r="I121" s="31">
        <v>23</v>
      </c>
      <c r="J121" s="31">
        <v>25</v>
      </c>
      <c r="K121" s="31">
        <v>25.2</v>
      </c>
      <c r="L121" s="31">
        <v>27.2</v>
      </c>
      <c r="M121" s="31">
        <v>26.1</v>
      </c>
      <c r="N121" s="31">
        <v>27.4</v>
      </c>
      <c r="O121" s="31">
        <v>25.6</v>
      </c>
      <c r="P121" s="31">
        <v>25.2</v>
      </c>
      <c r="Q121" s="31">
        <v>24.1</v>
      </c>
      <c r="R121" s="31">
        <v>22.6</v>
      </c>
      <c r="S121" s="31">
        <v>23.9</v>
      </c>
      <c r="T121" s="31">
        <v>26</v>
      </c>
      <c r="U121" s="31">
        <v>25.4</v>
      </c>
      <c r="V121" s="30">
        <v>23.7</v>
      </c>
      <c r="X121" s="5">
        <f t="shared" si="4"/>
        <v>25.24</v>
      </c>
      <c r="Y121" s="4">
        <f t="shared" si="5"/>
        <v>1.4547852075134664</v>
      </c>
      <c r="Z121" s="3"/>
      <c r="AA121" s="2"/>
      <c r="AB121" s="1"/>
    </row>
    <row r="122" spans="1:28" x14ac:dyDescent="0.25">
      <c r="A122" s="29" t="s">
        <v>31</v>
      </c>
      <c r="B122" s="28">
        <v>1</v>
      </c>
      <c r="C122" s="27">
        <v>35.200000000000003</v>
      </c>
      <c r="D122" s="26">
        <v>30.5</v>
      </c>
      <c r="E122" s="26">
        <v>35.700000000000003</v>
      </c>
      <c r="F122" s="26">
        <v>33.799999999999997</v>
      </c>
      <c r="G122" s="26">
        <v>34.4</v>
      </c>
      <c r="H122" s="26">
        <v>30</v>
      </c>
      <c r="I122" s="26">
        <v>29.3</v>
      </c>
      <c r="J122" s="26">
        <v>35.1</v>
      </c>
      <c r="K122" s="26">
        <v>33.9</v>
      </c>
      <c r="L122" s="26">
        <v>28.7</v>
      </c>
      <c r="M122" s="26">
        <v>31</v>
      </c>
      <c r="N122" s="26">
        <v>29.8</v>
      </c>
      <c r="O122" s="26">
        <v>29.9</v>
      </c>
      <c r="P122" s="26">
        <v>34</v>
      </c>
      <c r="Q122" s="26">
        <v>33.799999999999997</v>
      </c>
      <c r="R122" s="26">
        <v>33.299999999999997</v>
      </c>
      <c r="S122" s="26">
        <v>29.7</v>
      </c>
      <c r="T122" s="26">
        <v>30</v>
      </c>
      <c r="U122" s="26">
        <v>33.299999999999997</v>
      </c>
      <c r="V122" s="25">
        <v>30.2</v>
      </c>
      <c r="X122" s="20">
        <f t="shared" si="4"/>
        <v>32.08</v>
      </c>
      <c r="Y122" s="21">
        <f t="shared" si="5"/>
        <v>2.2787277151954775</v>
      </c>
      <c r="Z122" s="3"/>
      <c r="AA122" s="20">
        <f>AVERAGE(X122:X125)</f>
        <v>33.096249999999998</v>
      </c>
      <c r="AB122" s="19">
        <f>_xlfn.STDEV.P(X122:X125)</f>
        <v>0.62547357058472175</v>
      </c>
    </row>
    <row r="123" spans="1:28" x14ac:dyDescent="0.25">
      <c r="A123" s="18"/>
      <c r="B123" s="17">
        <v>2</v>
      </c>
      <c r="C123" s="16">
        <v>32.5</v>
      </c>
      <c r="D123" s="15">
        <v>34.9</v>
      </c>
      <c r="E123" s="15">
        <v>32.4</v>
      </c>
      <c r="F123" s="15">
        <v>33.700000000000003</v>
      </c>
      <c r="G123" s="15">
        <v>32.9</v>
      </c>
      <c r="H123" s="15">
        <v>35.700000000000003</v>
      </c>
      <c r="I123" s="15">
        <v>32.1</v>
      </c>
      <c r="J123" s="15">
        <v>34.200000000000003</v>
      </c>
      <c r="K123" s="15">
        <v>35.299999999999997</v>
      </c>
      <c r="L123" s="15">
        <v>32.4</v>
      </c>
      <c r="M123" s="15">
        <v>34.200000000000003</v>
      </c>
      <c r="N123" s="15">
        <v>31.9</v>
      </c>
      <c r="O123" s="15">
        <v>36.299999999999997</v>
      </c>
      <c r="P123" s="15">
        <v>31.4</v>
      </c>
      <c r="Q123" s="15">
        <v>37.5</v>
      </c>
      <c r="R123" s="15">
        <v>33.299999999999997</v>
      </c>
      <c r="S123" s="15">
        <v>36</v>
      </c>
      <c r="T123" s="15">
        <v>29.8</v>
      </c>
      <c r="U123" s="15">
        <v>36.1</v>
      </c>
      <c r="V123" s="14">
        <v>31.2</v>
      </c>
      <c r="X123" s="13">
        <f t="shared" si="4"/>
        <v>33.69</v>
      </c>
      <c r="Y123" s="3">
        <f t="shared" si="5"/>
        <v>1.9864289566959097</v>
      </c>
      <c r="Z123" s="3"/>
      <c r="AA123" s="12"/>
      <c r="AB123" s="11"/>
    </row>
    <row r="124" spans="1:28" x14ac:dyDescent="0.25">
      <c r="A124" s="18"/>
      <c r="B124" s="17">
        <v>3</v>
      </c>
      <c r="C124" s="16">
        <v>36</v>
      </c>
      <c r="D124" s="15">
        <v>34</v>
      </c>
      <c r="E124" s="15">
        <v>36.9</v>
      </c>
      <c r="F124" s="15">
        <v>33.299999999999997</v>
      </c>
      <c r="G124" s="15">
        <v>29.1</v>
      </c>
      <c r="H124" s="15">
        <v>34.5</v>
      </c>
      <c r="I124" s="15">
        <v>33</v>
      </c>
      <c r="J124" s="15">
        <v>32.5</v>
      </c>
      <c r="K124" s="15">
        <v>35</v>
      </c>
      <c r="L124" s="15">
        <v>33.200000000000003</v>
      </c>
      <c r="M124" s="15">
        <v>31.4</v>
      </c>
      <c r="N124" s="15">
        <v>33.6</v>
      </c>
      <c r="O124" s="15">
        <v>31.4</v>
      </c>
      <c r="P124" s="15">
        <v>29.4</v>
      </c>
      <c r="Q124" s="15">
        <v>33.799999999999997</v>
      </c>
      <c r="R124" s="15">
        <v>32.5</v>
      </c>
      <c r="S124" s="15">
        <v>29.1</v>
      </c>
      <c r="T124" s="15">
        <v>34.6</v>
      </c>
      <c r="U124" s="15">
        <v>34.799999999999997</v>
      </c>
      <c r="V124" s="14">
        <v>33.799999999999997</v>
      </c>
      <c r="X124" s="13">
        <f t="shared" si="4"/>
        <v>33.094999999999992</v>
      </c>
      <c r="Y124" s="3">
        <f t="shared" si="5"/>
        <v>2.0958232272784838</v>
      </c>
      <c r="Z124" s="3"/>
      <c r="AA124" s="12"/>
      <c r="AB124" s="11"/>
    </row>
    <row r="125" spans="1:28" ht="15.75" thickBot="1" x14ac:dyDescent="0.3">
      <c r="A125" s="10"/>
      <c r="B125" s="9">
        <v>4</v>
      </c>
      <c r="C125" s="8">
        <v>31.3</v>
      </c>
      <c r="D125" s="7">
        <v>36.700000000000003</v>
      </c>
      <c r="E125" s="7">
        <v>36.200000000000003</v>
      </c>
      <c r="F125" s="7">
        <v>35.1</v>
      </c>
      <c r="G125" s="7">
        <v>34.4</v>
      </c>
      <c r="H125" s="7">
        <v>29.9</v>
      </c>
      <c r="I125" s="7">
        <v>35.4</v>
      </c>
      <c r="J125" s="7">
        <v>33.200000000000003</v>
      </c>
      <c r="K125" s="7">
        <v>29.4</v>
      </c>
      <c r="L125" s="7">
        <v>34.799999999999997</v>
      </c>
      <c r="M125" s="7">
        <v>35.799999999999997</v>
      </c>
      <c r="N125" s="7">
        <v>34.200000000000003</v>
      </c>
      <c r="O125" s="7">
        <v>27.9</v>
      </c>
      <c r="P125" s="7">
        <v>33.700000000000003</v>
      </c>
      <c r="Q125" s="7">
        <v>31</v>
      </c>
      <c r="R125" s="7">
        <v>32.5</v>
      </c>
      <c r="S125" s="7">
        <v>35.200000000000003</v>
      </c>
      <c r="T125" s="7">
        <v>35.9</v>
      </c>
      <c r="U125" s="7">
        <v>34.6</v>
      </c>
      <c r="V125" s="6">
        <v>33.200000000000003</v>
      </c>
      <c r="X125" s="5">
        <f t="shared" si="4"/>
        <v>33.520000000000003</v>
      </c>
      <c r="Y125" s="4">
        <f t="shared" si="5"/>
        <v>2.4007498828491074</v>
      </c>
      <c r="Z125" s="3"/>
      <c r="AA125" s="2"/>
      <c r="AB125" s="1"/>
    </row>
    <row r="126" spans="1:28" x14ac:dyDescent="0.25">
      <c r="A126" s="24" t="s">
        <v>32</v>
      </c>
      <c r="B126" s="23">
        <v>1</v>
      </c>
      <c r="C126" s="1">
        <v>28.1</v>
      </c>
      <c r="D126" s="2">
        <v>26</v>
      </c>
      <c r="E126" s="2">
        <v>26.7</v>
      </c>
      <c r="F126" s="2">
        <v>24.3</v>
      </c>
      <c r="G126" s="2">
        <v>32.5</v>
      </c>
      <c r="H126" s="2">
        <v>28.7</v>
      </c>
      <c r="I126" s="2">
        <v>24.2</v>
      </c>
      <c r="J126" s="2">
        <v>26.9</v>
      </c>
      <c r="K126" s="2">
        <v>30.1</v>
      </c>
      <c r="L126" s="2">
        <v>29.3</v>
      </c>
      <c r="M126" s="2">
        <v>27.3</v>
      </c>
      <c r="N126" s="2">
        <v>29.2</v>
      </c>
      <c r="O126" s="2">
        <v>26.3</v>
      </c>
      <c r="P126" s="2">
        <v>25.4</v>
      </c>
      <c r="Q126" s="2">
        <v>30.1</v>
      </c>
      <c r="R126" s="2">
        <v>29.6</v>
      </c>
      <c r="S126" s="2">
        <v>26.7</v>
      </c>
      <c r="T126" s="2">
        <v>29.1</v>
      </c>
      <c r="U126" s="2">
        <v>27.7</v>
      </c>
      <c r="V126" s="22">
        <v>27.1</v>
      </c>
      <c r="X126" s="20">
        <f t="shared" si="4"/>
        <v>27.765000000000004</v>
      </c>
      <c r="Y126" s="21">
        <f t="shared" si="5"/>
        <v>2.0386944351716867</v>
      </c>
      <c r="Z126" s="3"/>
      <c r="AA126" s="20">
        <f>AVERAGE(X126:X129)</f>
        <v>27.7925</v>
      </c>
      <c r="AB126" s="19">
        <f>_xlfn.STDEV.P(X126:X129)</f>
        <v>0.51756038295062501</v>
      </c>
    </row>
    <row r="127" spans="1:28" x14ac:dyDescent="0.25">
      <c r="A127" s="18"/>
      <c r="B127" s="17">
        <v>2</v>
      </c>
      <c r="C127" s="16">
        <v>29</v>
      </c>
      <c r="D127" s="15">
        <v>29.5</v>
      </c>
      <c r="E127" s="15">
        <v>29.2</v>
      </c>
      <c r="F127" s="15">
        <v>28.1</v>
      </c>
      <c r="G127" s="15">
        <v>28.1</v>
      </c>
      <c r="H127" s="15">
        <v>32.200000000000003</v>
      </c>
      <c r="I127" s="15">
        <v>24.8</v>
      </c>
      <c r="J127" s="15">
        <v>26.8</v>
      </c>
      <c r="K127" s="15">
        <v>29.1</v>
      </c>
      <c r="L127" s="15">
        <v>23.2</v>
      </c>
      <c r="M127" s="15">
        <v>27.1</v>
      </c>
      <c r="N127" s="15">
        <v>21.7</v>
      </c>
      <c r="O127" s="15">
        <v>24.2</v>
      </c>
      <c r="P127" s="15">
        <v>29.7</v>
      </c>
      <c r="Q127" s="15">
        <v>25</v>
      </c>
      <c r="R127" s="15">
        <v>28.5</v>
      </c>
      <c r="S127" s="15">
        <v>31</v>
      </c>
      <c r="T127" s="15">
        <v>31.2</v>
      </c>
      <c r="U127" s="15">
        <v>24.7</v>
      </c>
      <c r="V127" s="14">
        <v>27</v>
      </c>
      <c r="X127" s="13">
        <f t="shared" si="4"/>
        <v>27.505000000000003</v>
      </c>
      <c r="Y127" s="3">
        <f t="shared" si="5"/>
        <v>2.7530846336427803</v>
      </c>
      <c r="Z127" s="3"/>
      <c r="AA127" s="12"/>
      <c r="AB127" s="11"/>
    </row>
    <row r="128" spans="1:28" x14ac:dyDescent="0.25">
      <c r="A128" s="18"/>
      <c r="B128" s="17">
        <v>3</v>
      </c>
      <c r="C128" s="16">
        <v>28</v>
      </c>
      <c r="D128" s="15">
        <v>29.3</v>
      </c>
      <c r="E128" s="15">
        <v>32.9</v>
      </c>
      <c r="F128" s="15">
        <v>28.4</v>
      </c>
      <c r="G128" s="15">
        <v>30.1</v>
      </c>
      <c r="H128" s="15">
        <v>25.1</v>
      </c>
      <c r="I128" s="15">
        <v>25.2</v>
      </c>
      <c r="J128" s="15">
        <v>32.4</v>
      </c>
      <c r="K128" s="15">
        <v>30.4</v>
      </c>
      <c r="L128" s="15">
        <v>32.200000000000003</v>
      </c>
      <c r="M128" s="15">
        <v>26.8</v>
      </c>
      <c r="N128" s="15">
        <v>25.8</v>
      </c>
      <c r="O128" s="15">
        <v>28.9</v>
      </c>
      <c r="P128" s="15">
        <v>29.7</v>
      </c>
      <c r="Q128" s="15">
        <v>26.6</v>
      </c>
      <c r="R128" s="15">
        <v>24.2</v>
      </c>
      <c r="S128" s="15">
        <v>30.1</v>
      </c>
      <c r="T128" s="15">
        <v>28.1</v>
      </c>
      <c r="U128" s="15">
        <v>28.8</v>
      </c>
      <c r="V128" s="14">
        <v>29.7</v>
      </c>
      <c r="X128" s="13">
        <f t="shared" si="4"/>
        <v>28.634999999999998</v>
      </c>
      <c r="Y128" s="3">
        <f t="shared" si="5"/>
        <v>2.4035962639345239</v>
      </c>
      <c r="Z128" s="3"/>
      <c r="AA128" s="12"/>
      <c r="AB128" s="11"/>
    </row>
    <row r="129" spans="1:28" ht="15.75" thickBot="1" x14ac:dyDescent="0.3">
      <c r="A129" s="33"/>
      <c r="B129" s="32">
        <v>4</v>
      </c>
      <c r="C129" s="19">
        <v>31.1</v>
      </c>
      <c r="D129" s="31">
        <v>31.8</v>
      </c>
      <c r="E129" s="31">
        <v>27.5</v>
      </c>
      <c r="F129" s="31">
        <v>25.6</v>
      </c>
      <c r="G129" s="31">
        <v>25.4</v>
      </c>
      <c r="H129" s="31">
        <v>27.7</v>
      </c>
      <c r="I129" s="31">
        <v>22.6</v>
      </c>
      <c r="J129" s="31">
        <v>22.9</v>
      </c>
      <c r="K129" s="31">
        <v>27.2</v>
      </c>
      <c r="L129" s="31">
        <v>29.6</v>
      </c>
      <c r="M129" s="31">
        <v>26.3</v>
      </c>
      <c r="N129" s="31">
        <v>27.1</v>
      </c>
      <c r="O129" s="31">
        <v>29.2</v>
      </c>
      <c r="P129" s="31">
        <v>25.4</v>
      </c>
      <c r="Q129" s="31">
        <v>24.7</v>
      </c>
      <c r="R129" s="31">
        <v>27.1</v>
      </c>
      <c r="S129" s="31">
        <v>26.9</v>
      </c>
      <c r="T129" s="31">
        <v>28.3</v>
      </c>
      <c r="U129" s="31">
        <v>29.2</v>
      </c>
      <c r="V129" s="30">
        <v>29.7</v>
      </c>
      <c r="X129" s="5">
        <f t="shared" si="4"/>
        <v>27.265000000000004</v>
      </c>
      <c r="Y129" s="4">
        <f t="shared" si="5"/>
        <v>2.3843814711576674</v>
      </c>
      <c r="Z129" s="3"/>
      <c r="AA129" s="2"/>
      <c r="AB129" s="1"/>
    </row>
    <row r="130" spans="1:28" x14ac:dyDescent="0.25">
      <c r="A130" s="29" t="s">
        <v>33</v>
      </c>
      <c r="B130" s="28">
        <v>1</v>
      </c>
      <c r="C130" s="27">
        <v>30.6</v>
      </c>
      <c r="D130" s="26">
        <v>32</v>
      </c>
      <c r="E130" s="26">
        <v>34.5</v>
      </c>
      <c r="F130" s="26">
        <v>36.6</v>
      </c>
      <c r="G130" s="26">
        <v>31.2</v>
      </c>
      <c r="H130" s="26">
        <v>31.8</v>
      </c>
      <c r="I130" s="26">
        <v>30.4</v>
      </c>
      <c r="J130" s="26">
        <v>30.9</v>
      </c>
      <c r="K130" s="26">
        <v>30.7</v>
      </c>
      <c r="L130" s="26">
        <v>31.6</v>
      </c>
      <c r="M130" s="26">
        <v>33</v>
      </c>
      <c r="N130" s="26">
        <v>33.799999999999997</v>
      </c>
      <c r="O130" s="26">
        <v>31</v>
      </c>
      <c r="P130" s="26">
        <v>33.4</v>
      </c>
      <c r="Q130" s="26">
        <v>32.1</v>
      </c>
      <c r="R130" s="26">
        <v>30.6</v>
      </c>
      <c r="S130" s="26">
        <v>30.4</v>
      </c>
      <c r="T130" s="26">
        <v>34.200000000000003</v>
      </c>
      <c r="U130" s="26">
        <v>32.200000000000003</v>
      </c>
      <c r="V130" s="25">
        <v>34.4</v>
      </c>
      <c r="X130" s="20">
        <f t="shared" si="4"/>
        <v>32.270000000000003</v>
      </c>
      <c r="Y130" s="21">
        <f t="shared" si="5"/>
        <v>1.681992865621017</v>
      </c>
      <c r="Z130" s="3"/>
      <c r="AA130" s="20">
        <f>AVERAGE(X130:X133)</f>
        <v>31.158750000000001</v>
      </c>
      <c r="AB130" s="19">
        <f>_xlfn.STDEV.P(X130:X133)</f>
        <v>1.1299688878460319</v>
      </c>
    </row>
    <row r="131" spans="1:28" x14ac:dyDescent="0.25">
      <c r="A131" s="18"/>
      <c r="B131" s="17">
        <v>2</v>
      </c>
      <c r="C131" s="16">
        <v>31.2</v>
      </c>
      <c r="D131" s="15">
        <v>32.700000000000003</v>
      </c>
      <c r="E131" s="15">
        <v>33.200000000000003</v>
      </c>
      <c r="F131" s="15">
        <v>32</v>
      </c>
      <c r="G131" s="15">
        <v>30.7</v>
      </c>
      <c r="H131" s="15">
        <v>29.7</v>
      </c>
      <c r="I131" s="15">
        <v>32.700000000000003</v>
      </c>
      <c r="J131" s="15">
        <v>32.6</v>
      </c>
      <c r="K131" s="15">
        <v>31.5</v>
      </c>
      <c r="L131" s="15">
        <v>30.4</v>
      </c>
      <c r="M131" s="15">
        <v>29.7</v>
      </c>
      <c r="N131" s="15">
        <v>30.7</v>
      </c>
      <c r="O131" s="15">
        <v>30.2</v>
      </c>
      <c r="P131" s="15">
        <v>30.6</v>
      </c>
      <c r="Q131" s="15">
        <v>29.9</v>
      </c>
      <c r="R131" s="15">
        <v>33.700000000000003</v>
      </c>
      <c r="S131" s="15">
        <v>33</v>
      </c>
      <c r="T131" s="15">
        <v>33.1</v>
      </c>
      <c r="U131" s="15">
        <v>28.7</v>
      </c>
      <c r="V131" s="14">
        <v>33.9</v>
      </c>
      <c r="X131" s="13">
        <f t="shared" si="4"/>
        <v>31.509999999999998</v>
      </c>
      <c r="Y131" s="3">
        <f t="shared" si="5"/>
        <v>1.4932849694549273</v>
      </c>
      <c r="Z131" s="3"/>
      <c r="AA131" s="12"/>
      <c r="AB131" s="11"/>
    </row>
    <row r="132" spans="1:28" x14ac:dyDescent="0.25">
      <c r="A132" s="18"/>
      <c r="B132" s="17">
        <v>3</v>
      </c>
      <c r="C132" s="16">
        <v>28.8</v>
      </c>
      <c r="D132" s="15">
        <v>29.1</v>
      </c>
      <c r="E132" s="15">
        <v>29.4</v>
      </c>
      <c r="F132" s="15">
        <v>28.4</v>
      </c>
      <c r="G132" s="15">
        <v>32.5</v>
      </c>
      <c r="H132" s="15">
        <v>28.3</v>
      </c>
      <c r="I132" s="15">
        <v>28.3</v>
      </c>
      <c r="J132" s="15">
        <v>28.5</v>
      </c>
      <c r="K132" s="15">
        <v>31.4</v>
      </c>
      <c r="L132" s="15">
        <v>26.1</v>
      </c>
      <c r="M132" s="15">
        <v>28.7</v>
      </c>
      <c r="N132" s="15">
        <v>32.5</v>
      </c>
      <c r="O132" s="15">
        <v>28.5</v>
      </c>
      <c r="P132" s="15">
        <v>29</v>
      </c>
      <c r="Q132" s="15">
        <v>29.8</v>
      </c>
      <c r="R132" s="15">
        <v>30.2</v>
      </c>
      <c r="S132" s="15">
        <v>29.1</v>
      </c>
      <c r="T132" s="15">
        <v>28</v>
      </c>
      <c r="U132" s="15">
        <v>27</v>
      </c>
      <c r="V132" s="14">
        <v>31.8</v>
      </c>
      <c r="X132" s="13">
        <f t="shared" si="4"/>
        <v>29.270000000000003</v>
      </c>
      <c r="Y132" s="3">
        <f t="shared" si="5"/>
        <v>1.6474525789836862</v>
      </c>
      <c r="Z132" s="3"/>
      <c r="AA132" s="12"/>
      <c r="AB132" s="11"/>
    </row>
    <row r="133" spans="1:28" ht="15.75" thickBot="1" x14ac:dyDescent="0.3">
      <c r="A133" s="10"/>
      <c r="B133" s="9">
        <v>4</v>
      </c>
      <c r="C133" s="8">
        <v>31.3</v>
      </c>
      <c r="D133" s="7">
        <v>31.5</v>
      </c>
      <c r="E133" s="7">
        <v>33.9</v>
      </c>
      <c r="F133" s="7">
        <v>31.3</v>
      </c>
      <c r="G133" s="7">
        <v>31.9</v>
      </c>
      <c r="H133" s="7">
        <v>27</v>
      </c>
      <c r="I133" s="7">
        <v>30.5</v>
      </c>
      <c r="J133" s="7">
        <v>31.5</v>
      </c>
      <c r="K133" s="7">
        <v>31.9</v>
      </c>
      <c r="L133" s="7">
        <v>32.200000000000003</v>
      </c>
      <c r="M133" s="7">
        <v>28.7</v>
      </c>
      <c r="N133" s="7">
        <v>33.6</v>
      </c>
      <c r="O133" s="7">
        <v>31.6</v>
      </c>
      <c r="P133" s="7">
        <v>34</v>
      </c>
      <c r="Q133" s="7">
        <v>30.9</v>
      </c>
      <c r="R133" s="7">
        <v>32.299999999999997</v>
      </c>
      <c r="S133" s="7">
        <v>32.5</v>
      </c>
      <c r="T133" s="7">
        <v>34.5</v>
      </c>
      <c r="U133" s="7">
        <v>30.6</v>
      </c>
      <c r="V133" s="6">
        <v>30</v>
      </c>
      <c r="X133" s="5">
        <f t="shared" si="4"/>
        <v>31.584999999999997</v>
      </c>
      <c r="Y133" s="4">
        <f t="shared" si="5"/>
        <v>1.7367426406926272</v>
      </c>
      <c r="Z133" s="3"/>
      <c r="AA133" s="2"/>
      <c r="AB133" s="1"/>
    </row>
    <row r="134" spans="1:28" x14ac:dyDescent="0.25">
      <c r="A134" s="24" t="s">
        <v>34</v>
      </c>
      <c r="B134" s="23">
        <v>1</v>
      </c>
      <c r="C134" s="1">
        <v>29.2</v>
      </c>
      <c r="D134" s="2">
        <v>32.299999999999997</v>
      </c>
      <c r="E134" s="2">
        <v>27.4</v>
      </c>
      <c r="F134" s="2">
        <v>25.2</v>
      </c>
      <c r="G134" s="2">
        <v>32.1</v>
      </c>
      <c r="H134" s="2">
        <v>30.6</v>
      </c>
      <c r="I134" s="2">
        <v>30.4</v>
      </c>
      <c r="J134" s="2">
        <v>29.3</v>
      </c>
      <c r="K134" s="2">
        <v>27.2</v>
      </c>
      <c r="L134" s="2">
        <v>26.2</v>
      </c>
      <c r="M134" s="2">
        <v>29.7</v>
      </c>
      <c r="N134" s="2">
        <v>28.5</v>
      </c>
      <c r="O134" s="2">
        <v>30.5</v>
      </c>
      <c r="P134" s="2">
        <v>27.2</v>
      </c>
      <c r="Q134" s="2">
        <v>29.6</v>
      </c>
      <c r="R134" s="2">
        <v>30.3</v>
      </c>
      <c r="S134" s="2">
        <v>26.6</v>
      </c>
      <c r="T134" s="2">
        <v>25.7</v>
      </c>
      <c r="U134" s="2">
        <v>24.7</v>
      </c>
      <c r="V134" s="22">
        <v>27</v>
      </c>
      <c r="X134" s="20">
        <f t="shared" si="4"/>
        <v>28.485000000000007</v>
      </c>
      <c r="Y134" s="21">
        <f t="shared" si="5"/>
        <v>2.1834090317666091</v>
      </c>
      <c r="Z134" s="3"/>
      <c r="AA134" s="20">
        <f>AVERAGE(X134:X137)</f>
        <v>26.945</v>
      </c>
      <c r="AB134" s="19">
        <f>_xlfn.STDEV.P(X134:X137)</f>
        <v>0.93916851523036216</v>
      </c>
    </row>
    <row r="135" spans="1:28" x14ac:dyDescent="0.25">
      <c r="A135" s="18"/>
      <c r="B135" s="17">
        <v>2</v>
      </c>
      <c r="C135" s="16">
        <v>27.9</v>
      </c>
      <c r="D135" s="15">
        <v>28.6</v>
      </c>
      <c r="E135" s="15">
        <v>25.4</v>
      </c>
      <c r="F135" s="15">
        <v>26.9</v>
      </c>
      <c r="G135" s="15">
        <v>23.9</v>
      </c>
      <c r="H135" s="15">
        <v>26.8</v>
      </c>
      <c r="I135" s="15">
        <v>22.7</v>
      </c>
      <c r="J135" s="15">
        <v>28.2</v>
      </c>
      <c r="K135" s="15">
        <v>28.3</v>
      </c>
      <c r="L135" s="15">
        <v>29.7</v>
      </c>
      <c r="M135" s="15">
        <v>27.7</v>
      </c>
      <c r="N135" s="15">
        <v>26.7</v>
      </c>
      <c r="O135" s="15">
        <v>25.7</v>
      </c>
      <c r="P135" s="15">
        <v>25</v>
      </c>
      <c r="Q135" s="15">
        <v>21.5</v>
      </c>
      <c r="R135" s="15">
        <v>27.6</v>
      </c>
      <c r="S135" s="15">
        <v>28.2</v>
      </c>
      <c r="T135" s="15">
        <v>26.4</v>
      </c>
      <c r="U135" s="15">
        <v>25.1</v>
      </c>
      <c r="V135" s="14">
        <v>26.7</v>
      </c>
      <c r="X135" s="13">
        <f t="shared" si="4"/>
        <v>26.45</v>
      </c>
      <c r="Y135" s="3">
        <f t="shared" si="5"/>
        <v>2.0103482285415133</v>
      </c>
      <c r="Z135" s="3"/>
      <c r="AA135" s="12"/>
      <c r="AB135" s="11"/>
    </row>
    <row r="136" spans="1:28" x14ac:dyDescent="0.25">
      <c r="A136" s="18"/>
      <c r="B136" s="17">
        <v>3</v>
      </c>
      <c r="C136" s="16">
        <v>26.8</v>
      </c>
      <c r="D136" s="15">
        <v>26.7</v>
      </c>
      <c r="E136" s="15">
        <v>28.5</v>
      </c>
      <c r="F136" s="15">
        <v>27.9</v>
      </c>
      <c r="G136" s="15">
        <v>29.3</v>
      </c>
      <c r="H136" s="15">
        <v>25.1</v>
      </c>
      <c r="I136" s="15">
        <v>23.4</v>
      </c>
      <c r="J136" s="15">
        <v>27.5</v>
      </c>
      <c r="K136" s="15">
        <v>28.4</v>
      </c>
      <c r="L136" s="15">
        <v>29.5</v>
      </c>
      <c r="M136" s="15">
        <v>26.6</v>
      </c>
      <c r="N136" s="15">
        <v>25</v>
      </c>
      <c r="O136" s="15">
        <v>27.7</v>
      </c>
      <c r="P136" s="15">
        <v>25.2</v>
      </c>
      <c r="Q136" s="15">
        <v>22.6</v>
      </c>
      <c r="R136" s="15">
        <v>25.2</v>
      </c>
      <c r="S136" s="15">
        <v>27.9</v>
      </c>
      <c r="T136" s="15">
        <v>28</v>
      </c>
      <c r="U136" s="15">
        <v>28</v>
      </c>
      <c r="V136" s="14">
        <v>27.7</v>
      </c>
      <c r="X136" s="13">
        <f t="shared" si="4"/>
        <v>26.85</v>
      </c>
      <c r="Y136" s="3">
        <f t="shared" si="5"/>
        <v>1.8282505298782219</v>
      </c>
      <c r="Z136" s="3"/>
      <c r="AA136" s="12"/>
      <c r="AB136" s="11"/>
    </row>
    <row r="137" spans="1:28" ht="15.75" thickBot="1" x14ac:dyDescent="0.3">
      <c r="A137" s="33"/>
      <c r="B137" s="32">
        <v>4</v>
      </c>
      <c r="C137" s="19">
        <v>26.3</v>
      </c>
      <c r="D137" s="31">
        <v>28.2</v>
      </c>
      <c r="E137" s="31">
        <v>28.3</v>
      </c>
      <c r="F137" s="31">
        <v>24.5</v>
      </c>
      <c r="G137" s="31">
        <v>28.7</v>
      </c>
      <c r="H137" s="31">
        <v>25.2</v>
      </c>
      <c r="I137" s="31">
        <v>27.4</v>
      </c>
      <c r="J137" s="31">
        <v>26</v>
      </c>
      <c r="K137" s="31">
        <v>23.4</v>
      </c>
      <c r="L137" s="31">
        <v>28.6</v>
      </c>
      <c r="M137" s="31">
        <v>26.5</v>
      </c>
      <c r="N137" s="31">
        <v>23.3</v>
      </c>
      <c r="O137" s="31">
        <v>25</v>
      </c>
      <c r="P137" s="31">
        <v>22.6</v>
      </c>
      <c r="Q137" s="31">
        <v>27.3</v>
      </c>
      <c r="R137" s="31">
        <v>26.1</v>
      </c>
      <c r="S137" s="31">
        <v>28.4</v>
      </c>
      <c r="T137" s="31">
        <v>25.8</v>
      </c>
      <c r="U137" s="31">
        <v>25.4</v>
      </c>
      <c r="V137" s="30">
        <v>22.9</v>
      </c>
      <c r="X137" s="5">
        <f t="shared" si="4"/>
        <v>25.995000000000005</v>
      </c>
      <c r="Y137" s="4">
        <f t="shared" si="5"/>
        <v>1.9163702669369507</v>
      </c>
      <c r="Z137" s="3"/>
      <c r="AA137" s="2"/>
      <c r="AB137" s="1"/>
    </row>
    <row r="138" spans="1:28" x14ac:dyDescent="0.25">
      <c r="A138" s="29" t="s">
        <v>35</v>
      </c>
      <c r="B138" s="28">
        <v>1</v>
      </c>
      <c r="C138" s="27">
        <v>37.700000000000003</v>
      </c>
      <c r="D138" s="26">
        <v>33.9</v>
      </c>
      <c r="E138" s="26">
        <v>34.9</v>
      </c>
      <c r="F138" s="26">
        <v>34.299999999999997</v>
      </c>
      <c r="G138" s="26">
        <v>37.4</v>
      </c>
      <c r="H138" s="26">
        <v>34.5</v>
      </c>
      <c r="I138" s="26">
        <v>38.4</v>
      </c>
      <c r="J138" s="26">
        <v>31.6</v>
      </c>
      <c r="K138" s="26">
        <v>34.1</v>
      </c>
      <c r="L138" s="26">
        <v>33.299999999999997</v>
      </c>
      <c r="M138" s="26">
        <v>30.6</v>
      </c>
      <c r="N138" s="26">
        <v>34.4</v>
      </c>
      <c r="O138" s="26">
        <v>36.1</v>
      </c>
      <c r="P138" s="26">
        <v>38.200000000000003</v>
      </c>
      <c r="Q138" s="26">
        <v>37.799999999999997</v>
      </c>
      <c r="R138" s="26">
        <v>35.4</v>
      </c>
      <c r="S138" s="26">
        <v>31.8</v>
      </c>
      <c r="T138" s="26">
        <v>35.1</v>
      </c>
      <c r="U138" s="26">
        <v>33.4</v>
      </c>
      <c r="V138" s="25">
        <v>36.9</v>
      </c>
      <c r="X138" s="20">
        <f t="shared" si="4"/>
        <v>34.989999999999995</v>
      </c>
      <c r="Y138" s="21">
        <f t="shared" si="5"/>
        <v>2.2070115541156556</v>
      </c>
      <c r="Z138" s="3"/>
      <c r="AA138" s="20">
        <f>AVERAGE(X138:X141)</f>
        <v>35.579124999999998</v>
      </c>
      <c r="AB138" s="19">
        <f>_xlfn.STDEV.P(X138:X141)</f>
        <v>0.91301823468920962</v>
      </c>
    </row>
    <row r="139" spans="1:28" x14ac:dyDescent="0.25">
      <c r="A139" s="18"/>
      <c r="B139" s="17">
        <v>2</v>
      </c>
      <c r="C139" s="16">
        <v>36.1</v>
      </c>
      <c r="D139" s="15">
        <v>38.4</v>
      </c>
      <c r="E139" s="15">
        <v>35.200000000000003</v>
      </c>
      <c r="F139" s="15">
        <v>38.299999999999997</v>
      </c>
      <c r="G139" s="15">
        <v>36.6</v>
      </c>
      <c r="H139" s="15">
        <v>36.9</v>
      </c>
      <c r="I139" s="15">
        <v>37.200000000000003</v>
      </c>
      <c r="J139" s="15">
        <v>35.799999999999997</v>
      </c>
      <c r="K139" s="15">
        <v>33</v>
      </c>
      <c r="L139" s="15">
        <v>32.4</v>
      </c>
      <c r="M139" s="15">
        <v>32.299999999999997</v>
      </c>
      <c r="N139" s="15">
        <v>37.6</v>
      </c>
      <c r="O139" s="15">
        <v>38</v>
      </c>
      <c r="P139" s="15">
        <v>36.299999999999997</v>
      </c>
      <c r="Q139" s="15">
        <v>34</v>
      </c>
      <c r="R139" s="15">
        <v>37.6</v>
      </c>
      <c r="S139" s="15">
        <v>32.6</v>
      </c>
      <c r="T139" s="15">
        <v>36.299999999999997</v>
      </c>
      <c r="U139" s="15">
        <v>36.299999999999997</v>
      </c>
      <c r="V139" s="14">
        <v>36.4</v>
      </c>
      <c r="X139" s="13">
        <f t="shared" si="4"/>
        <v>35.864999999999995</v>
      </c>
      <c r="Y139" s="3">
        <f t="shared" si="5"/>
        <v>1.933203300224785</v>
      </c>
      <c r="Z139" s="3"/>
      <c r="AA139" s="12"/>
      <c r="AB139" s="11"/>
    </row>
    <row r="140" spans="1:28" x14ac:dyDescent="0.25">
      <c r="A140" s="18"/>
      <c r="B140" s="17">
        <v>3</v>
      </c>
      <c r="C140" s="16">
        <v>36.9</v>
      </c>
      <c r="D140" s="15">
        <v>34.200000000000003</v>
      </c>
      <c r="E140" s="15">
        <v>37.6</v>
      </c>
      <c r="F140" s="15">
        <v>29.7</v>
      </c>
      <c r="G140" s="15">
        <v>32.299999999999997</v>
      </c>
      <c r="H140" s="15">
        <v>33.799999999999997</v>
      </c>
      <c r="I140" s="15">
        <v>37</v>
      </c>
      <c r="J140" s="15">
        <v>34.299999999999997</v>
      </c>
      <c r="K140" s="15">
        <v>32</v>
      </c>
      <c r="L140" s="15">
        <v>33.9</v>
      </c>
      <c r="M140" s="15">
        <v>32</v>
      </c>
      <c r="N140" s="15">
        <v>30.7</v>
      </c>
      <c r="O140" s="15">
        <v>36.6</v>
      </c>
      <c r="P140" s="15">
        <v>37.4</v>
      </c>
      <c r="Q140" s="15">
        <v>34.700000000000003</v>
      </c>
      <c r="R140" s="15">
        <v>38.4</v>
      </c>
      <c r="S140" s="15">
        <v>33.299999999999997</v>
      </c>
      <c r="T140" s="15">
        <v>33.9</v>
      </c>
      <c r="U140" s="15">
        <v>33.5</v>
      </c>
      <c r="V140" s="14">
        <v>38.5</v>
      </c>
      <c r="X140" s="13">
        <f t="shared" si="4"/>
        <v>34.534999999999997</v>
      </c>
      <c r="Y140" s="3">
        <f t="shared" si="5"/>
        <v>2.4926441783776521</v>
      </c>
      <c r="Z140" s="3"/>
      <c r="AA140" s="12"/>
      <c r="AB140" s="11"/>
    </row>
    <row r="141" spans="1:28" ht="15.75" thickBot="1" x14ac:dyDescent="0.3">
      <c r="A141" s="10"/>
      <c r="B141" s="9">
        <v>4</v>
      </c>
      <c r="C141" s="8">
        <v>36</v>
      </c>
      <c r="D141" s="7">
        <v>35.200000000000003</v>
      </c>
      <c r="E141" s="7">
        <v>39</v>
      </c>
      <c r="F141" s="7">
        <v>36.299999999999997</v>
      </c>
      <c r="G141" s="7">
        <v>35.9</v>
      </c>
      <c r="H141" s="7">
        <v>37.4</v>
      </c>
      <c r="I141" s="7">
        <v>35.5</v>
      </c>
      <c r="J141" s="7">
        <v>37.299999999999997</v>
      </c>
      <c r="K141" s="7">
        <v>34.4</v>
      </c>
      <c r="L141" s="7">
        <v>34.5</v>
      </c>
      <c r="M141" s="7">
        <v>39.4</v>
      </c>
      <c r="N141" s="7">
        <v>39.700000000000003</v>
      </c>
      <c r="O141" s="7">
        <v>36.33</v>
      </c>
      <c r="P141" s="7">
        <v>35.700000000000003</v>
      </c>
      <c r="Q141" s="7">
        <v>37.5</v>
      </c>
      <c r="R141" s="7">
        <v>36.1</v>
      </c>
      <c r="S141" s="7">
        <v>39.299999999999997</v>
      </c>
      <c r="T141" s="7">
        <v>36.5</v>
      </c>
      <c r="U141" s="7">
        <v>38.700000000000003</v>
      </c>
      <c r="V141" s="6">
        <v>37.799999999999997</v>
      </c>
      <c r="X141" s="5">
        <f t="shared" si="4"/>
        <v>36.926499999999997</v>
      </c>
      <c r="Y141" s="4">
        <f t="shared" si="5"/>
        <v>1.5915535649169965</v>
      </c>
      <c r="Z141" s="3"/>
      <c r="AA141" s="2"/>
      <c r="AB141" s="1"/>
    </row>
    <row r="142" spans="1:28" x14ac:dyDescent="0.25">
      <c r="A142" s="24" t="s">
        <v>36</v>
      </c>
      <c r="B142" s="23">
        <v>1</v>
      </c>
      <c r="C142" s="1">
        <v>29.3</v>
      </c>
      <c r="D142" s="2">
        <v>29.8</v>
      </c>
      <c r="E142" s="2">
        <v>27</v>
      </c>
      <c r="F142" s="2">
        <v>24.3</v>
      </c>
      <c r="G142" s="2">
        <v>28.1</v>
      </c>
      <c r="H142" s="2">
        <v>28</v>
      </c>
      <c r="I142" s="2">
        <v>29.9</v>
      </c>
      <c r="J142" s="2">
        <v>26.7</v>
      </c>
      <c r="K142" s="2">
        <v>28.1</v>
      </c>
      <c r="L142" s="2">
        <v>24.6</v>
      </c>
      <c r="M142" s="2">
        <v>25.6</v>
      </c>
      <c r="N142" s="2">
        <v>26.2</v>
      </c>
      <c r="O142" s="2">
        <v>24.1</v>
      </c>
      <c r="P142" s="2">
        <v>26.3</v>
      </c>
      <c r="Q142" s="2">
        <v>29.3</v>
      </c>
      <c r="R142" s="2">
        <v>27.4</v>
      </c>
      <c r="S142" s="2">
        <v>24.8</v>
      </c>
      <c r="T142" s="2">
        <v>22.9</v>
      </c>
      <c r="U142" s="2">
        <v>27.6</v>
      </c>
      <c r="V142" s="22">
        <v>27.9</v>
      </c>
      <c r="X142" s="20">
        <f t="shared" si="4"/>
        <v>26.895000000000003</v>
      </c>
      <c r="Y142" s="21">
        <f t="shared" si="5"/>
        <v>1.9703997056435021</v>
      </c>
      <c r="Z142" s="3"/>
      <c r="AA142" s="20">
        <f>AVERAGE(X142:X145)</f>
        <v>26.111249999999998</v>
      </c>
      <c r="AB142" s="19">
        <f>_xlfn.STDEV.P(X142:X145)</f>
        <v>0.53189960283873117</v>
      </c>
    </row>
    <row r="143" spans="1:28" x14ac:dyDescent="0.25">
      <c r="A143" s="18"/>
      <c r="B143" s="17">
        <v>2</v>
      </c>
      <c r="C143" s="16">
        <v>25.5</v>
      </c>
      <c r="D143" s="15">
        <v>30.4</v>
      </c>
      <c r="E143" s="15">
        <v>23.9</v>
      </c>
      <c r="F143" s="15">
        <v>27.9</v>
      </c>
      <c r="G143" s="15">
        <v>24.1</v>
      </c>
      <c r="H143" s="15">
        <v>32.5</v>
      </c>
      <c r="I143" s="15">
        <v>27.9</v>
      </c>
      <c r="J143" s="15">
        <v>27.1</v>
      </c>
      <c r="K143" s="15">
        <v>25.5</v>
      </c>
      <c r="L143" s="15">
        <v>25</v>
      </c>
      <c r="M143" s="15">
        <v>25.6</v>
      </c>
      <c r="N143" s="15">
        <v>20.9</v>
      </c>
      <c r="O143" s="15">
        <v>27.6</v>
      </c>
      <c r="P143" s="15">
        <v>26.2</v>
      </c>
      <c r="Q143" s="15">
        <v>25.7</v>
      </c>
      <c r="R143" s="15">
        <v>25.9</v>
      </c>
      <c r="S143" s="15">
        <v>23</v>
      </c>
      <c r="T143" s="15">
        <v>23.7</v>
      </c>
      <c r="U143" s="15">
        <v>22.7</v>
      </c>
      <c r="V143" s="14">
        <v>24.8</v>
      </c>
      <c r="X143" s="13">
        <f t="shared" si="4"/>
        <v>25.794999999999995</v>
      </c>
      <c r="Y143" s="3">
        <f t="shared" si="5"/>
        <v>2.5904584536332558</v>
      </c>
      <c r="Z143" s="3"/>
      <c r="AA143" s="12"/>
      <c r="AB143" s="11"/>
    </row>
    <row r="144" spans="1:28" x14ac:dyDescent="0.25">
      <c r="A144" s="18"/>
      <c r="B144" s="17">
        <v>3</v>
      </c>
      <c r="C144" s="16">
        <v>26</v>
      </c>
      <c r="D144" s="15">
        <v>23.9</v>
      </c>
      <c r="E144" s="15">
        <v>29.1</v>
      </c>
      <c r="F144" s="15">
        <v>29.6</v>
      </c>
      <c r="G144" s="15">
        <v>28.3</v>
      </c>
      <c r="H144" s="15">
        <v>22.4</v>
      </c>
      <c r="I144" s="15">
        <v>23.5</v>
      </c>
      <c r="J144" s="15">
        <v>28.8</v>
      </c>
      <c r="K144" s="15">
        <v>27.1</v>
      </c>
      <c r="L144" s="15">
        <v>23.8</v>
      </c>
      <c r="M144" s="15">
        <v>29</v>
      </c>
      <c r="N144" s="15">
        <v>23.8</v>
      </c>
      <c r="O144" s="15">
        <v>23</v>
      </c>
      <c r="P144" s="15">
        <v>24.3</v>
      </c>
      <c r="Q144" s="15">
        <v>25.4</v>
      </c>
      <c r="R144" s="15">
        <v>28.7</v>
      </c>
      <c r="S144" s="15">
        <v>26.4</v>
      </c>
      <c r="T144" s="15">
        <v>30</v>
      </c>
      <c r="U144" s="15">
        <v>28.1</v>
      </c>
      <c r="V144" s="14">
        <v>24.2</v>
      </c>
      <c r="X144" s="13">
        <f t="shared" si="4"/>
        <v>26.27</v>
      </c>
      <c r="Y144" s="3">
        <f t="shared" si="5"/>
        <v>2.4607112792849146</v>
      </c>
      <c r="Z144" s="3"/>
      <c r="AA144" s="12"/>
      <c r="AB144" s="11"/>
    </row>
    <row r="145" spans="1:28" ht="15.75" thickBot="1" x14ac:dyDescent="0.3">
      <c r="A145" s="33"/>
      <c r="B145" s="32">
        <v>4</v>
      </c>
      <c r="C145" s="19">
        <v>26.7</v>
      </c>
      <c r="D145" s="31">
        <v>26.2</v>
      </c>
      <c r="E145" s="31">
        <v>28</v>
      </c>
      <c r="F145" s="31">
        <v>25.9</v>
      </c>
      <c r="G145" s="31">
        <v>24.7</v>
      </c>
      <c r="H145" s="31">
        <v>20.8</v>
      </c>
      <c r="I145" s="31">
        <v>27</v>
      </c>
      <c r="J145" s="31">
        <v>28</v>
      </c>
      <c r="K145" s="31">
        <v>27.4</v>
      </c>
      <c r="L145" s="31">
        <v>23</v>
      </c>
      <c r="M145" s="31">
        <v>29</v>
      </c>
      <c r="N145" s="31">
        <v>26.8</v>
      </c>
      <c r="O145" s="31">
        <v>22.5</v>
      </c>
      <c r="P145" s="31">
        <v>26.3</v>
      </c>
      <c r="Q145" s="31">
        <v>22.9</v>
      </c>
      <c r="R145" s="31">
        <v>23</v>
      </c>
      <c r="S145" s="31">
        <v>25.3</v>
      </c>
      <c r="T145" s="31">
        <v>26.8</v>
      </c>
      <c r="U145" s="31">
        <v>25.3</v>
      </c>
      <c r="V145" s="30">
        <v>24.1</v>
      </c>
      <c r="X145" s="5">
        <f t="shared" si="4"/>
        <v>25.485000000000007</v>
      </c>
      <c r="Y145" s="4">
        <f t="shared" si="5"/>
        <v>2.1183189089464314</v>
      </c>
      <c r="Z145" s="3"/>
      <c r="AA145" s="2"/>
      <c r="AB145" s="1"/>
    </row>
    <row r="146" spans="1:28" x14ac:dyDescent="0.25">
      <c r="A146" s="29" t="s">
        <v>37</v>
      </c>
      <c r="B146" s="28">
        <v>1</v>
      </c>
      <c r="C146" s="27">
        <v>33.200000000000003</v>
      </c>
      <c r="D146" s="26">
        <v>33.299999999999997</v>
      </c>
      <c r="E146" s="26">
        <v>35.200000000000003</v>
      </c>
      <c r="F146" s="26">
        <v>36.4</v>
      </c>
      <c r="G146" s="26">
        <v>32.700000000000003</v>
      </c>
      <c r="H146" s="26">
        <v>32.9</v>
      </c>
      <c r="I146" s="26">
        <v>35.5</v>
      </c>
      <c r="J146" s="26">
        <v>30.1</v>
      </c>
      <c r="K146" s="26">
        <v>31.4</v>
      </c>
      <c r="L146" s="26">
        <v>32.9</v>
      </c>
      <c r="M146" s="26">
        <v>35.1</v>
      </c>
      <c r="N146" s="26">
        <v>35.799999999999997</v>
      </c>
      <c r="O146" s="26">
        <v>37.4</v>
      </c>
      <c r="P146" s="26">
        <v>35.5</v>
      </c>
      <c r="Q146" s="26">
        <v>32.1</v>
      </c>
      <c r="R146" s="26">
        <v>35.9</v>
      </c>
      <c r="S146" s="26">
        <v>36.4</v>
      </c>
      <c r="T146" s="26">
        <v>36.700000000000003</v>
      </c>
      <c r="U146" s="26">
        <v>38.1</v>
      </c>
      <c r="V146" s="25">
        <v>35.200000000000003</v>
      </c>
      <c r="X146" s="20">
        <f t="shared" si="4"/>
        <v>34.590000000000003</v>
      </c>
      <c r="Y146" s="21">
        <f t="shared" si="5"/>
        <v>2.0793989516203957</v>
      </c>
      <c r="Z146" s="3"/>
      <c r="AA146" s="20">
        <f>AVERAGE(X146:X149)</f>
        <v>36.167500000000004</v>
      </c>
      <c r="AB146" s="19">
        <f>_xlfn.STDEV.P(X146:X149)</f>
        <v>1.4981050530586972</v>
      </c>
    </row>
    <row r="147" spans="1:28" x14ac:dyDescent="0.25">
      <c r="A147" s="18"/>
      <c r="B147" s="17">
        <v>2</v>
      </c>
      <c r="C147" s="16">
        <v>37.6</v>
      </c>
      <c r="D147" s="15">
        <v>35.5</v>
      </c>
      <c r="E147" s="15">
        <v>37.9</v>
      </c>
      <c r="F147" s="15">
        <v>36.299999999999997</v>
      </c>
      <c r="G147" s="15">
        <v>33.6</v>
      </c>
      <c r="H147" s="15">
        <v>35.200000000000003</v>
      </c>
      <c r="I147" s="15">
        <v>38.5</v>
      </c>
      <c r="J147" s="15">
        <v>37.200000000000003</v>
      </c>
      <c r="K147" s="15">
        <v>39</v>
      </c>
      <c r="L147" s="15">
        <v>39.5</v>
      </c>
      <c r="M147" s="15">
        <v>39.799999999999997</v>
      </c>
      <c r="N147" s="15">
        <v>35.1</v>
      </c>
      <c r="O147" s="15">
        <v>36.6</v>
      </c>
      <c r="P147" s="15">
        <v>37.299999999999997</v>
      </c>
      <c r="Q147" s="15">
        <v>35.6</v>
      </c>
      <c r="R147" s="15">
        <v>39.4</v>
      </c>
      <c r="S147" s="15">
        <v>36.5</v>
      </c>
      <c r="T147" s="15">
        <v>38.6</v>
      </c>
      <c r="U147" s="15">
        <v>39.1</v>
      </c>
      <c r="V147" s="14">
        <v>34.700000000000003</v>
      </c>
      <c r="X147" s="13">
        <f t="shared" si="4"/>
        <v>37.150000000000006</v>
      </c>
      <c r="Y147" s="3">
        <f t="shared" si="5"/>
        <v>1.7710166571774522</v>
      </c>
      <c r="Z147" s="3"/>
      <c r="AA147" s="12"/>
      <c r="AB147" s="11"/>
    </row>
    <row r="148" spans="1:28" x14ac:dyDescent="0.25">
      <c r="A148" s="18"/>
      <c r="B148" s="17">
        <v>3</v>
      </c>
      <c r="C148" s="16">
        <v>39.200000000000003</v>
      </c>
      <c r="D148" s="15">
        <v>37.1</v>
      </c>
      <c r="E148" s="15">
        <v>32.5</v>
      </c>
      <c r="F148" s="15">
        <v>34.799999999999997</v>
      </c>
      <c r="G148" s="15">
        <v>32.700000000000003</v>
      </c>
      <c r="H148" s="15">
        <v>33.4</v>
      </c>
      <c r="I148" s="15">
        <v>37.9</v>
      </c>
      <c r="J148" s="15">
        <v>31.2</v>
      </c>
      <c r="K148" s="15">
        <v>36.9</v>
      </c>
      <c r="L148" s="15">
        <v>30.6</v>
      </c>
      <c r="M148" s="15">
        <v>33.799999999999997</v>
      </c>
      <c r="N148" s="15">
        <v>34.299999999999997</v>
      </c>
      <c r="O148" s="15">
        <v>33.6</v>
      </c>
      <c r="P148" s="15">
        <v>32.700000000000003</v>
      </c>
      <c r="Q148" s="15">
        <v>36.299999999999997</v>
      </c>
      <c r="R148" s="15">
        <v>38.1</v>
      </c>
      <c r="S148" s="15">
        <v>36</v>
      </c>
      <c r="T148" s="15">
        <v>36.200000000000003</v>
      </c>
      <c r="U148" s="15">
        <v>34.9</v>
      </c>
      <c r="V148" s="14">
        <v>34.4</v>
      </c>
      <c r="X148" s="13">
        <f t="shared" si="4"/>
        <v>34.83</v>
      </c>
      <c r="Y148" s="3">
        <f t="shared" si="5"/>
        <v>2.2882526084329067</v>
      </c>
      <c r="Z148" s="3"/>
      <c r="AA148" s="12"/>
      <c r="AB148" s="11"/>
    </row>
    <row r="149" spans="1:28" ht="15.75" thickBot="1" x14ac:dyDescent="0.3">
      <c r="A149" s="10"/>
      <c r="B149" s="9">
        <v>4</v>
      </c>
      <c r="C149" s="8">
        <v>37.700000000000003</v>
      </c>
      <c r="D149" s="7">
        <v>38.1</v>
      </c>
      <c r="E149" s="7">
        <v>40.9</v>
      </c>
      <c r="F149" s="7">
        <v>41.5</v>
      </c>
      <c r="G149" s="7">
        <v>39.5</v>
      </c>
      <c r="H149" s="7">
        <v>35.9</v>
      </c>
      <c r="I149" s="7">
        <v>41.2</v>
      </c>
      <c r="J149" s="7">
        <v>39.4</v>
      </c>
      <c r="K149" s="7">
        <v>41.1</v>
      </c>
      <c r="L149" s="7">
        <v>38.6</v>
      </c>
      <c r="M149" s="7">
        <v>36.1</v>
      </c>
      <c r="N149" s="7">
        <v>34.5</v>
      </c>
      <c r="O149" s="7">
        <v>38.1</v>
      </c>
      <c r="P149" s="7">
        <v>35.6</v>
      </c>
      <c r="Q149" s="7">
        <v>39.1</v>
      </c>
      <c r="R149" s="7">
        <v>35.799999999999997</v>
      </c>
      <c r="S149" s="7">
        <v>39.799999999999997</v>
      </c>
      <c r="T149" s="7">
        <v>37.4</v>
      </c>
      <c r="U149" s="7">
        <v>36.700000000000003</v>
      </c>
      <c r="V149" s="6">
        <v>35</v>
      </c>
      <c r="X149" s="5">
        <f t="shared" si="4"/>
        <v>38.1</v>
      </c>
      <c r="Y149" s="4">
        <f t="shared" si="5"/>
        <v>2.1372880011828075</v>
      </c>
      <c r="Z149" s="3"/>
      <c r="AA149" s="2"/>
      <c r="AB149" s="1"/>
    </row>
    <row r="150" spans="1:28" x14ac:dyDescent="0.25">
      <c r="A150" s="29" t="s">
        <v>38</v>
      </c>
      <c r="B150" s="28">
        <v>1</v>
      </c>
      <c r="C150" s="1">
        <v>31.9</v>
      </c>
      <c r="D150" s="2">
        <v>26.8</v>
      </c>
      <c r="E150" s="2">
        <v>28.6</v>
      </c>
      <c r="F150" s="2">
        <v>32.700000000000003</v>
      </c>
      <c r="G150" s="2">
        <v>29.2</v>
      </c>
      <c r="H150" s="2">
        <v>26.2</v>
      </c>
      <c r="I150" s="2">
        <v>25.3</v>
      </c>
      <c r="J150" s="2">
        <v>33.9</v>
      </c>
      <c r="K150" s="2">
        <v>32.700000000000003</v>
      </c>
      <c r="L150" s="2">
        <v>26.5</v>
      </c>
      <c r="M150" s="2">
        <v>28.6</v>
      </c>
      <c r="N150" s="2">
        <v>32</v>
      </c>
      <c r="O150" s="2">
        <v>29.6</v>
      </c>
      <c r="P150" s="2">
        <v>27.6</v>
      </c>
      <c r="Q150" s="2">
        <v>29.6</v>
      </c>
      <c r="R150" s="2">
        <v>28.6</v>
      </c>
      <c r="S150" s="2">
        <v>29.2</v>
      </c>
      <c r="T150" s="2">
        <v>28.5</v>
      </c>
      <c r="U150" s="2">
        <v>28.1</v>
      </c>
      <c r="V150" s="22">
        <v>32.1</v>
      </c>
      <c r="X150" s="20">
        <f t="shared" si="4"/>
        <v>29.385000000000009</v>
      </c>
      <c r="Y150" s="21">
        <f t="shared" si="5"/>
        <v>2.3702900666374149</v>
      </c>
      <c r="Z150" s="3"/>
      <c r="AA150" s="20">
        <f>AVERAGE(X150:X153)</f>
        <v>30.387500000000003</v>
      </c>
      <c r="AB150" s="19">
        <f>_xlfn.STDEV.P(X150:X153)</f>
        <v>0.89806388970941253</v>
      </c>
    </row>
    <row r="151" spans="1:28" x14ac:dyDescent="0.25">
      <c r="A151" s="18"/>
      <c r="B151" s="17">
        <v>2</v>
      </c>
      <c r="C151" s="16">
        <v>36.299999999999997</v>
      </c>
      <c r="D151" s="15">
        <v>33.1</v>
      </c>
      <c r="E151" s="15">
        <v>28.5</v>
      </c>
      <c r="F151" s="15">
        <v>32.5</v>
      </c>
      <c r="G151" s="15">
        <v>32.799999999999997</v>
      </c>
      <c r="H151" s="15">
        <v>30.1</v>
      </c>
      <c r="I151" s="15">
        <v>34.6</v>
      </c>
      <c r="J151" s="15">
        <v>25.7</v>
      </c>
      <c r="K151" s="15">
        <v>30.4</v>
      </c>
      <c r="L151" s="15">
        <v>31.2</v>
      </c>
      <c r="M151" s="15">
        <v>27.9</v>
      </c>
      <c r="N151" s="15">
        <v>27.1</v>
      </c>
      <c r="O151" s="15">
        <v>31.2</v>
      </c>
      <c r="P151" s="15">
        <v>32.1</v>
      </c>
      <c r="Q151" s="15">
        <v>29</v>
      </c>
      <c r="R151" s="15">
        <v>29</v>
      </c>
      <c r="S151" s="15">
        <v>27.9</v>
      </c>
      <c r="T151" s="15">
        <v>29.7</v>
      </c>
      <c r="U151" s="15">
        <v>33.1</v>
      </c>
      <c r="V151" s="14">
        <v>36.299999999999997</v>
      </c>
      <c r="X151" s="13">
        <f t="shared" si="4"/>
        <v>30.925000000000001</v>
      </c>
      <c r="Y151" s="3">
        <f t="shared" si="5"/>
        <v>2.8658114034248658</v>
      </c>
      <c r="Z151" s="3"/>
      <c r="AA151" s="12"/>
      <c r="AB151" s="11"/>
    </row>
    <row r="152" spans="1:28" x14ac:dyDescent="0.25">
      <c r="A152" s="18"/>
      <c r="B152" s="17">
        <v>3</v>
      </c>
      <c r="C152" s="16">
        <v>35.9</v>
      </c>
      <c r="D152" s="15">
        <v>31.3</v>
      </c>
      <c r="E152" s="15">
        <v>30.8</v>
      </c>
      <c r="F152" s="15">
        <v>31.3</v>
      </c>
      <c r="G152" s="15">
        <v>33</v>
      </c>
      <c r="H152" s="15">
        <v>31.4</v>
      </c>
      <c r="I152" s="15">
        <v>34</v>
      </c>
      <c r="J152" s="15">
        <v>32.200000000000003</v>
      </c>
      <c r="K152" s="15">
        <v>29</v>
      </c>
      <c r="L152" s="15">
        <v>32.1</v>
      </c>
      <c r="M152" s="15">
        <v>33.6</v>
      </c>
      <c r="N152" s="15">
        <v>30.7</v>
      </c>
      <c r="O152" s="15">
        <v>32</v>
      </c>
      <c r="P152" s="15">
        <v>28.6</v>
      </c>
      <c r="Q152" s="15">
        <v>29.8</v>
      </c>
      <c r="R152" s="15">
        <v>34.9</v>
      </c>
      <c r="S152" s="15">
        <v>34.6</v>
      </c>
      <c r="T152" s="15">
        <v>28.7</v>
      </c>
      <c r="U152" s="15">
        <v>29.5</v>
      </c>
      <c r="V152" s="14">
        <v>28.1</v>
      </c>
      <c r="X152" s="13">
        <f t="shared" si="4"/>
        <v>31.575000000000006</v>
      </c>
      <c r="Y152" s="3">
        <f t="shared" si="5"/>
        <v>2.1976976589148927</v>
      </c>
      <c r="Z152" s="3"/>
      <c r="AA152" s="12"/>
      <c r="AB152" s="11"/>
    </row>
    <row r="153" spans="1:28" ht="15.75" thickBot="1" x14ac:dyDescent="0.3">
      <c r="A153" s="10"/>
      <c r="B153" s="9">
        <v>4</v>
      </c>
      <c r="C153" s="8">
        <v>29.9</v>
      </c>
      <c r="D153" s="7">
        <v>24.5</v>
      </c>
      <c r="E153" s="7">
        <v>29.1</v>
      </c>
      <c r="F153" s="7">
        <v>29.3</v>
      </c>
      <c r="G153" s="7">
        <v>24.4</v>
      </c>
      <c r="H153" s="7">
        <v>29.3</v>
      </c>
      <c r="I153" s="7">
        <v>33.1</v>
      </c>
      <c r="J153" s="7">
        <v>29.7</v>
      </c>
      <c r="K153" s="7">
        <v>28.5</v>
      </c>
      <c r="L153" s="7">
        <v>29.3</v>
      </c>
      <c r="M153" s="7">
        <v>29.8</v>
      </c>
      <c r="N153" s="7">
        <v>30.3</v>
      </c>
      <c r="O153" s="7">
        <v>30.5</v>
      </c>
      <c r="P153" s="7">
        <v>34.200000000000003</v>
      </c>
      <c r="Q153" s="7">
        <v>28.3</v>
      </c>
      <c r="R153" s="7">
        <v>27.1</v>
      </c>
      <c r="S153" s="7">
        <v>29.3</v>
      </c>
      <c r="T153" s="7">
        <v>32.5</v>
      </c>
      <c r="U153" s="7">
        <v>33.299999999999997</v>
      </c>
      <c r="V153" s="6">
        <v>30.9</v>
      </c>
      <c r="X153" s="5">
        <f t="shared" si="4"/>
        <v>29.664999999999999</v>
      </c>
      <c r="Y153" s="4">
        <f t="shared" si="5"/>
        <v>2.463386896124927</v>
      </c>
      <c r="Z153" s="3"/>
      <c r="AA153" s="2"/>
      <c r="AB153" s="1"/>
    </row>
  </sheetData>
  <mergeCells count="6">
    <mergeCell ref="C105:V105"/>
    <mergeCell ref="A1:C1"/>
    <mergeCell ref="A53:C53"/>
    <mergeCell ref="A104:C104"/>
    <mergeCell ref="C2:V2"/>
    <mergeCell ref="C54:V54"/>
  </mergeCells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C22C-AD63-48B8-B114-37BC910AFBEF}">
  <dimension ref="A1"/>
  <sheetViews>
    <sheetView workbookViewId="0">
      <selection activeCell="P9" sqref="P9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Infos</vt:lpstr>
      <vt:lpstr>1.DL</vt:lpstr>
      <vt:lpstr>1.DL - Abb</vt:lpstr>
      <vt:lpstr>2.DL</vt:lpstr>
      <vt:lpstr>2.DL - Abb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Otting</dc:creator>
  <cp:lastModifiedBy>Jonas Otting</cp:lastModifiedBy>
  <dcterms:created xsi:type="dcterms:W3CDTF">2022-06-21T20:32:52Z</dcterms:created>
  <dcterms:modified xsi:type="dcterms:W3CDTF">2022-07-07T22:01:02Z</dcterms:modified>
</cp:coreProperties>
</file>