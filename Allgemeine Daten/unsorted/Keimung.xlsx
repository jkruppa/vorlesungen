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OneDrive\Hochschule Osnabrück\6.Semester\"/>
    </mc:Choice>
  </mc:AlternateContent>
  <xr:revisionPtr revIDLastSave="0" documentId="13_ncr:1_{4A0E7BCD-14AD-4813-8B50-9F7C9A670E1B}" xr6:coauthVersionLast="47" xr6:coauthVersionMax="47" xr10:uidLastSave="{00000000-0000-0000-0000-000000000000}"/>
  <bookViews>
    <workbookView xWindow="-120" yWindow="-120" windowWidth="24240" windowHeight="13140" activeTab="1" xr2:uid="{E8EBD361-6A24-4DF7-87AD-77009E8549D4}"/>
  </bookViews>
  <sheets>
    <sheet name="Infos" sheetId="6" r:id="rId1"/>
    <sheet name="1.DL" sheetId="4" r:id="rId2"/>
    <sheet name="2.D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4" l="1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B15" i="4"/>
  <c r="C15" i="4"/>
  <c r="D15" i="4"/>
  <c r="E15" i="4"/>
  <c r="B16" i="4" s="1"/>
  <c r="F15" i="4"/>
  <c r="G15" i="4"/>
  <c r="H15" i="4"/>
  <c r="I15" i="4"/>
  <c r="F17" i="4" s="1"/>
  <c r="J15" i="4"/>
  <c r="K15" i="4"/>
  <c r="L15" i="4"/>
  <c r="M15" i="4"/>
  <c r="J17" i="4" s="1"/>
  <c r="N15" i="4"/>
  <c r="O15" i="4"/>
  <c r="P15" i="4"/>
  <c r="Q15" i="4"/>
  <c r="N17" i="4" s="1"/>
  <c r="R15" i="4"/>
  <c r="S15" i="4"/>
  <c r="T15" i="4"/>
  <c r="U15" i="4"/>
  <c r="R16" i="4" s="1"/>
  <c r="V15" i="4"/>
  <c r="W15" i="4"/>
  <c r="X15" i="4"/>
  <c r="Y15" i="4"/>
  <c r="V17" i="4" s="1"/>
  <c r="N16" i="4"/>
  <c r="B17" i="4"/>
  <c r="R1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B29" i="4"/>
  <c r="C29" i="4"/>
  <c r="B31" i="4" s="1"/>
  <c r="D29" i="4"/>
  <c r="E29" i="4"/>
  <c r="F29" i="4"/>
  <c r="G29" i="4"/>
  <c r="F31" i="4" s="1"/>
  <c r="H29" i="4"/>
  <c r="I29" i="4"/>
  <c r="J29" i="4"/>
  <c r="K29" i="4"/>
  <c r="L29" i="4"/>
  <c r="M29" i="4"/>
  <c r="N29" i="4"/>
  <c r="O29" i="4"/>
  <c r="N31" i="4" s="1"/>
  <c r="P29" i="4"/>
  <c r="Q29" i="4"/>
  <c r="R29" i="4"/>
  <c r="S29" i="4"/>
  <c r="R31" i="4" s="1"/>
  <c r="T29" i="4"/>
  <c r="U29" i="4"/>
  <c r="V29" i="4"/>
  <c r="W29" i="4"/>
  <c r="V31" i="4" s="1"/>
  <c r="X29" i="4"/>
  <c r="Y29" i="4"/>
  <c r="B30" i="4"/>
  <c r="F30" i="4"/>
  <c r="Z30" i="4" s="1"/>
  <c r="J30" i="4"/>
  <c r="N30" i="4"/>
  <c r="R30" i="4"/>
  <c r="V30" i="4"/>
  <c r="J31" i="4"/>
  <c r="Z31" i="4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B15" i="3"/>
  <c r="C15" i="3"/>
  <c r="D15" i="3"/>
  <c r="E15" i="3"/>
  <c r="B16" i="3" s="1"/>
  <c r="F15" i="3"/>
  <c r="F17" i="3" s="1"/>
  <c r="G15" i="3"/>
  <c r="H15" i="3"/>
  <c r="I15" i="3"/>
  <c r="J15" i="3"/>
  <c r="K15" i="3"/>
  <c r="L15" i="3"/>
  <c r="M15" i="3"/>
  <c r="N15" i="3"/>
  <c r="O15" i="3"/>
  <c r="P15" i="3"/>
  <c r="Q15" i="3"/>
  <c r="R15" i="3"/>
  <c r="R16" i="3" s="1"/>
  <c r="S15" i="3"/>
  <c r="T15" i="3"/>
  <c r="U15" i="3"/>
  <c r="V15" i="3"/>
  <c r="W15" i="3"/>
  <c r="X15" i="3"/>
  <c r="Y15" i="3"/>
  <c r="V1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N31" i="3" s="1"/>
  <c r="R29" i="3"/>
  <c r="S29" i="3"/>
  <c r="T29" i="3"/>
  <c r="U29" i="3"/>
  <c r="V29" i="3"/>
  <c r="W29" i="3"/>
  <c r="X29" i="3"/>
  <c r="Y29" i="3"/>
  <c r="B30" i="3"/>
  <c r="F30" i="3"/>
  <c r="J30" i="3"/>
  <c r="N30" i="3"/>
  <c r="R30" i="3"/>
  <c r="V30" i="3"/>
  <c r="J16" i="4" l="1"/>
  <c r="Z17" i="4"/>
  <c r="V16" i="4"/>
  <c r="F16" i="4"/>
  <c r="A35" i="4" s="1"/>
  <c r="Z30" i="3"/>
  <c r="J31" i="3"/>
  <c r="Z31" i="3"/>
  <c r="V31" i="3"/>
  <c r="R31" i="3"/>
  <c r="F31" i="3"/>
  <c r="B31" i="3"/>
  <c r="V16" i="3"/>
  <c r="R17" i="3"/>
  <c r="N16" i="3"/>
  <c r="J17" i="3"/>
  <c r="F16" i="3"/>
  <c r="A35" i="3" s="1"/>
  <c r="Z17" i="3"/>
  <c r="B17" i="3"/>
  <c r="N17" i="3"/>
  <c r="J16" i="3"/>
  <c r="Z16" i="4" l="1"/>
  <c r="Z16" i="3"/>
</calcChain>
</file>

<file path=xl/sharedStrings.xml><?xml version="1.0" encoding="utf-8"?>
<sst xmlns="http://schemas.openxmlformats.org/spreadsheetml/2006/main" count="92" uniqueCount="36">
  <si>
    <t xml:space="preserve">Bonitur 0 = nicht gekeimt </t>
  </si>
  <si>
    <t>Bonitur 1 = umgefallen, Wurzelwerk lose, stark deformiert (es wird davon ausgegenagn, dass diese Pflanzen nicht überleben bzw. sich nicht voll entwickeln)</t>
  </si>
  <si>
    <t>Bonitur 2 = gekeimte Pflanzen</t>
  </si>
  <si>
    <t>Bonitur 3 = gekeimte Pflanzen, ohne Auffälligkeiten (es wir davon ausgegenagen, dass diese Pflanzen sich optimal perfekt entwickeln)</t>
  </si>
  <si>
    <t>Haus 6</t>
  </si>
  <si>
    <t>Prüfglied</t>
  </si>
  <si>
    <t>Bonitur</t>
  </si>
  <si>
    <t>B 0</t>
  </si>
  <si>
    <t>B 1</t>
  </si>
  <si>
    <t>B 2</t>
  </si>
  <si>
    <t xml:space="preserve">B 3 </t>
  </si>
  <si>
    <t>Keimrate/Wdh. in %</t>
  </si>
  <si>
    <t>Keimrate in %</t>
  </si>
  <si>
    <t>% insgesamt gekeimt</t>
  </si>
  <si>
    <t>SD</t>
  </si>
  <si>
    <t>SD insgesamt</t>
  </si>
  <si>
    <t>signifikanter Unterschied?</t>
  </si>
  <si>
    <t>Haus 5</t>
  </si>
  <si>
    <t>Keimrate in beiden Häusern:</t>
  </si>
  <si>
    <t>%</t>
  </si>
  <si>
    <t>Von den Prüfgliedern wurde die Keimung beobachtet.</t>
  </si>
  <si>
    <t>Die Pflanzen der Prüfglieder und der Wiederholungen befanden sich in Kisten mit Platz für jeweils 150 Stück.</t>
  </si>
  <si>
    <t>Die Bonituren beschreiben somit wie viele dieser 150 Pflanzen die Definition der Bonitur aufweisen.</t>
  </si>
  <si>
    <t>lowN</t>
  </si>
  <si>
    <t>lowNP</t>
  </si>
  <si>
    <t>medN</t>
  </si>
  <si>
    <t>medNP</t>
  </si>
  <si>
    <t>highN</t>
  </si>
  <si>
    <t>highNP</t>
  </si>
  <si>
    <t>lowN1</t>
  </si>
  <si>
    <t>lowNP1</t>
  </si>
  <si>
    <t>medN1</t>
  </si>
  <si>
    <t>medNP1</t>
  </si>
  <si>
    <t>highN1</t>
  </si>
  <si>
    <t>highNP1</t>
  </si>
  <si>
    <t>Die Unterscheidung zwischen "Haus 5" und "Haus 6" ist für den Versuch zwar wichtig, aber für die statistische Auswertung nicht.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</si>
</sst>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2" fontId="0" fillId="0" borderId="12" xfId="0" applyNumberFormat="1" applyBorder="1"/>
    <xf numFmtId="0" fontId="0" fillId="2" borderId="11" xfId="0" applyFill="1" applyBorder="1" applyAlignment="1">
      <alignment wrapText="1"/>
    </xf>
    <xf numFmtId="0" fontId="1" fillId="0" borderId="0" xfId="0" applyFont="1"/>
    <xf numFmtId="1" fontId="0" fillId="0" borderId="0" xfId="0" applyNumberFormat="1"/>
    <xf numFmtId="2" fontId="0" fillId="0" borderId="16" xfId="0" applyNumberFormat="1" applyBorder="1"/>
    <xf numFmtId="0" fontId="0" fillId="0" borderId="12" xfId="0" applyBorder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3" fillId="0" borderId="0" xfId="0" applyFont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00FD-869E-4382-89C4-E8386F93E7A9}">
  <dimension ref="A2:A5"/>
  <sheetViews>
    <sheetView workbookViewId="0">
      <selection activeCell="A6" sqref="A6"/>
    </sheetView>
  </sheetViews>
  <sheetFormatPr baseColWidth="10" defaultRowHeight="15" x14ac:dyDescent="0.25"/>
  <sheetData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35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7D8C-B5DF-4DEB-AC1C-3CB8F1A74AA2}">
  <dimension ref="A1:AD81"/>
  <sheetViews>
    <sheetView tabSelected="1" zoomScaleNormal="100" workbookViewId="0">
      <selection activeCell="I27" sqref="I27"/>
    </sheetView>
  </sheetViews>
  <sheetFormatPr baseColWidth="10" defaultRowHeight="15" x14ac:dyDescent="0.25"/>
  <cols>
    <col min="1" max="1" width="18.42578125" customWidth="1"/>
    <col min="2" max="4" width="4.7109375" customWidth="1"/>
    <col min="5" max="5" width="4.5703125" customWidth="1"/>
    <col min="6" max="25" width="4.7109375" customWidth="1"/>
    <col min="26" max="37" width="11.42578125" customWidth="1"/>
  </cols>
  <sheetData>
    <row r="1" spans="1:30" ht="15" customHeight="1" x14ac:dyDescent="0.35">
      <c r="A1" s="23"/>
    </row>
    <row r="2" spans="1:30" x14ac:dyDescent="0.25">
      <c r="A2" t="s">
        <v>0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7" spans="1:30" x14ac:dyDescent="0.25">
      <c r="A7" t="s">
        <v>4</v>
      </c>
    </row>
    <row r="8" spans="1:30" ht="15.75" thickBot="1" x14ac:dyDescent="0.3">
      <c r="A8" s="32" t="s">
        <v>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4"/>
    </row>
    <row r="9" spans="1:30" ht="15" customHeight="1" x14ac:dyDescent="0.25">
      <c r="A9" s="30" t="s">
        <v>6</v>
      </c>
      <c r="B9" s="35" t="s">
        <v>23</v>
      </c>
      <c r="C9" s="36"/>
      <c r="D9" s="36"/>
      <c r="E9" s="37"/>
      <c r="F9" s="35" t="s">
        <v>24</v>
      </c>
      <c r="G9" s="36"/>
      <c r="H9" s="36"/>
      <c r="I9" s="37"/>
      <c r="J9" s="35" t="s">
        <v>25</v>
      </c>
      <c r="K9" s="36"/>
      <c r="L9" s="36"/>
      <c r="M9" s="37"/>
      <c r="N9" s="35" t="s">
        <v>26</v>
      </c>
      <c r="O9" s="36"/>
      <c r="P9" s="36"/>
      <c r="Q9" s="37"/>
      <c r="R9" s="35" t="s">
        <v>27</v>
      </c>
      <c r="S9" s="36"/>
      <c r="T9" s="36"/>
      <c r="U9" s="37"/>
      <c r="V9" s="35" t="s">
        <v>28</v>
      </c>
      <c r="W9" s="36"/>
      <c r="X9" s="36"/>
      <c r="Y9" s="37"/>
    </row>
    <row r="10" spans="1:30" x14ac:dyDescent="0.25">
      <c r="A10" s="31"/>
      <c r="B10" s="1">
        <v>1</v>
      </c>
      <c r="C10" s="2">
        <v>2</v>
      </c>
      <c r="D10" s="2">
        <v>3</v>
      </c>
      <c r="E10" s="3">
        <v>4</v>
      </c>
      <c r="F10" s="1">
        <v>1</v>
      </c>
      <c r="G10" s="2">
        <v>2</v>
      </c>
      <c r="H10" s="2">
        <v>3</v>
      </c>
      <c r="I10" s="3">
        <v>4</v>
      </c>
      <c r="J10" s="1">
        <v>1</v>
      </c>
      <c r="K10" s="2">
        <v>2</v>
      </c>
      <c r="L10" s="2">
        <v>3</v>
      </c>
      <c r="M10" s="3">
        <v>4</v>
      </c>
      <c r="N10" s="1">
        <v>1</v>
      </c>
      <c r="O10" s="2">
        <v>2</v>
      </c>
      <c r="P10" s="2">
        <v>3</v>
      </c>
      <c r="Q10" s="3">
        <v>4</v>
      </c>
      <c r="R10" s="1">
        <v>1</v>
      </c>
      <c r="S10" s="2">
        <v>2</v>
      </c>
      <c r="T10" s="2">
        <v>3</v>
      </c>
      <c r="U10" s="3">
        <v>4</v>
      </c>
      <c r="V10" s="1">
        <v>1</v>
      </c>
      <c r="W10" s="2">
        <v>2</v>
      </c>
      <c r="X10" s="2">
        <v>3</v>
      </c>
      <c r="Y10" s="3">
        <v>4</v>
      </c>
    </row>
    <row r="11" spans="1:30" x14ac:dyDescent="0.25">
      <c r="A11" s="4" t="s">
        <v>7</v>
      </c>
      <c r="B11" s="5">
        <v>4</v>
      </c>
      <c r="C11" s="6">
        <v>3</v>
      </c>
      <c r="D11" s="6">
        <v>8</v>
      </c>
      <c r="E11" s="7">
        <v>7</v>
      </c>
      <c r="F11" s="5">
        <v>3</v>
      </c>
      <c r="G11" s="6">
        <v>5</v>
      </c>
      <c r="H11" s="6">
        <v>0</v>
      </c>
      <c r="I11" s="7">
        <v>4</v>
      </c>
      <c r="J11" s="5">
        <v>3</v>
      </c>
      <c r="K11" s="6">
        <v>2</v>
      </c>
      <c r="L11" s="6">
        <v>4</v>
      </c>
      <c r="M11" s="7">
        <v>4</v>
      </c>
      <c r="N11" s="5">
        <v>3</v>
      </c>
      <c r="O11" s="6">
        <v>2</v>
      </c>
      <c r="P11" s="6">
        <v>2</v>
      </c>
      <c r="Q11" s="7">
        <v>2</v>
      </c>
      <c r="R11" s="5">
        <v>2</v>
      </c>
      <c r="S11" s="6">
        <v>4</v>
      </c>
      <c r="T11" s="6">
        <v>4</v>
      </c>
      <c r="U11" s="7">
        <v>3</v>
      </c>
      <c r="V11" s="5">
        <v>3</v>
      </c>
      <c r="W11" s="6">
        <v>3</v>
      </c>
      <c r="X11" s="6">
        <v>4</v>
      </c>
      <c r="Y11" s="7">
        <v>4</v>
      </c>
    </row>
    <row r="12" spans="1:30" x14ac:dyDescent="0.25">
      <c r="A12" s="4" t="s">
        <v>8</v>
      </c>
      <c r="B12" s="5">
        <v>3</v>
      </c>
      <c r="C12" s="6">
        <v>0</v>
      </c>
      <c r="D12" s="6">
        <v>1</v>
      </c>
      <c r="E12" s="7">
        <v>2</v>
      </c>
      <c r="F12" s="5">
        <v>3</v>
      </c>
      <c r="G12" s="6">
        <v>2</v>
      </c>
      <c r="H12" s="6">
        <v>3</v>
      </c>
      <c r="I12" s="7">
        <v>0</v>
      </c>
      <c r="J12" s="5">
        <v>3</v>
      </c>
      <c r="K12" s="6">
        <v>3</v>
      </c>
      <c r="L12" s="6">
        <v>1</v>
      </c>
      <c r="M12" s="7">
        <v>2</v>
      </c>
      <c r="N12" s="5">
        <v>0</v>
      </c>
      <c r="O12" s="6">
        <v>0</v>
      </c>
      <c r="P12" s="6">
        <v>0</v>
      </c>
      <c r="Q12" s="7">
        <v>1</v>
      </c>
      <c r="R12" s="5">
        <v>1</v>
      </c>
      <c r="S12" s="6">
        <v>0</v>
      </c>
      <c r="T12" s="6">
        <v>0</v>
      </c>
      <c r="U12" s="7">
        <v>1</v>
      </c>
      <c r="V12" s="5">
        <v>0</v>
      </c>
      <c r="W12" s="6">
        <v>1</v>
      </c>
      <c r="X12" s="6">
        <v>0</v>
      </c>
      <c r="Y12" s="7">
        <v>2</v>
      </c>
    </row>
    <row r="13" spans="1:30" x14ac:dyDescent="0.25">
      <c r="A13" s="4" t="s">
        <v>9</v>
      </c>
      <c r="B13" s="5">
        <f t="shared" ref="B13:Y13" si="0">150-B11</f>
        <v>146</v>
      </c>
      <c r="C13" s="6">
        <f t="shared" si="0"/>
        <v>147</v>
      </c>
      <c r="D13" s="6">
        <f t="shared" si="0"/>
        <v>142</v>
      </c>
      <c r="E13" s="7">
        <f t="shared" si="0"/>
        <v>143</v>
      </c>
      <c r="F13" s="5">
        <f t="shared" si="0"/>
        <v>147</v>
      </c>
      <c r="G13" s="6">
        <f t="shared" si="0"/>
        <v>145</v>
      </c>
      <c r="H13" s="6">
        <f t="shared" si="0"/>
        <v>150</v>
      </c>
      <c r="I13" s="7">
        <f t="shared" si="0"/>
        <v>146</v>
      </c>
      <c r="J13" s="5">
        <f t="shared" si="0"/>
        <v>147</v>
      </c>
      <c r="K13" s="6">
        <f t="shared" si="0"/>
        <v>148</v>
      </c>
      <c r="L13" s="6">
        <f t="shared" si="0"/>
        <v>146</v>
      </c>
      <c r="M13" s="7">
        <f t="shared" si="0"/>
        <v>146</v>
      </c>
      <c r="N13" s="5">
        <f t="shared" si="0"/>
        <v>147</v>
      </c>
      <c r="O13" s="6">
        <f t="shared" si="0"/>
        <v>148</v>
      </c>
      <c r="P13" s="6">
        <f t="shared" si="0"/>
        <v>148</v>
      </c>
      <c r="Q13" s="7">
        <f t="shared" si="0"/>
        <v>148</v>
      </c>
      <c r="R13" s="5">
        <f t="shared" si="0"/>
        <v>148</v>
      </c>
      <c r="S13" s="6">
        <f t="shared" si="0"/>
        <v>146</v>
      </c>
      <c r="T13" s="6">
        <f t="shared" si="0"/>
        <v>146</v>
      </c>
      <c r="U13" s="7">
        <f t="shared" si="0"/>
        <v>147</v>
      </c>
      <c r="V13" s="5">
        <f t="shared" si="0"/>
        <v>147</v>
      </c>
      <c r="W13" s="6">
        <f t="shared" si="0"/>
        <v>147</v>
      </c>
      <c r="X13" s="6">
        <f t="shared" si="0"/>
        <v>146</v>
      </c>
      <c r="Y13" s="7">
        <f t="shared" si="0"/>
        <v>146</v>
      </c>
    </row>
    <row r="14" spans="1:30" x14ac:dyDescent="0.25">
      <c r="A14" s="8" t="s">
        <v>10</v>
      </c>
      <c r="B14" s="5">
        <f t="shared" ref="B14:Y14" si="1">150-B11-B12</f>
        <v>143</v>
      </c>
      <c r="C14" s="6">
        <f t="shared" si="1"/>
        <v>147</v>
      </c>
      <c r="D14" s="6">
        <f t="shared" si="1"/>
        <v>141</v>
      </c>
      <c r="E14" s="7">
        <f t="shared" si="1"/>
        <v>141</v>
      </c>
      <c r="F14" s="5">
        <f t="shared" si="1"/>
        <v>144</v>
      </c>
      <c r="G14" s="6">
        <f t="shared" si="1"/>
        <v>143</v>
      </c>
      <c r="H14" s="6">
        <f t="shared" si="1"/>
        <v>147</v>
      </c>
      <c r="I14" s="7">
        <f t="shared" si="1"/>
        <v>146</v>
      </c>
      <c r="J14" s="5">
        <f t="shared" si="1"/>
        <v>144</v>
      </c>
      <c r="K14" s="6">
        <f t="shared" si="1"/>
        <v>145</v>
      </c>
      <c r="L14" s="6">
        <f t="shared" si="1"/>
        <v>145</v>
      </c>
      <c r="M14" s="7">
        <f t="shared" si="1"/>
        <v>144</v>
      </c>
      <c r="N14" s="5">
        <f t="shared" si="1"/>
        <v>147</v>
      </c>
      <c r="O14" s="6">
        <f t="shared" si="1"/>
        <v>148</v>
      </c>
      <c r="P14" s="6">
        <f t="shared" si="1"/>
        <v>148</v>
      </c>
      <c r="Q14" s="7">
        <f t="shared" si="1"/>
        <v>147</v>
      </c>
      <c r="R14" s="5">
        <f t="shared" si="1"/>
        <v>147</v>
      </c>
      <c r="S14" s="6">
        <f t="shared" si="1"/>
        <v>146</v>
      </c>
      <c r="T14" s="6">
        <f t="shared" si="1"/>
        <v>146</v>
      </c>
      <c r="U14" s="7">
        <f t="shared" si="1"/>
        <v>146</v>
      </c>
      <c r="V14" s="5">
        <f t="shared" si="1"/>
        <v>147</v>
      </c>
      <c r="W14" s="6">
        <f t="shared" si="1"/>
        <v>146</v>
      </c>
      <c r="X14" s="6">
        <f t="shared" si="1"/>
        <v>146</v>
      </c>
      <c r="Y14" s="7">
        <f t="shared" si="1"/>
        <v>144</v>
      </c>
      <c r="AD14" s="14"/>
    </row>
    <row r="15" spans="1:30" ht="15.75" thickBot="1" x14ac:dyDescent="0.3">
      <c r="A15" s="4" t="s">
        <v>11</v>
      </c>
      <c r="B15" s="9">
        <f t="shared" ref="B15:Y15" si="2">100/150*B13</f>
        <v>97.333333333333329</v>
      </c>
      <c r="C15" s="10">
        <f t="shared" si="2"/>
        <v>98</v>
      </c>
      <c r="D15" s="10">
        <f t="shared" si="2"/>
        <v>94.666666666666657</v>
      </c>
      <c r="E15" s="11">
        <f t="shared" si="2"/>
        <v>95.333333333333329</v>
      </c>
      <c r="F15" s="9">
        <f t="shared" si="2"/>
        <v>98</v>
      </c>
      <c r="G15" s="10">
        <f t="shared" si="2"/>
        <v>96.666666666666657</v>
      </c>
      <c r="H15" s="10">
        <f t="shared" si="2"/>
        <v>100</v>
      </c>
      <c r="I15" s="11">
        <f t="shared" si="2"/>
        <v>97.333333333333329</v>
      </c>
      <c r="J15" s="9">
        <f t="shared" si="2"/>
        <v>98</v>
      </c>
      <c r="K15" s="10">
        <f t="shared" si="2"/>
        <v>98.666666666666657</v>
      </c>
      <c r="L15" s="10">
        <f t="shared" si="2"/>
        <v>97.333333333333329</v>
      </c>
      <c r="M15" s="11">
        <f t="shared" si="2"/>
        <v>97.333333333333329</v>
      </c>
      <c r="N15" s="9">
        <f t="shared" si="2"/>
        <v>98</v>
      </c>
      <c r="O15" s="10">
        <f t="shared" si="2"/>
        <v>98.666666666666657</v>
      </c>
      <c r="P15" s="10">
        <f t="shared" si="2"/>
        <v>98.666666666666657</v>
      </c>
      <c r="Q15" s="11">
        <f t="shared" si="2"/>
        <v>98.666666666666657</v>
      </c>
      <c r="R15" s="9">
        <f t="shared" si="2"/>
        <v>98.666666666666657</v>
      </c>
      <c r="S15" s="10">
        <f t="shared" si="2"/>
        <v>97.333333333333329</v>
      </c>
      <c r="T15" s="10">
        <f t="shared" si="2"/>
        <v>97.333333333333329</v>
      </c>
      <c r="U15" s="11">
        <f t="shared" si="2"/>
        <v>98</v>
      </c>
      <c r="V15" s="9">
        <f t="shared" si="2"/>
        <v>98</v>
      </c>
      <c r="W15" s="10">
        <f t="shared" si="2"/>
        <v>98</v>
      </c>
      <c r="X15" s="10">
        <f t="shared" si="2"/>
        <v>97.333333333333329</v>
      </c>
      <c r="Y15" s="11">
        <f t="shared" si="2"/>
        <v>97.333333333333329</v>
      </c>
      <c r="AD15" s="14"/>
    </row>
    <row r="16" spans="1:30" ht="15.75" thickBot="1" x14ac:dyDescent="0.3">
      <c r="A16" s="4" t="s">
        <v>12</v>
      </c>
      <c r="B16" s="24">
        <f>AVERAGE(B15:E15)</f>
        <v>96.333333333333329</v>
      </c>
      <c r="C16" s="25"/>
      <c r="D16" s="25"/>
      <c r="E16" s="26"/>
      <c r="F16" s="24">
        <f>AVERAGE(F15:I15)</f>
        <v>97.999999999999986</v>
      </c>
      <c r="G16" s="25"/>
      <c r="H16" s="25"/>
      <c r="I16" s="26"/>
      <c r="J16" s="24">
        <f>AVERAGE(J15:M15)</f>
        <v>97.833333333333329</v>
      </c>
      <c r="K16" s="25"/>
      <c r="L16" s="25"/>
      <c r="M16" s="26"/>
      <c r="N16" s="24">
        <f>AVERAGE(N15:Q15)</f>
        <v>98.5</v>
      </c>
      <c r="O16" s="25"/>
      <c r="P16" s="25"/>
      <c r="Q16" s="26"/>
      <c r="R16" s="24">
        <f>AVERAGE(R15:U15)</f>
        <v>97.833333333333329</v>
      </c>
      <c r="S16" s="25"/>
      <c r="T16" s="25"/>
      <c r="U16" s="26"/>
      <c r="V16" s="24">
        <f>AVERAGE(V15:Y15)</f>
        <v>97.666666666666657</v>
      </c>
      <c r="W16" s="25"/>
      <c r="X16" s="25"/>
      <c r="Y16" s="26"/>
      <c r="Z16" s="12">
        <f>AVERAGE(B16:Y16)</f>
        <v>97.694444444444443</v>
      </c>
      <c r="AA16" t="s">
        <v>13</v>
      </c>
      <c r="AD16" s="14"/>
    </row>
    <row r="17" spans="1:27" ht="15.75" thickBot="1" x14ac:dyDescent="0.3">
      <c r="A17" s="4" t="s">
        <v>14</v>
      </c>
      <c r="B17" s="24">
        <f>_xlfn.STDEV.P(B15:E15)</f>
        <v>1.3743685418725564</v>
      </c>
      <c r="C17" s="25"/>
      <c r="D17" s="25"/>
      <c r="E17" s="26"/>
      <c r="F17" s="24">
        <f>_xlfn.STDEV.P(F15:I15)</f>
        <v>1.2472191289246504</v>
      </c>
      <c r="G17" s="25"/>
      <c r="H17" s="25"/>
      <c r="I17" s="26"/>
      <c r="J17" s="24">
        <f>_xlfn.STDEV.P(J15:M15)</f>
        <v>0.55277079839256515</v>
      </c>
      <c r="K17" s="25"/>
      <c r="L17" s="25"/>
      <c r="M17" s="26"/>
      <c r="N17" s="24">
        <f>_xlfn.STDEV.P(N15:Q15)</f>
        <v>0.28867513459480881</v>
      </c>
      <c r="O17" s="25"/>
      <c r="P17" s="25"/>
      <c r="Q17" s="26"/>
      <c r="R17" s="24">
        <f>_xlfn.STDEV.P(R15:U15)</f>
        <v>0.55277079839256527</v>
      </c>
      <c r="S17" s="25"/>
      <c r="T17" s="25"/>
      <c r="U17" s="26"/>
      <c r="V17" s="24">
        <f>_xlfn.STDEV.P(V15:Y15)</f>
        <v>0.3333333333333357</v>
      </c>
      <c r="W17" s="25"/>
      <c r="X17" s="25"/>
      <c r="Y17" s="26"/>
      <c r="Z17" s="12">
        <f>_xlfn.STDEV.P(B15:Y15)</f>
        <v>1.0711566380366027</v>
      </c>
      <c r="AA17" t="s">
        <v>15</v>
      </c>
    </row>
    <row r="18" spans="1:27" ht="30.75" thickBot="1" x14ac:dyDescent="0.3">
      <c r="A18" s="13" t="s">
        <v>16</v>
      </c>
      <c r="B18" s="27"/>
      <c r="C18" s="28"/>
      <c r="D18" s="28"/>
      <c r="E18" s="29"/>
      <c r="F18" s="27"/>
      <c r="G18" s="28"/>
      <c r="H18" s="28"/>
      <c r="I18" s="29"/>
      <c r="J18" s="27"/>
      <c r="K18" s="28"/>
      <c r="L18" s="28"/>
      <c r="M18" s="29"/>
      <c r="N18" s="27"/>
      <c r="O18" s="28"/>
      <c r="P18" s="28"/>
      <c r="Q18" s="29"/>
      <c r="R18" s="27"/>
      <c r="S18" s="28"/>
      <c r="T18" s="28"/>
      <c r="U18" s="29"/>
      <c r="V18" s="27"/>
      <c r="W18" s="28"/>
      <c r="X18" s="28"/>
      <c r="Y18" s="29"/>
      <c r="Z18" s="14"/>
    </row>
    <row r="19" spans="1:27" x14ac:dyDescent="0.25">
      <c r="Z19" s="14"/>
    </row>
    <row r="20" spans="1:27" x14ac:dyDescent="0.25">
      <c r="B20" s="15"/>
      <c r="F20" s="15"/>
      <c r="J20" s="15"/>
    </row>
    <row r="21" spans="1:27" x14ac:dyDescent="0.25">
      <c r="A21" t="s">
        <v>17</v>
      </c>
    </row>
    <row r="22" spans="1:27" ht="15.75" thickBot="1" x14ac:dyDescent="0.3">
      <c r="A22" s="32" t="s">
        <v>5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4"/>
    </row>
    <row r="23" spans="1:27" x14ac:dyDescent="0.25">
      <c r="A23" s="22" t="s">
        <v>6</v>
      </c>
      <c r="B23" s="35" t="s">
        <v>29</v>
      </c>
      <c r="C23" s="36"/>
      <c r="D23" s="36"/>
      <c r="E23" s="37"/>
      <c r="F23" s="35" t="s">
        <v>30</v>
      </c>
      <c r="G23" s="36"/>
      <c r="H23" s="36"/>
      <c r="I23" s="37"/>
      <c r="J23" s="35" t="s">
        <v>31</v>
      </c>
      <c r="K23" s="36"/>
      <c r="L23" s="36"/>
      <c r="M23" s="37"/>
      <c r="N23" s="35" t="s">
        <v>32</v>
      </c>
      <c r="O23" s="36"/>
      <c r="P23" s="36"/>
      <c r="Q23" s="37"/>
      <c r="R23" s="35" t="s">
        <v>33</v>
      </c>
      <c r="S23" s="36"/>
      <c r="T23" s="36"/>
      <c r="U23" s="37"/>
      <c r="V23" s="35" t="s">
        <v>34</v>
      </c>
      <c r="W23" s="36"/>
      <c r="X23" s="36"/>
      <c r="Y23" s="37"/>
    </row>
    <row r="24" spans="1:27" x14ac:dyDescent="0.25">
      <c r="A24" s="22"/>
      <c r="B24" s="1">
        <v>1</v>
      </c>
      <c r="C24" s="2">
        <v>2</v>
      </c>
      <c r="D24" s="2">
        <v>3</v>
      </c>
      <c r="E24" s="3">
        <v>4</v>
      </c>
      <c r="F24" s="1">
        <v>1</v>
      </c>
      <c r="G24" s="2">
        <v>2</v>
      </c>
      <c r="H24" s="2">
        <v>3</v>
      </c>
      <c r="I24" s="3">
        <v>4</v>
      </c>
      <c r="J24" s="1">
        <v>1</v>
      </c>
      <c r="K24" s="2">
        <v>2</v>
      </c>
      <c r="L24" s="2">
        <v>3</v>
      </c>
      <c r="M24" s="3">
        <v>4</v>
      </c>
      <c r="N24" s="1">
        <v>1</v>
      </c>
      <c r="O24" s="2">
        <v>2</v>
      </c>
      <c r="P24" s="2">
        <v>3</v>
      </c>
      <c r="Q24" s="3">
        <v>4</v>
      </c>
      <c r="R24" s="1">
        <v>1</v>
      </c>
      <c r="S24" s="2">
        <v>2</v>
      </c>
      <c r="T24" s="2">
        <v>3</v>
      </c>
      <c r="U24" s="3">
        <v>4</v>
      </c>
      <c r="V24" s="1">
        <v>1</v>
      </c>
      <c r="W24" s="2">
        <v>2</v>
      </c>
      <c r="X24" s="2">
        <v>3</v>
      </c>
      <c r="Y24" s="3">
        <v>4</v>
      </c>
    </row>
    <row r="25" spans="1:27" x14ac:dyDescent="0.25">
      <c r="A25" s="4" t="s">
        <v>7</v>
      </c>
      <c r="B25" s="5">
        <v>3</v>
      </c>
      <c r="C25" s="6">
        <v>5</v>
      </c>
      <c r="D25" s="6">
        <v>6</v>
      </c>
      <c r="E25" s="7">
        <v>11</v>
      </c>
      <c r="F25" s="5">
        <v>3</v>
      </c>
      <c r="G25" s="6">
        <v>3</v>
      </c>
      <c r="H25" s="6">
        <v>3</v>
      </c>
      <c r="I25" s="7">
        <v>5</v>
      </c>
      <c r="J25" s="5">
        <v>5</v>
      </c>
      <c r="K25" s="6">
        <v>3</v>
      </c>
      <c r="L25" s="6">
        <v>5</v>
      </c>
      <c r="M25" s="7">
        <v>6</v>
      </c>
      <c r="N25" s="5">
        <v>2</v>
      </c>
      <c r="O25" s="6">
        <v>5</v>
      </c>
      <c r="P25" s="6">
        <v>4</v>
      </c>
      <c r="Q25" s="7">
        <v>2</v>
      </c>
      <c r="R25" s="5">
        <v>5</v>
      </c>
      <c r="S25" s="6">
        <v>2</v>
      </c>
      <c r="T25" s="6">
        <v>5</v>
      </c>
      <c r="U25" s="7">
        <v>3</v>
      </c>
      <c r="V25" s="5">
        <v>3</v>
      </c>
      <c r="W25" s="6">
        <v>3</v>
      </c>
      <c r="X25" s="6">
        <v>4</v>
      </c>
      <c r="Y25" s="7">
        <v>4</v>
      </c>
    </row>
    <row r="26" spans="1:27" x14ac:dyDescent="0.25">
      <c r="A26" s="4" t="s">
        <v>8</v>
      </c>
      <c r="B26" s="5">
        <v>2</v>
      </c>
      <c r="C26" s="6">
        <v>1</v>
      </c>
      <c r="D26" s="6">
        <v>0</v>
      </c>
      <c r="E26" s="7">
        <v>0</v>
      </c>
      <c r="F26" s="5">
        <v>2</v>
      </c>
      <c r="G26" s="6">
        <v>2</v>
      </c>
      <c r="H26" s="6">
        <v>0</v>
      </c>
      <c r="I26" s="7">
        <v>1</v>
      </c>
      <c r="J26" s="5">
        <v>0</v>
      </c>
      <c r="K26" s="6">
        <v>1</v>
      </c>
      <c r="L26" s="6">
        <v>0</v>
      </c>
      <c r="M26" s="7">
        <v>2</v>
      </c>
      <c r="N26" s="5">
        <v>0</v>
      </c>
      <c r="O26" s="6">
        <v>0</v>
      </c>
      <c r="P26" s="6">
        <v>0</v>
      </c>
      <c r="Q26" s="7">
        <v>0</v>
      </c>
      <c r="R26" s="5">
        <v>0</v>
      </c>
      <c r="S26" s="6">
        <v>0</v>
      </c>
      <c r="T26" s="6">
        <v>1</v>
      </c>
      <c r="U26" s="7">
        <v>2</v>
      </c>
      <c r="V26" s="5">
        <v>1</v>
      </c>
      <c r="W26" s="6">
        <v>0</v>
      </c>
      <c r="X26" s="6">
        <v>0</v>
      </c>
      <c r="Y26" s="7">
        <v>0</v>
      </c>
    </row>
    <row r="27" spans="1:27" x14ac:dyDescent="0.25">
      <c r="A27" s="4" t="s">
        <v>9</v>
      </c>
      <c r="B27" s="5">
        <f t="shared" ref="B27:Y27" si="3">150-B25</f>
        <v>147</v>
      </c>
      <c r="C27" s="6">
        <f t="shared" si="3"/>
        <v>145</v>
      </c>
      <c r="D27" s="6">
        <f t="shared" si="3"/>
        <v>144</v>
      </c>
      <c r="E27" s="7">
        <f t="shared" si="3"/>
        <v>139</v>
      </c>
      <c r="F27" s="5">
        <f t="shared" si="3"/>
        <v>147</v>
      </c>
      <c r="G27" s="6">
        <f t="shared" si="3"/>
        <v>147</v>
      </c>
      <c r="H27" s="6">
        <f t="shared" si="3"/>
        <v>147</v>
      </c>
      <c r="I27" s="7">
        <f t="shared" si="3"/>
        <v>145</v>
      </c>
      <c r="J27" s="5">
        <f t="shared" si="3"/>
        <v>145</v>
      </c>
      <c r="K27" s="6">
        <f t="shared" si="3"/>
        <v>147</v>
      </c>
      <c r="L27" s="6">
        <f t="shared" si="3"/>
        <v>145</v>
      </c>
      <c r="M27" s="7">
        <f t="shared" si="3"/>
        <v>144</v>
      </c>
      <c r="N27" s="5">
        <f t="shared" si="3"/>
        <v>148</v>
      </c>
      <c r="O27" s="6">
        <f t="shared" si="3"/>
        <v>145</v>
      </c>
      <c r="P27" s="6">
        <f t="shared" si="3"/>
        <v>146</v>
      </c>
      <c r="Q27" s="7">
        <f t="shared" si="3"/>
        <v>148</v>
      </c>
      <c r="R27" s="5">
        <f t="shared" si="3"/>
        <v>145</v>
      </c>
      <c r="S27" s="6">
        <f t="shared" si="3"/>
        <v>148</v>
      </c>
      <c r="T27" s="6">
        <f t="shared" si="3"/>
        <v>145</v>
      </c>
      <c r="U27" s="7">
        <f t="shared" si="3"/>
        <v>147</v>
      </c>
      <c r="V27" s="5">
        <f t="shared" si="3"/>
        <v>147</v>
      </c>
      <c r="W27" s="6">
        <f t="shared" si="3"/>
        <v>147</v>
      </c>
      <c r="X27" s="6">
        <f t="shared" si="3"/>
        <v>146</v>
      </c>
      <c r="Y27" s="7">
        <f t="shared" si="3"/>
        <v>146</v>
      </c>
    </row>
    <row r="28" spans="1:27" x14ac:dyDescent="0.25">
      <c r="A28" s="4" t="s">
        <v>10</v>
      </c>
      <c r="B28" s="5">
        <f t="shared" ref="B28:Y28" si="4">150-B25-B26</f>
        <v>145</v>
      </c>
      <c r="C28" s="6">
        <f t="shared" si="4"/>
        <v>144</v>
      </c>
      <c r="D28" s="6">
        <f t="shared" si="4"/>
        <v>144</v>
      </c>
      <c r="E28" s="7">
        <f t="shared" si="4"/>
        <v>139</v>
      </c>
      <c r="F28" s="5">
        <f t="shared" si="4"/>
        <v>145</v>
      </c>
      <c r="G28" s="6">
        <f t="shared" si="4"/>
        <v>145</v>
      </c>
      <c r="H28" s="6">
        <f t="shared" si="4"/>
        <v>147</v>
      </c>
      <c r="I28" s="7">
        <f t="shared" si="4"/>
        <v>144</v>
      </c>
      <c r="J28" s="5">
        <f t="shared" si="4"/>
        <v>145</v>
      </c>
      <c r="K28" s="6">
        <f t="shared" si="4"/>
        <v>146</v>
      </c>
      <c r="L28" s="6">
        <f t="shared" si="4"/>
        <v>145</v>
      </c>
      <c r="M28" s="7">
        <f t="shared" si="4"/>
        <v>142</v>
      </c>
      <c r="N28" s="5">
        <f t="shared" si="4"/>
        <v>148</v>
      </c>
      <c r="O28" s="6">
        <f t="shared" si="4"/>
        <v>145</v>
      </c>
      <c r="P28" s="6">
        <f t="shared" si="4"/>
        <v>146</v>
      </c>
      <c r="Q28" s="7">
        <f t="shared" si="4"/>
        <v>148</v>
      </c>
      <c r="R28" s="5">
        <f t="shared" si="4"/>
        <v>145</v>
      </c>
      <c r="S28" s="6">
        <f t="shared" si="4"/>
        <v>148</v>
      </c>
      <c r="T28" s="6">
        <f t="shared" si="4"/>
        <v>144</v>
      </c>
      <c r="U28" s="7">
        <f t="shared" si="4"/>
        <v>145</v>
      </c>
      <c r="V28" s="5">
        <f t="shared" si="4"/>
        <v>146</v>
      </c>
      <c r="W28" s="6">
        <f t="shared" si="4"/>
        <v>147</v>
      </c>
      <c r="X28" s="6">
        <f t="shared" si="4"/>
        <v>146</v>
      </c>
      <c r="Y28" s="7">
        <f t="shared" si="4"/>
        <v>146</v>
      </c>
    </row>
    <row r="29" spans="1:27" ht="15.75" thickBot="1" x14ac:dyDescent="0.3">
      <c r="A29" s="4" t="s">
        <v>11</v>
      </c>
      <c r="B29" s="5">
        <f t="shared" ref="B29:Y29" si="5">100/150*B27</f>
        <v>98</v>
      </c>
      <c r="C29" s="6">
        <f t="shared" si="5"/>
        <v>96.666666666666657</v>
      </c>
      <c r="D29" s="6">
        <f t="shared" si="5"/>
        <v>96</v>
      </c>
      <c r="E29" s="7">
        <f t="shared" si="5"/>
        <v>92.666666666666657</v>
      </c>
      <c r="F29" s="5">
        <f t="shared" si="5"/>
        <v>98</v>
      </c>
      <c r="G29" s="6">
        <f t="shared" si="5"/>
        <v>98</v>
      </c>
      <c r="H29" s="6">
        <f t="shared" si="5"/>
        <v>98</v>
      </c>
      <c r="I29" s="7">
        <f t="shared" si="5"/>
        <v>96.666666666666657</v>
      </c>
      <c r="J29" s="5">
        <f t="shared" si="5"/>
        <v>96.666666666666657</v>
      </c>
      <c r="K29" s="6">
        <f t="shared" si="5"/>
        <v>98</v>
      </c>
      <c r="L29" s="6">
        <f t="shared" si="5"/>
        <v>96.666666666666657</v>
      </c>
      <c r="M29" s="7">
        <f t="shared" si="5"/>
        <v>96</v>
      </c>
      <c r="N29" s="5">
        <f t="shared" si="5"/>
        <v>98.666666666666657</v>
      </c>
      <c r="O29" s="6">
        <f t="shared" si="5"/>
        <v>96.666666666666657</v>
      </c>
      <c r="P29" s="6">
        <f t="shared" si="5"/>
        <v>97.333333333333329</v>
      </c>
      <c r="Q29" s="7">
        <f t="shared" si="5"/>
        <v>98.666666666666657</v>
      </c>
      <c r="R29" s="5">
        <f t="shared" si="5"/>
        <v>96.666666666666657</v>
      </c>
      <c r="S29" s="6">
        <f t="shared" si="5"/>
        <v>98.666666666666657</v>
      </c>
      <c r="T29" s="6">
        <f t="shared" si="5"/>
        <v>96.666666666666657</v>
      </c>
      <c r="U29" s="7">
        <f t="shared" si="5"/>
        <v>98</v>
      </c>
      <c r="V29" s="5">
        <f t="shared" si="5"/>
        <v>98</v>
      </c>
      <c r="W29" s="6">
        <f t="shared" si="5"/>
        <v>98</v>
      </c>
      <c r="X29" s="6">
        <f t="shared" si="5"/>
        <v>97.333333333333329</v>
      </c>
      <c r="Y29" s="7">
        <f t="shared" si="5"/>
        <v>97.333333333333329</v>
      </c>
    </row>
    <row r="30" spans="1:27" ht="15.75" thickBot="1" x14ac:dyDescent="0.3">
      <c r="A30" s="4" t="s">
        <v>12</v>
      </c>
      <c r="B30" s="24">
        <f>100-(100/(150*4)*SUM(B25:E25))</f>
        <v>95.833333333333329</v>
      </c>
      <c r="C30" s="25"/>
      <c r="D30" s="25"/>
      <c r="E30" s="26"/>
      <c r="F30" s="24">
        <f>100-(100/(150*4)*SUM(F25:I25))</f>
        <v>97.666666666666671</v>
      </c>
      <c r="G30" s="25"/>
      <c r="H30" s="25"/>
      <c r="I30" s="26"/>
      <c r="J30" s="24">
        <f>100-(100/(150*4)*SUM(J25:M25))</f>
        <v>96.833333333333329</v>
      </c>
      <c r="K30" s="25"/>
      <c r="L30" s="25"/>
      <c r="M30" s="26"/>
      <c r="N30" s="24">
        <f>100-(100/(150*4)*SUM(N25:Q25))</f>
        <v>97.833333333333329</v>
      </c>
      <c r="O30" s="25"/>
      <c r="P30" s="25"/>
      <c r="Q30" s="26"/>
      <c r="R30" s="24">
        <f>100-(100/(150*4)*SUM(R25:U25))</f>
        <v>97.5</v>
      </c>
      <c r="S30" s="25"/>
      <c r="T30" s="25"/>
      <c r="U30" s="26"/>
      <c r="V30" s="24">
        <f>100-(100/(150*4)*SUM(V25:Y25))</f>
        <v>97.666666666666671</v>
      </c>
      <c r="W30" s="25"/>
      <c r="X30" s="25"/>
      <c r="Y30" s="26"/>
      <c r="Z30" s="12">
        <f>AVERAGE(B30:Y30)</f>
        <v>97.222222222222214</v>
      </c>
      <c r="AA30" t="s">
        <v>13</v>
      </c>
    </row>
    <row r="31" spans="1:27" ht="15.75" thickBot="1" x14ac:dyDescent="0.3">
      <c r="A31" s="4" t="s">
        <v>14</v>
      </c>
      <c r="B31" s="24">
        <f>_xlfn.STDEV.P(B29:E29)</f>
        <v>1.9649710204252688</v>
      </c>
      <c r="C31" s="25"/>
      <c r="D31" s="25"/>
      <c r="E31" s="26"/>
      <c r="F31" s="24">
        <f>_xlfn.STDEV.P(F29:I29)</f>
        <v>0.57735026918962984</v>
      </c>
      <c r="G31" s="25"/>
      <c r="H31" s="25"/>
      <c r="I31" s="26"/>
      <c r="J31" s="24">
        <f>_xlfn.STDEV.P(J29:M29)</f>
        <v>0.72648315725678003</v>
      </c>
      <c r="K31" s="25"/>
      <c r="L31" s="25"/>
      <c r="M31" s="26"/>
      <c r="N31" s="24">
        <f>_xlfn.STDEV.P(N29:Q29)</f>
        <v>0.86602540378443793</v>
      </c>
      <c r="O31" s="25"/>
      <c r="P31" s="25"/>
      <c r="Q31" s="26"/>
      <c r="R31" s="24">
        <f>_xlfn.STDEV.P(R29:U29)</f>
        <v>0.86602540378444004</v>
      </c>
      <c r="S31" s="25"/>
      <c r="T31" s="25"/>
      <c r="U31" s="26"/>
      <c r="V31" s="24">
        <f>_xlfn.STDEV.P(V29:Y29)</f>
        <v>0.3333333333333357</v>
      </c>
      <c r="W31" s="25"/>
      <c r="X31" s="25"/>
      <c r="Y31" s="26"/>
      <c r="Z31" s="12">
        <f>_xlfn.STDEV.P(B29:Y29)</f>
        <v>1.2422599874998845</v>
      </c>
      <c r="AA31" t="s">
        <v>15</v>
      </c>
    </row>
    <row r="32" spans="1:27" ht="30.75" thickBot="1" x14ac:dyDescent="0.3">
      <c r="A32" s="13" t="s">
        <v>16</v>
      </c>
      <c r="B32" s="27"/>
      <c r="C32" s="28"/>
      <c r="D32" s="28"/>
      <c r="E32" s="29"/>
      <c r="F32" s="27"/>
      <c r="G32" s="28"/>
      <c r="H32" s="28"/>
      <c r="I32" s="29"/>
      <c r="J32" s="27"/>
      <c r="K32" s="28"/>
      <c r="L32" s="28"/>
      <c r="M32" s="29"/>
      <c r="N32" s="27"/>
      <c r="O32" s="28"/>
      <c r="P32" s="28"/>
      <c r="Q32" s="29"/>
      <c r="R32" s="27"/>
      <c r="S32" s="28"/>
      <c r="T32" s="28"/>
      <c r="U32" s="29"/>
      <c r="V32" s="27"/>
      <c r="W32" s="28"/>
      <c r="X32" s="28"/>
      <c r="Y32" s="29"/>
    </row>
    <row r="34" spans="1:2" ht="15.75" thickBot="1" x14ac:dyDescent="0.3">
      <c r="A34" t="s">
        <v>18</v>
      </c>
    </row>
    <row r="35" spans="1:2" ht="15.75" thickBot="1" x14ac:dyDescent="0.3">
      <c r="A35" s="16">
        <f>AVERAGE(B16:Y16,B30:Y30)</f>
        <v>97.458333333333357</v>
      </c>
      <c r="B35" s="17" t="s">
        <v>19</v>
      </c>
    </row>
    <row r="37" spans="1:2" x14ac:dyDescent="0.25">
      <c r="A37" s="18"/>
    </row>
    <row r="38" spans="1:2" x14ac:dyDescent="0.25">
      <c r="A38" s="14"/>
    </row>
    <row r="53" spans="1:1" x14ac:dyDescent="0.25">
      <c r="A53" s="14"/>
    </row>
    <row r="81" spans="1:1" ht="23.25" x14ac:dyDescent="0.35">
      <c r="A81" s="23"/>
    </row>
  </sheetData>
  <mergeCells count="51">
    <mergeCell ref="V31:Y31"/>
    <mergeCell ref="B32:E32"/>
    <mergeCell ref="F32:I32"/>
    <mergeCell ref="J32:M32"/>
    <mergeCell ref="N32:Q32"/>
    <mergeCell ref="R32:U32"/>
    <mergeCell ref="V32:Y32"/>
    <mergeCell ref="B31:E31"/>
    <mergeCell ref="F31:I31"/>
    <mergeCell ref="J31:M31"/>
    <mergeCell ref="N31:Q31"/>
    <mergeCell ref="R31:U31"/>
    <mergeCell ref="R18:U18"/>
    <mergeCell ref="V18:Y18"/>
    <mergeCell ref="B17:E17"/>
    <mergeCell ref="F17:I17"/>
    <mergeCell ref="B30:E30"/>
    <mergeCell ref="F30:I30"/>
    <mergeCell ref="J30:M30"/>
    <mergeCell ref="A8:Y8"/>
    <mergeCell ref="B9:E9"/>
    <mergeCell ref="F9:I9"/>
    <mergeCell ref="N9:Q9"/>
    <mergeCell ref="J9:M9"/>
    <mergeCell ref="R9:U9"/>
    <mergeCell ref="V9:Y9"/>
    <mergeCell ref="A22:Y22"/>
    <mergeCell ref="V30:Y30"/>
    <mergeCell ref="V23:Y23"/>
    <mergeCell ref="B23:E23"/>
    <mergeCell ref="F23:I23"/>
    <mergeCell ref="J23:M23"/>
    <mergeCell ref="N23:Q23"/>
    <mergeCell ref="R23:U23"/>
    <mergeCell ref="N30:Q30"/>
    <mergeCell ref="R30:U30"/>
    <mergeCell ref="B18:E18"/>
    <mergeCell ref="F18:I18"/>
    <mergeCell ref="J18:M18"/>
    <mergeCell ref="A9:A10"/>
    <mergeCell ref="N18:Q18"/>
    <mergeCell ref="J17:M17"/>
    <mergeCell ref="N17:Q17"/>
    <mergeCell ref="R17:U17"/>
    <mergeCell ref="V16:Y16"/>
    <mergeCell ref="B16:E16"/>
    <mergeCell ref="F16:I16"/>
    <mergeCell ref="J16:M16"/>
    <mergeCell ref="N16:Q16"/>
    <mergeCell ref="R16:U16"/>
    <mergeCell ref="V17:Y17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7E4A-2821-4DA3-A98D-7AF6DD30148A}">
  <dimension ref="A1:AA37"/>
  <sheetViews>
    <sheetView topLeftCell="A19" workbookViewId="0">
      <selection activeCell="A35" sqref="A35"/>
    </sheetView>
  </sheetViews>
  <sheetFormatPr baseColWidth="10" defaultColWidth="4.5703125" defaultRowHeight="15" x14ac:dyDescent="0.25"/>
  <cols>
    <col min="1" max="1" width="18.42578125" customWidth="1"/>
    <col min="26" max="26" width="8" customWidth="1"/>
  </cols>
  <sheetData>
    <row r="1" spans="1:27" ht="15" customHeight="1" x14ac:dyDescent="0.35">
      <c r="A1" s="23"/>
    </row>
    <row r="2" spans="1:27" x14ac:dyDescent="0.25">
      <c r="A2" t="s">
        <v>0</v>
      </c>
    </row>
    <row r="3" spans="1:27" x14ac:dyDescent="0.25">
      <c r="A3" t="s">
        <v>1</v>
      </c>
    </row>
    <row r="4" spans="1:27" x14ac:dyDescent="0.25">
      <c r="A4" t="s">
        <v>2</v>
      </c>
    </row>
    <row r="5" spans="1:27" x14ac:dyDescent="0.25">
      <c r="A5" t="s">
        <v>3</v>
      </c>
    </row>
    <row r="7" spans="1:27" x14ac:dyDescent="0.25">
      <c r="A7" t="s">
        <v>4</v>
      </c>
    </row>
    <row r="8" spans="1:27" ht="15.75" thickBot="1" x14ac:dyDescent="0.3">
      <c r="A8" s="32" t="s">
        <v>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4"/>
    </row>
    <row r="9" spans="1:27" x14ac:dyDescent="0.25">
      <c r="A9" s="30" t="s">
        <v>6</v>
      </c>
      <c r="B9" s="35" t="s">
        <v>23</v>
      </c>
      <c r="C9" s="36"/>
      <c r="D9" s="36"/>
      <c r="E9" s="37"/>
      <c r="F9" s="35" t="s">
        <v>24</v>
      </c>
      <c r="G9" s="36"/>
      <c r="H9" s="36"/>
      <c r="I9" s="37"/>
      <c r="J9" s="35" t="s">
        <v>25</v>
      </c>
      <c r="K9" s="36"/>
      <c r="L9" s="36"/>
      <c r="M9" s="37"/>
      <c r="N9" s="35" t="s">
        <v>26</v>
      </c>
      <c r="O9" s="36"/>
      <c r="P9" s="36"/>
      <c r="Q9" s="37"/>
      <c r="R9" s="35" t="s">
        <v>27</v>
      </c>
      <c r="S9" s="36"/>
      <c r="T9" s="36"/>
      <c r="U9" s="37"/>
      <c r="V9" s="35" t="s">
        <v>28</v>
      </c>
      <c r="W9" s="36"/>
      <c r="X9" s="36"/>
      <c r="Y9" s="37"/>
    </row>
    <row r="10" spans="1:27" x14ac:dyDescent="0.25">
      <c r="A10" s="31"/>
      <c r="B10" s="1">
        <v>1</v>
      </c>
      <c r="C10" s="2">
        <v>2</v>
      </c>
      <c r="D10" s="2">
        <v>3</v>
      </c>
      <c r="E10" s="3">
        <v>4</v>
      </c>
      <c r="F10" s="1">
        <v>1</v>
      </c>
      <c r="G10" s="2">
        <v>2</v>
      </c>
      <c r="H10" s="2">
        <v>3</v>
      </c>
      <c r="I10" s="3">
        <v>4</v>
      </c>
      <c r="J10" s="1">
        <v>1</v>
      </c>
      <c r="K10" s="2">
        <v>2</v>
      </c>
      <c r="L10" s="2">
        <v>3</v>
      </c>
      <c r="M10" s="3">
        <v>4</v>
      </c>
      <c r="N10" s="1">
        <v>1</v>
      </c>
      <c r="O10" s="2">
        <v>2</v>
      </c>
      <c r="P10" s="2">
        <v>3</v>
      </c>
      <c r="Q10" s="3">
        <v>4</v>
      </c>
      <c r="R10" s="1">
        <v>1</v>
      </c>
      <c r="S10" s="2">
        <v>2</v>
      </c>
      <c r="T10" s="2">
        <v>3</v>
      </c>
      <c r="U10" s="3">
        <v>4</v>
      </c>
      <c r="V10" s="1">
        <v>1</v>
      </c>
      <c r="W10" s="2">
        <v>2</v>
      </c>
      <c r="X10" s="2">
        <v>3</v>
      </c>
      <c r="Y10" s="3">
        <v>4</v>
      </c>
    </row>
    <row r="11" spans="1:27" x14ac:dyDescent="0.25">
      <c r="A11" s="4" t="s">
        <v>7</v>
      </c>
      <c r="B11" s="5">
        <v>3</v>
      </c>
      <c r="C11" s="6">
        <v>5</v>
      </c>
      <c r="D11" s="6">
        <v>7</v>
      </c>
      <c r="E11" s="7">
        <v>3</v>
      </c>
      <c r="F11" s="5">
        <v>3</v>
      </c>
      <c r="G11" s="6">
        <v>5</v>
      </c>
      <c r="H11" s="6">
        <v>4</v>
      </c>
      <c r="I11" s="7">
        <v>0</v>
      </c>
      <c r="J11" s="5">
        <v>5</v>
      </c>
      <c r="K11" s="6">
        <v>2</v>
      </c>
      <c r="L11" s="6">
        <v>7</v>
      </c>
      <c r="M11" s="7">
        <v>3</v>
      </c>
      <c r="N11" s="5">
        <v>5</v>
      </c>
      <c r="O11" s="6">
        <v>3</v>
      </c>
      <c r="P11" s="6">
        <v>6</v>
      </c>
      <c r="Q11" s="7">
        <v>1</v>
      </c>
      <c r="R11" s="5">
        <v>7</v>
      </c>
      <c r="S11" s="6">
        <v>4</v>
      </c>
      <c r="T11" s="6">
        <v>1</v>
      </c>
      <c r="U11" s="7">
        <v>3</v>
      </c>
      <c r="V11" s="5">
        <v>1</v>
      </c>
      <c r="W11" s="6">
        <v>1</v>
      </c>
      <c r="X11" s="6">
        <v>4</v>
      </c>
      <c r="Y11" s="7">
        <v>2</v>
      </c>
    </row>
    <row r="12" spans="1:27" x14ac:dyDescent="0.25">
      <c r="A12" s="4" t="s">
        <v>8</v>
      </c>
      <c r="B12" s="5">
        <v>0</v>
      </c>
      <c r="C12" s="6">
        <v>2</v>
      </c>
      <c r="D12" s="6">
        <v>0</v>
      </c>
      <c r="E12" s="7">
        <v>1</v>
      </c>
      <c r="F12" s="5">
        <v>3</v>
      </c>
      <c r="G12" s="6">
        <v>1</v>
      </c>
      <c r="H12" s="6">
        <v>1</v>
      </c>
      <c r="I12" s="7">
        <v>3</v>
      </c>
      <c r="J12" s="5">
        <v>1</v>
      </c>
      <c r="K12" s="6">
        <v>2</v>
      </c>
      <c r="L12" s="6">
        <v>0</v>
      </c>
      <c r="M12" s="7">
        <v>2</v>
      </c>
      <c r="N12" s="5">
        <v>6</v>
      </c>
      <c r="O12" s="6">
        <v>0</v>
      </c>
      <c r="P12" s="6">
        <v>1</v>
      </c>
      <c r="Q12" s="7">
        <v>2</v>
      </c>
      <c r="R12" s="5">
        <v>4</v>
      </c>
      <c r="S12" s="6">
        <v>1</v>
      </c>
      <c r="T12" s="6">
        <v>0</v>
      </c>
      <c r="U12" s="7">
        <v>1</v>
      </c>
      <c r="V12" s="5">
        <v>2</v>
      </c>
      <c r="W12" s="6">
        <v>1</v>
      </c>
      <c r="X12" s="6">
        <v>0</v>
      </c>
      <c r="Y12" s="7">
        <v>2</v>
      </c>
    </row>
    <row r="13" spans="1:27" x14ac:dyDescent="0.25">
      <c r="A13" s="4" t="s">
        <v>9</v>
      </c>
      <c r="B13" s="5">
        <f t="shared" ref="B13:Y13" si="0">150-B11</f>
        <v>147</v>
      </c>
      <c r="C13" s="6">
        <f t="shared" si="0"/>
        <v>145</v>
      </c>
      <c r="D13" s="6">
        <f t="shared" si="0"/>
        <v>143</v>
      </c>
      <c r="E13" s="7">
        <f t="shared" si="0"/>
        <v>147</v>
      </c>
      <c r="F13" s="5">
        <f t="shared" si="0"/>
        <v>147</v>
      </c>
      <c r="G13" s="6">
        <f t="shared" si="0"/>
        <v>145</v>
      </c>
      <c r="H13" s="6">
        <f t="shared" si="0"/>
        <v>146</v>
      </c>
      <c r="I13" s="7">
        <f t="shared" si="0"/>
        <v>150</v>
      </c>
      <c r="J13" s="5">
        <f t="shared" si="0"/>
        <v>145</v>
      </c>
      <c r="K13" s="6">
        <f t="shared" si="0"/>
        <v>148</v>
      </c>
      <c r="L13" s="6">
        <f t="shared" si="0"/>
        <v>143</v>
      </c>
      <c r="M13" s="7">
        <f t="shared" si="0"/>
        <v>147</v>
      </c>
      <c r="N13" s="5">
        <f t="shared" si="0"/>
        <v>145</v>
      </c>
      <c r="O13" s="6">
        <f t="shared" si="0"/>
        <v>147</v>
      </c>
      <c r="P13" s="6">
        <f t="shared" si="0"/>
        <v>144</v>
      </c>
      <c r="Q13" s="7">
        <f t="shared" si="0"/>
        <v>149</v>
      </c>
      <c r="R13" s="5">
        <f t="shared" si="0"/>
        <v>143</v>
      </c>
      <c r="S13" s="6">
        <f t="shared" si="0"/>
        <v>146</v>
      </c>
      <c r="T13" s="6">
        <f t="shared" si="0"/>
        <v>149</v>
      </c>
      <c r="U13" s="7">
        <f t="shared" si="0"/>
        <v>147</v>
      </c>
      <c r="V13" s="5">
        <f t="shared" si="0"/>
        <v>149</v>
      </c>
      <c r="W13" s="6">
        <f t="shared" si="0"/>
        <v>149</v>
      </c>
      <c r="X13" s="6">
        <f t="shared" si="0"/>
        <v>146</v>
      </c>
      <c r="Y13" s="7">
        <f t="shared" si="0"/>
        <v>148</v>
      </c>
    </row>
    <row r="14" spans="1:27" x14ac:dyDescent="0.25">
      <c r="A14" s="8" t="s">
        <v>10</v>
      </c>
      <c r="B14" s="5">
        <f t="shared" ref="B14:Y14" si="1">150-B11-B12</f>
        <v>147</v>
      </c>
      <c r="C14" s="6">
        <f t="shared" si="1"/>
        <v>143</v>
      </c>
      <c r="D14" s="6">
        <f t="shared" si="1"/>
        <v>143</v>
      </c>
      <c r="E14" s="7">
        <f t="shared" si="1"/>
        <v>146</v>
      </c>
      <c r="F14" s="5">
        <f t="shared" si="1"/>
        <v>144</v>
      </c>
      <c r="G14" s="6">
        <f t="shared" si="1"/>
        <v>144</v>
      </c>
      <c r="H14" s="6">
        <f t="shared" si="1"/>
        <v>145</v>
      </c>
      <c r="I14" s="7">
        <f t="shared" si="1"/>
        <v>147</v>
      </c>
      <c r="J14" s="5">
        <f t="shared" si="1"/>
        <v>144</v>
      </c>
      <c r="K14" s="6">
        <f t="shared" si="1"/>
        <v>146</v>
      </c>
      <c r="L14" s="6">
        <f t="shared" si="1"/>
        <v>143</v>
      </c>
      <c r="M14" s="7">
        <f t="shared" si="1"/>
        <v>145</v>
      </c>
      <c r="N14" s="5">
        <f t="shared" si="1"/>
        <v>139</v>
      </c>
      <c r="O14" s="6">
        <f t="shared" si="1"/>
        <v>147</v>
      </c>
      <c r="P14" s="6">
        <f t="shared" si="1"/>
        <v>143</v>
      </c>
      <c r="Q14" s="7">
        <f t="shared" si="1"/>
        <v>147</v>
      </c>
      <c r="R14" s="5">
        <f t="shared" si="1"/>
        <v>139</v>
      </c>
      <c r="S14" s="6">
        <f t="shared" si="1"/>
        <v>145</v>
      </c>
      <c r="T14" s="6">
        <f t="shared" si="1"/>
        <v>149</v>
      </c>
      <c r="U14" s="7">
        <f t="shared" si="1"/>
        <v>146</v>
      </c>
      <c r="V14" s="5">
        <f t="shared" si="1"/>
        <v>147</v>
      </c>
      <c r="W14" s="6">
        <f t="shared" si="1"/>
        <v>148</v>
      </c>
      <c r="X14" s="6">
        <f t="shared" si="1"/>
        <v>146</v>
      </c>
      <c r="Y14" s="7">
        <f t="shared" si="1"/>
        <v>146</v>
      </c>
    </row>
    <row r="15" spans="1:27" ht="15.75" thickBot="1" x14ac:dyDescent="0.3">
      <c r="A15" s="4" t="s">
        <v>11</v>
      </c>
      <c r="B15" s="9">
        <f t="shared" ref="B15:Y15" si="2">100/150*B13</f>
        <v>98</v>
      </c>
      <c r="C15" s="10">
        <f t="shared" si="2"/>
        <v>96.666666666666657</v>
      </c>
      <c r="D15" s="10">
        <f t="shared" si="2"/>
        <v>95.333333333333329</v>
      </c>
      <c r="E15" s="11">
        <f t="shared" si="2"/>
        <v>98</v>
      </c>
      <c r="F15" s="9">
        <f t="shared" si="2"/>
        <v>98</v>
      </c>
      <c r="G15" s="10">
        <f t="shared" si="2"/>
        <v>96.666666666666657</v>
      </c>
      <c r="H15" s="10">
        <f t="shared" si="2"/>
        <v>97.333333333333329</v>
      </c>
      <c r="I15" s="11">
        <f t="shared" si="2"/>
        <v>100</v>
      </c>
      <c r="J15" s="9">
        <f t="shared" si="2"/>
        <v>96.666666666666657</v>
      </c>
      <c r="K15" s="10">
        <f t="shared" si="2"/>
        <v>98.666666666666657</v>
      </c>
      <c r="L15" s="10">
        <f t="shared" si="2"/>
        <v>95.333333333333329</v>
      </c>
      <c r="M15" s="11">
        <f t="shared" si="2"/>
        <v>98</v>
      </c>
      <c r="N15" s="9">
        <f t="shared" si="2"/>
        <v>96.666666666666657</v>
      </c>
      <c r="O15" s="10">
        <f t="shared" si="2"/>
        <v>98</v>
      </c>
      <c r="P15" s="10">
        <f t="shared" si="2"/>
        <v>96</v>
      </c>
      <c r="Q15" s="11">
        <f t="shared" si="2"/>
        <v>99.333333333333329</v>
      </c>
      <c r="R15" s="9">
        <f t="shared" si="2"/>
        <v>95.333333333333329</v>
      </c>
      <c r="S15" s="10">
        <f t="shared" si="2"/>
        <v>97.333333333333329</v>
      </c>
      <c r="T15" s="10">
        <f t="shared" si="2"/>
        <v>99.333333333333329</v>
      </c>
      <c r="U15" s="11">
        <f t="shared" si="2"/>
        <v>98</v>
      </c>
      <c r="V15" s="9">
        <f t="shared" si="2"/>
        <v>99.333333333333329</v>
      </c>
      <c r="W15" s="10">
        <f t="shared" si="2"/>
        <v>99.333333333333329</v>
      </c>
      <c r="X15" s="10">
        <f t="shared" si="2"/>
        <v>97.333333333333329</v>
      </c>
      <c r="Y15" s="11">
        <f t="shared" si="2"/>
        <v>98.666666666666657</v>
      </c>
    </row>
    <row r="16" spans="1:27" ht="15.75" thickBot="1" x14ac:dyDescent="0.3">
      <c r="A16" s="4" t="s">
        <v>12</v>
      </c>
      <c r="B16" s="24">
        <f>AVERAGE(B15:E15)</f>
        <v>97</v>
      </c>
      <c r="C16" s="25"/>
      <c r="D16" s="25"/>
      <c r="E16" s="26"/>
      <c r="F16" s="24">
        <f>AVERAGE(F15:I15)</f>
        <v>98</v>
      </c>
      <c r="G16" s="25"/>
      <c r="H16" s="25"/>
      <c r="I16" s="26"/>
      <c r="J16" s="24">
        <f>AVERAGE(J15:M15)</f>
        <v>97.166666666666657</v>
      </c>
      <c r="K16" s="25"/>
      <c r="L16" s="25"/>
      <c r="M16" s="26"/>
      <c r="N16" s="24">
        <f>AVERAGE(N15:Q15)</f>
        <v>97.499999999999986</v>
      </c>
      <c r="O16" s="25"/>
      <c r="P16" s="25"/>
      <c r="Q16" s="26"/>
      <c r="R16" s="24">
        <f>AVERAGE(R15:U15)</f>
        <v>97.5</v>
      </c>
      <c r="S16" s="25"/>
      <c r="T16" s="25"/>
      <c r="U16" s="26"/>
      <c r="V16" s="24">
        <f>AVERAGE(V15:Y15)</f>
        <v>98.666666666666657</v>
      </c>
      <c r="W16" s="25"/>
      <c r="X16" s="25"/>
      <c r="Y16" s="26"/>
      <c r="Z16" s="12">
        <f>AVERAGE(B16:Y16)</f>
        <v>97.638888888888872</v>
      </c>
      <c r="AA16" t="s">
        <v>13</v>
      </c>
    </row>
    <row r="17" spans="1:27" ht="15.75" thickBot="1" x14ac:dyDescent="0.3">
      <c r="A17" s="4" t="s">
        <v>14</v>
      </c>
      <c r="B17" s="24">
        <f>_xlfn.STDEV.P(B15:E15)</f>
        <v>1.1055415967851356</v>
      </c>
      <c r="C17" s="25"/>
      <c r="D17" s="25"/>
      <c r="E17" s="26"/>
      <c r="F17" s="24">
        <f>_xlfn.STDEV.P(F15:I15)</f>
        <v>1.2472191289246501</v>
      </c>
      <c r="G17" s="25"/>
      <c r="H17" s="25"/>
      <c r="I17" s="26"/>
      <c r="J17" s="24">
        <f>_xlfn.STDEV.P(J15:M15)</f>
        <v>1.2801909579781012</v>
      </c>
      <c r="K17" s="25"/>
      <c r="L17" s="25"/>
      <c r="M17" s="26"/>
      <c r="N17" s="24">
        <f>_xlfn.STDEV.P(N15:Q15)</f>
        <v>1.2801909579781012</v>
      </c>
      <c r="O17" s="25"/>
      <c r="P17" s="25"/>
      <c r="Q17" s="26"/>
      <c r="R17" s="24">
        <f>_xlfn.STDEV.P(R15:U15)</f>
        <v>1.443375672974065</v>
      </c>
      <c r="S17" s="25"/>
      <c r="T17" s="25"/>
      <c r="U17" s="26"/>
      <c r="V17" s="24">
        <f>_xlfn.STDEV.P(V15:Y15)</f>
        <v>0.81649658092772603</v>
      </c>
      <c r="W17" s="25"/>
      <c r="X17" s="25"/>
      <c r="Y17" s="26"/>
      <c r="Z17" s="12">
        <f>_xlfn.STDEV.P(B15:Y15)</f>
        <v>1.3330439500779812</v>
      </c>
      <c r="AA17" t="s">
        <v>15</v>
      </c>
    </row>
    <row r="18" spans="1:27" ht="30.75" customHeight="1" thickBot="1" x14ac:dyDescent="0.3">
      <c r="A18" s="13" t="s">
        <v>16</v>
      </c>
      <c r="B18" s="27"/>
      <c r="C18" s="28"/>
      <c r="D18" s="28"/>
      <c r="E18" s="29"/>
      <c r="F18" s="27"/>
      <c r="G18" s="28"/>
      <c r="H18" s="28"/>
      <c r="I18" s="29"/>
      <c r="J18" s="27"/>
      <c r="K18" s="28"/>
      <c r="L18" s="28"/>
      <c r="M18" s="29"/>
      <c r="N18" s="27"/>
      <c r="O18" s="28"/>
      <c r="P18" s="28"/>
      <c r="Q18" s="29"/>
      <c r="R18" s="27"/>
      <c r="S18" s="28"/>
      <c r="T18" s="28"/>
      <c r="U18" s="29"/>
      <c r="V18" s="27"/>
      <c r="W18" s="28"/>
      <c r="X18" s="28"/>
      <c r="Y18" s="29"/>
      <c r="Z18" s="14"/>
    </row>
    <row r="19" spans="1:27" x14ac:dyDescent="0.25">
      <c r="Z19" s="14"/>
    </row>
    <row r="20" spans="1:27" x14ac:dyDescent="0.25">
      <c r="B20" s="15"/>
      <c r="F20" s="15"/>
      <c r="J20" s="15"/>
    </row>
    <row r="21" spans="1:27" x14ac:dyDescent="0.25">
      <c r="A21" t="s">
        <v>17</v>
      </c>
    </row>
    <row r="22" spans="1:27" ht="15.75" thickBot="1" x14ac:dyDescent="0.3">
      <c r="A22" s="19" t="s">
        <v>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</row>
    <row r="23" spans="1:27" x14ac:dyDescent="0.25">
      <c r="A23" s="22" t="s">
        <v>6</v>
      </c>
      <c r="B23" s="35" t="s">
        <v>29</v>
      </c>
      <c r="C23" s="36"/>
      <c r="D23" s="36"/>
      <c r="E23" s="37"/>
      <c r="F23" s="35" t="s">
        <v>30</v>
      </c>
      <c r="G23" s="36"/>
      <c r="H23" s="36"/>
      <c r="I23" s="37"/>
      <c r="J23" s="35" t="s">
        <v>31</v>
      </c>
      <c r="K23" s="36"/>
      <c r="L23" s="36"/>
      <c r="M23" s="37"/>
      <c r="N23" s="35" t="s">
        <v>32</v>
      </c>
      <c r="O23" s="36"/>
      <c r="P23" s="36"/>
      <c r="Q23" s="37"/>
      <c r="R23" s="35" t="s">
        <v>33</v>
      </c>
      <c r="S23" s="36"/>
      <c r="T23" s="36"/>
      <c r="U23" s="37"/>
      <c r="V23" s="35" t="s">
        <v>34</v>
      </c>
      <c r="W23" s="36"/>
      <c r="X23" s="36"/>
      <c r="Y23" s="37"/>
    </row>
    <row r="24" spans="1:27" x14ac:dyDescent="0.25">
      <c r="A24" s="22"/>
      <c r="B24" s="1">
        <v>1</v>
      </c>
      <c r="C24" s="2">
        <v>2</v>
      </c>
      <c r="D24" s="2">
        <v>3</v>
      </c>
      <c r="E24" s="3">
        <v>4</v>
      </c>
      <c r="F24" s="1">
        <v>1</v>
      </c>
      <c r="G24" s="2">
        <v>2</v>
      </c>
      <c r="H24" s="2">
        <v>3</v>
      </c>
      <c r="I24" s="3">
        <v>4</v>
      </c>
      <c r="J24" s="1">
        <v>1</v>
      </c>
      <c r="K24" s="2">
        <v>2</v>
      </c>
      <c r="L24" s="2">
        <v>3</v>
      </c>
      <c r="M24" s="3">
        <v>4</v>
      </c>
      <c r="N24" s="1">
        <v>1</v>
      </c>
      <c r="O24" s="2">
        <v>2</v>
      </c>
      <c r="P24" s="2">
        <v>3</v>
      </c>
      <c r="Q24" s="3">
        <v>4</v>
      </c>
      <c r="R24" s="1">
        <v>1</v>
      </c>
      <c r="S24" s="2">
        <v>2</v>
      </c>
      <c r="T24" s="2">
        <v>3</v>
      </c>
      <c r="U24" s="3">
        <v>4</v>
      </c>
      <c r="V24" s="1">
        <v>1</v>
      </c>
      <c r="W24" s="2">
        <v>2</v>
      </c>
      <c r="X24" s="2">
        <v>3</v>
      </c>
      <c r="Y24" s="3">
        <v>4</v>
      </c>
    </row>
    <row r="25" spans="1:27" x14ac:dyDescent="0.25">
      <c r="A25" s="4" t="s">
        <v>7</v>
      </c>
      <c r="B25" s="5">
        <v>3</v>
      </c>
      <c r="C25" s="6">
        <v>9</v>
      </c>
      <c r="D25" s="6">
        <v>5</v>
      </c>
      <c r="E25" s="7">
        <v>4</v>
      </c>
      <c r="F25" s="5">
        <v>7</v>
      </c>
      <c r="G25" s="6">
        <v>4</v>
      </c>
      <c r="H25" s="6">
        <v>6</v>
      </c>
      <c r="I25" s="7">
        <v>6</v>
      </c>
      <c r="J25" s="5">
        <v>4</v>
      </c>
      <c r="K25" s="6">
        <v>4</v>
      </c>
      <c r="L25" s="6">
        <v>2</v>
      </c>
      <c r="M25" s="7">
        <v>1</v>
      </c>
      <c r="N25" s="5">
        <v>2</v>
      </c>
      <c r="O25" s="6">
        <v>2</v>
      </c>
      <c r="P25" s="6">
        <v>4</v>
      </c>
      <c r="Q25" s="7">
        <v>1</v>
      </c>
      <c r="R25" s="5">
        <v>4</v>
      </c>
      <c r="S25" s="6">
        <v>6</v>
      </c>
      <c r="T25" s="6">
        <v>3</v>
      </c>
      <c r="U25" s="7">
        <v>5</v>
      </c>
      <c r="V25" s="5">
        <v>6</v>
      </c>
      <c r="W25" s="6">
        <v>6</v>
      </c>
      <c r="X25" s="6">
        <v>5</v>
      </c>
      <c r="Y25" s="7">
        <v>1</v>
      </c>
    </row>
    <row r="26" spans="1:27" x14ac:dyDescent="0.25">
      <c r="A26" s="4" t="s">
        <v>8</v>
      </c>
      <c r="B26" s="5">
        <v>1</v>
      </c>
      <c r="C26" s="6">
        <v>2</v>
      </c>
      <c r="D26" s="6">
        <v>1</v>
      </c>
      <c r="E26" s="7">
        <v>3</v>
      </c>
      <c r="F26" s="5">
        <v>2</v>
      </c>
      <c r="G26" s="6">
        <v>1</v>
      </c>
      <c r="H26" s="6">
        <v>2</v>
      </c>
      <c r="I26" s="7">
        <v>1</v>
      </c>
      <c r="J26" s="5">
        <v>0</v>
      </c>
      <c r="K26" s="6">
        <v>0</v>
      </c>
      <c r="L26" s="6">
        <v>2</v>
      </c>
      <c r="M26" s="7">
        <v>2</v>
      </c>
      <c r="N26" s="5">
        <v>2</v>
      </c>
      <c r="O26" s="6">
        <v>1</v>
      </c>
      <c r="P26" s="6">
        <v>3</v>
      </c>
      <c r="Q26" s="7">
        <v>1</v>
      </c>
      <c r="R26" s="5">
        <v>2</v>
      </c>
      <c r="S26" s="6">
        <v>3</v>
      </c>
      <c r="T26" s="6">
        <v>1</v>
      </c>
      <c r="U26" s="7">
        <v>3</v>
      </c>
      <c r="V26" s="5">
        <v>1</v>
      </c>
      <c r="W26" s="6">
        <v>1</v>
      </c>
      <c r="X26" s="6">
        <v>3</v>
      </c>
      <c r="Y26" s="7">
        <v>1</v>
      </c>
    </row>
    <row r="27" spans="1:27" x14ac:dyDescent="0.25">
      <c r="A27" s="4" t="s">
        <v>9</v>
      </c>
      <c r="B27" s="5">
        <f t="shared" ref="B27:Y27" si="3">150-B25</f>
        <v>147</v>
      </c>
      <c r="C27" s="6">
        <f t="shared" si="3"/>
        <v>141</v>
      </c>
      <c r="D27" s="6">
        <f t="shared" si="3"/>
        <v>145</v>
      </c>
      <c r="E27" s="7">
        <f t="shared" si="3"/>
        <v>146</v>
      </c>
      <c r="F27" s="5">
        <f t="shared" si="3"/>
        <v>143</v>
      </c>
      <c r="G27" s="6">
        <f t="shared" si="3"/>
        <v>146</v>
      </c>
      <c r="H27" s="6">
        <f t="shared" si="3"/>
        <v>144</v>
      </c>
      <c r="I27" s="7">
        <f t="shared" si="3"/>
        <v>144</v>
      </c>
      <c r="J27" s="5">
        <f t="shared" si="3"/>
        <v>146</v>
      </c>
      <c r="K27" s="6">
        <f t="shared" si="3"/>
        <v>146</v>
      </c>
      <c r="L27" s="6">
        <f t="shared" si="3"/>
        <v>148</v>
      </c>
      <c r="M27" s="7">
        <f t="shared" si="3"/>
        <v>149</v>
      </c>
      <c r="N27" s="5">
        <f t="shared" si="3"/>
        <v>148</v>
      </c>
      <c r="O27" s="6">
        <f t="shared" si="3"/>
        <v>148</v>
      </c>
      <c r="P27" s="6">
        <f t="shared" si="3"/>
        <v>146</v>
      </c>
      <c r="Q27" s="7">
        <f t="shared" si="3"/>
        <v>149</v>
      </c>
      <c r="R27" s="5">
        <f t="shared" si="3"/>
        <v>146</v>
      </c>
      <c r="S27" s="6">
        <f t="shared" si="3"/>
        <v>144</v>
      </c>
      <c r="T27" s="6">
        <f t="shared" si="3"/>
        <v>147</v>
      </c>
      <c r="U27" s="7">
        <f t="shared" si="3"/>
        <v>145</v>
      </c>
      <c r="V27" s="5">
        <f t="shared" si="3"/>
        <v>144</v>
      </c>
      <c r="W27" s="6">
        <f t="shared" si="3"/>
        <v>144</v>
      </c>
      <c r="X27" s="6">
        <f t="shared" si="3"/>
        <v>145</v>
      </c>
      <c r="Y27" s="7">
        <f t="shared" si="3"/>
        <v>149</v>
      </c>
    </row>
    <row r="28" spans="1:27" x14ac:dyDescent="0.25">
      <c r="A28" s="4" t="s">
        <v>10</v>
      </c>
      <c r="B28" s="5">
        <f t="shared" ref="B28:Y28" si="4">150-B25-B26</f>
        <v>146</v>
      </c>
      <c r="C28" s="6">
        <f t="shared" si="4"/>
        <v>139</v>
      </c>
      <c r="D28" s="6">
        <f t="shared" si="4"/>
        <v>144</v>
      </c>
      <c r="E28" s="7">
        <f t="shared" si="4"/>
        <v>143</v>
      </c>
      <c r="F28" s="5">
        <f t="shared" si="4"/>
        <v>141</v>
      </c>
      <c r="G28" s="6">
        <f t="shared" si="4"/>
        <v>145</v>
      </c>
      <c r="H28" s="6">
        <f t="shared" si="4"/>
        <v>142</v>
      </c>
      <c r="I28" s="7">
        <f t="shared" si="4"/>
        <v>143</v>
      </c>
      <c r="J28" s="5">
        <f t="shared" si="4"/>
        <v>146</v>
      </c>
      <c r="K28" s="6">
        <f t="shared" si="4"/>
        <v>146</v>
      </c>
      <c r="L28" s="6">
        <f t="shared" si="4"/>
        <v>146</v>
      </c>
      <c r="M28" s="7">
        <f t="shared" si="4"/>
        <v>147</v>
      </c>
      <c r="N28" s="5">
        <f t="shared" si="4"/>
        <v>146</v>
      </c>
      <c r="O28" s="6">
        <f t="shared" si="4"/>
        <v>147</v>
      </c>
      <c r="P28" s="6">
        <f t="shared" si="4"/>
        <v>143</v>
      </c>
      <c r="Q28" s="7">
        <f t="shared" si="4"/>
        <v>148</v>
      </c>
      <c r="R28" s="5">
        <f t="shared" si="4"/>
        <v>144</v>
      </c>
      <c r="S28" s="6">
        <f t="shared" si="4"/>
        <v>141</v>
      </c>
      <c r="T28" s="6">
        <f t="shared" si="4"/>
        <v>146</v>
      </c>
      <c r="U28" s="7">
        <f t="shared" si="4"/>
        <v>142</v>
      </c>
      <c r="V28" s="5">
        <f t="shared" si="4"/>
        <v>143</v>
      </c>
      <c r="W28" s="6">
        <f t="shared" si="4"/>
        <v>143</v>
      </c>
      <c r="X28" s="6">
        <f t="shared" si="4"/>
        <v>142</v>
      </c>
      <c r="Y28" s="7">
        <f t="shared" si="4"/>
        <v>148</v>
      </c>
    </row>
    <row r="29" spans="1:27" ht="15.75" thickBot="1" x14ac:dyDescent="0.3">
      <c r="A29" s="4" t="s">
        <v>11</v>
      </c>
      <c r="B29" s="5">
        <f t="shared" ref="B29:Y29" si="5">100/150*B27</f>
        <v>98</v>
      </c>
      <c r="C29" s="6">
        <f t="shared" si="5"/>
        <v>94</v>
      </c>
      <c r="D29" s="6">
        <f t="shared" si="5"/>
        <v>96.666666666666657</v>
      </c>
      <c r="E29" s="7">
        <f t="shared" si="5"/>
        <v>97.333333333333329</v>
      </c>
      <c r="F29" s="5">
        <f t="shared" si="5"/>
        <v>95.333333333333329</v>
      </c>
      <c r="G29" s="6">
        <f t="shared" si="5"/>
        <v>97.333333333333329</v>
      </c>
      <c r="H29" s="6">
        <f t="shared" si="5"/>
        <v>96</v>
      </c>
      <c r="I29" s="7">
        <f t="shared" si="5"/>
        <v>96</v>
      </c>
      <c r="J29" s="5">
        <f t="shared" si="5"/>
        <v>97.333333333333329</v>
      </c>
      <c r="K29" s="6">
        <f t="shared" si="5"/>
        <v>97.333333333333329</v>
      </c>
      <c r="L29" s="6">
        <f t="shared" si="5"/>
        <v>98.666666666666657</v>
      </c>
      <c r="M29" s="7">
        <f t="shared" si="5"/>
        <v>99.333333333333329</v>
      </c>
      <c r="N29" s="5">
        <f t="shared" si="5"/>
        <v>98.666666666666657</v>
      </c>
      <c r="O29" s="6">
        <f t="shared" si="5"/>
        <v>98.666666666666657</v>
      </c>
      <c r="P29" s="6">
        <f t="shared" si="5"/>
        <v>97.333333333333329</v>
      </c>
      <c r="Q29" s="7">
        <f t="shared" si="5"/>
        <v>99.333333333333329</v>
      </c>
      <c r="R29" s="5">
        <f t="shared" si="5"/>
        <v>97.333333333333329</v>
      </c>
      <c r="S29" s="6">
        <f t="shared" si="5"/>
        <v>96</v>
      </c>
      <c r="T29" s="6">
        <f t="shared" si="5"/>
        <v>98</v>
      </c>
      <c r="U29" s="7">
        <f t="shared" si="5"/>
        <v>96.666666666666657</v>
      </c>
      <c r="V29" s="5">
        <f t="shared" si="5"/>
        <v>96</v>
      </c>
      <c r="W29" s="6">
        <f t="shared" si="5"/>
        <v>96</v>
      </c>
      <c r="X29" s="6">
        <f t="shared" si="5"/>
        <v>96.666666666666657</v>
      </c>
      <c r="Y29" s="7">
        <f t="shared" si="5"/>
        <v>99.333333333333329</v>
      </c>
    </row>
    <row r="30" spans="1:27" ht="15.75" thickBot="1" x14ac:dyDescent="0.3">
      <c r="A30" s="4" t="s">
        <v>12</v>
      </c>
      <c r="B30" s="24">
        <f>100-(100/(150*4)*SUM(B25:E25))</f>
        <v>96.5</v>
      </c>
      <c r="C30" s="25"/>
      <c r="D30" s="25"/>
      <c r="E30" s="26"/>
      <c r="F30" s="24">
        <f>100-(100/(150*4)*SUM(F25:I25))</f>
        <v>96.166666666666671</v>
      </c>
      <c r="G30" s="25"/>
      <c r="H30" s="25"/>
      <c r="I30" s="26"/>
      <c r="J30" s="24">
        <f>100-(100/(150*4)*SUM(J25:M25))</f>
        <v>98.166666666666671</v>
      </c>
      <c r="K30" s="25"/>
      <c r="L30" s="25"/>
      <c r="M30" s="26"/>
      <c r="N30" s="24">
        <f>100-(100/(150*4)*SUM(N25:Q25))</f>
        <v>98.5</v>
      </c>
      <c r="O30" s="25"/>
      <c r="P30" s="25"/>
      <c r="Q30" s="26"/>
      <c r="R30" s="24">
        <f>100-(100/(150*4)*SUM(R25:U25))</f>
        <v>97</v>
      </c>
      <c r="S30" s="25"/>
      <c r="T30" s="25"/>
      <c r="U30" s="26"/>
      <c r="V30" s="24">
        <f>100-(100/(150*4)*SUM(V25:Y25))</f>
        <v>97</v>
      </c>
      <c r="W30" s="25"/>
      <c r="X30" s="25"/>
      <c r="Y30" s="26"/>
      <c r="Z30" s="12">
        <f>AVERAGE(B30:Y30)</f>
        <v>97.222222222222229</v>
      </c>
      <c r="AA30" t="s">
        <v>13</v>
      </c>
    </row>
    <row r="31" spans="1:27" ht="15.75" thickBot="1" x14ac:dyDescent="0.3">
      <c r="A31" s="4" t="s">
        <v>14</v>
      </c>
      <c r="B31" s="24">
        <f>_xlfn.STDEV.P(B29:E29)</f>
        <v>1.5184055965240488</v>
      </c>
      <c r="C31" s="25"/>
      <c r="D31" s="25"/>
      <c r="E31" s="26"/>
      <c r="F31" s="24">
        <f>_xlfn.STDEV.P(F29:I29)</f>
        <v>0.72648315725677837</v>
      </c>
      <c r="G31" s="25"/>
      <c r="H31" s="25"/>
      <c r="I31" s="26"/>
      <c r="J31" s="24">
        <f>_xlfn.STDEV.P(J29:M29)</f>
        <v>0.86602540378443804</v>
      </c>
      <c r="K31" s="25"/>
      <c r="L31" s="25"/>
      <c r="M31" s="26"/>
      <c r="N31" s="24">
        <f>_xlfn.STDEV.P(N29:Q29)</f>
        <v>0.72648315725677837</v>
      </c>
      <c r="O31" s="25"/>
      <c r="P31" s="25"/>
      <c r="Q31" s="26"/>
      <c r="R31" s="24">
        <f>_xlfn.STDEV.P(R29:U29)</f>
        <v>0.74535599249993045</v>
      </c>
      <c r="S31" s="25"/>
      <c r="T31" s="25"/>
      <c r="U31" s="26"/>
      <c r="V31" s="24">
        <f>_xlfn.STDEV.P(V29:Y29)</f>
        <v>1.3743685418725522</v>
      </c>
      <c r="W31" s="25"/>
      <c r="X31" s="25"/>
      <c r="Y31" s="26"/>
      <c r="Z31" s="12">
        <f>_xlfn.STDEV.P(B29:Y29)</f>
        <v>1.3425606637327288</v>
      </c>
      <c r="AA31" t="s">
        <v>15</v>
      </c>
    </row>
    <row r="32" spans="1:27" ht="30.75" customHeight="1" thickBot="1" x14ac:dyDescent="0.3">
      <c r="A32" s="13" t="s">
        <v>16</v>
      </c>
      <c r="B32" s="27"/>
      <c r="C32" s="28"/>
      <c r="D32" s="28"/>
      <c r="E32" s="29"/>
      <c r="F32" s="27"/>
      <c r="G32" s="28"/>
      <c r="H32" s="28"/>
      <c r="I32" s="29"/>
      <c r="J32" s="27"/>
      <c r="K32" s="28"/>
      <c r="L32" s="28"/>
      <c r="M32" s="29"/>
      <c r="N32" s="27"/>
      <c r="O32" s="28"/>
      <c r="P32" s="28"/>
      <c r="Q32" s="29"/>
      <c r="R32" s="27"/>
      <c r="S32" s="28"/>
      <c r="T32" s="28"/>
      <c r="U32" s="29"/>
      <c r="V32" s="27"/>
      <c r="W32" s="28"/>
      <c r="X32" s="28"/>
      <c r="Y32" s="29"/>
    </row>
    <row r="34" spans="1:2" ht="15.75" thickBot="1" x14ac:dyDescent="0.3">
      <c r="A34" t="s">
        <v>18</v>
      </c>
    </row>
    <row r="35" spans="1:2" ht="15.75" thickBot="1" x14ac:dyDescent="0.3">
      <c r="A35" s="16">
        <f>AVERAGE(B16:Y16,B30:Y30)</f>
        <v>97.430555555555543</v>
      </c>
      <c r="B35" s="17" t="s">
        <v>19</v>
      </c>
    </row>
    <row r="37" spans="1:2" x14ac:dyDescent="0.25">
      <c r="A37" s="14"/>
    </row>
  </sheetData>
  <mergeCells count="50">
    <mergeCell ref="N23:Q23"/>
    <mergeCell ref="V32:Y32"/>
    <mergeCell ref="B31:E31"/>
    <mergeCell ref="F31:I31"/>
    <mergeCell ref="J31:M31"/>
    <mergeCell ref="N31:Q31"/>
    <mergeCell ref="R31:U31"/>
    <mergeCell ref="V31:Y31"/>
    <mergeCell ref="B32:E32"/>
    <mergeCell ref="F32:I32"/>
    <mergeCell ref="J32:M32"/>
    <mergeCell ref="N32:Q32"/>
    <mergeCell ref="R32:U32"/>
    <mergeCell ref="B17:E17"/>
    <mergeCell ref="V30:Y30"/>
    <mergeCell ref="V18:Y18"/>
    <mergeCell ref="B30:E30"/>
    <mergeCell ref="F30:I30"/>
    <mergeCell ref="J30:M30"/>
    <mergeCell ref="N30:Q30"/>
    <mergeCell ref="R30:U30"/>
    <mergeCell ref="V23:Y23"/>
    <mergeCell ref="J18:M18"/>
    <mergeCell ref="N18:Q18"/>
    <mergeCell ref="R18:U18"/>
    <mergeCell ref="R23:U23"/>
    <mergeCell ref="B23:E23"/>
    <mergeCell ref="F23:I23"/>
    <mergeCell ref="J23:M23"/>
    <mergeCell ref="F16:I16"/>
    <mergeCell ref="J16:M16"/>
    <mergeCell ref="N16:Q16"/>
    <mergeCell ref="R16:U16"/>
    <mergeCell ref="V16:Y16"/>
    <mergeCell ref="B18:E18"/>
    <mergeCell ref="F18:I18"/>
    <mergeCell ref="A8:Y8"/>
    <mergeCell ref="A9:A10"/>
    <mergeCell ref="B9:E9"/>
    <mergeCell ref="F9:I9"/>
    <mergeCell ref="J9:M9"/>
    <mergeCell ref="N9:Q9"/>
    <mergeCell ref="R9:U9"/>
    <mergeCell ref="V9:Y9"/>
    <mergeCell ref="F17:I17"/>
    <mergeCell ref="J17:M17"/>
    <mergeCell ref="N17:Q17"/>
    <mergeCell ref="R17:U17"/>
    <mergeCell ref="V17:Y17"/>
    <mergeCell ref="B16:E1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Infos</vt:lpstr>
      <vt:lpstr>1.DL</vt:lpstr>
      <vt:lpstr>2.DL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Otting</dc:creator>
  <cp:lastModifiedBy>Jonas Otting</cp:lastModifiedBy>
  <dcterms:created xsi:type="dcterms:W3CDTF">2022-06-21T20:17:52Z</dcterms:created>
  <dcterms:modified xsi:type="dcterms:W3CDTF">2022-07-07T21:41:47Z</dcterms:modified>
</cp:coreProperties>
</file>