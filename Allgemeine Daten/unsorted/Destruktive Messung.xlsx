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OneDrive\Hochschule Osnabrück\6.Semester\"/>
    </mc:Choice>
  </mc:AlternateContent>
  <xr:revisionPtr revIDLastSave="0" documentId="13_ncr:1_{E5E83997-8471-4CE1-853E-91B472DDAF70}" xr6:coauthVersionLast="47" xr6:coauthVersionMax="47" xr10:uidLastSave="{00000000-0000-0000-0000-000000000000}"/>
  <bookViews>
    <workbookView xWindow="-120" yWindow="-120" windowWidth="24240" windowHeight="13140" xr2:uid="{9362D80D-A164-4DD5-94AB-9B3DC3DCC542}"/>
  </bookViews>
  <sheets>
    <sheet name="Infos" sheetId="6" r:id="rId1"/>
    <sheet name="1.DL" sheetId="3" r:id="rId2"/>
    <sheet name="1.DL - Abb" sheetId="4" r:id="rId3"/>
    <sheet name="2.DL" sheetId="2" r:id="rId4"/>
    <sheet name="2.DL - Ab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49" i="2" l="1"/>
  <c r="AE45" i="2"/>
  <c r="AE41" i="2"/>
  <c r="AE37" i="2"/>
  <c r="AE33" i="2"/>
  <c r="AE29" i="2"/>
  <c r="AE25" i="2"/>
  <c r="AE21" i="2"/>
  <c r="AE17" i="2"/>
  <c r="AE9" i="2"/>
  <c r="AE5" i="2"/>
  <c r="AE9" i="3"/>
  <c r="AE13" i="3"/>
  <c r="AE17" i="3"/>
  <c r="AE21" i="3"/>
  <c r="AE25" i="3"/>
  <c r="AE29" i="3"/>
  <c r="AE33" i="3"/>
  <c r="AE37" i="3"/>
  <c r="AE41" i="3"/>
  <c r="AE45" i="3"/>
  <c r="AE49" i="3"/>
  <c r="U9" i="3"/>
  <c r="U13" i="3"/>
  <c r="U17" i="3"/>
  <c r="U21" i="3"/>
  <c r="U25" i="3"/>
  <c r="U29" i="3"/>
  <c r="U33" i="3"/>
  <c r="U37" i="3"/>
  <c r="U41" i="3"/>
  <c r="U45" i="3"/>
  <c r="U49" i="3"/>
  <c r="AE5" i="3"/>
  <c r="U5" i="3"/>
  <c r="K9" i="3"/>
  <c r="K13" i="3"/>
  <c r="K17" i="3"/>
  <c r="K21" i="3"/>
  <c r="K25" i="3"/>
  <c r="K29" i="3"/>
  <c r="K33" i="3"/>
  <c r="K37" i="3"/>
  <c r="K41" i="3"/>
  <c r="K45" i="3"/>
  <c r="K49" i="3"/>
  <c r="K5" i="3"/>
  <c r="F5" i="3" l="1"/>
  <c r="H5" i="3"/>
  <c r="P5" i="3"/>
  <c r="R5" i="3"/>
  <c r="T5" i="3" s="1"/>
  <c r="Z5" i="3"/>
  <c r="AB5" i="3"/>
  <c r="F6" i="3"/>
  <c r="H6" i="3"/>
  <c r="P6" i="3"/>
  <c r="R6" i="3"/>
  <c r="Z6" i="3"/>
  <c r="AB6" i="3"/>
  <c r="F7" i="3"/>
  <c r="H7" i="3"/>
  <c r="P7" i="3"/>
  <c r="R7" i="3"/>
  <c r="Z7" i="3"/>
  <c r="AB7" i="3"/>
  <c r="F8" i="3"/>
  <c r="H8" i="3"/>
  <c r="P8" i="3"/>
  <c r="R8" i="3"/>
  <c r="Z8" i="3"/>
  <c r="AB8" i="3"/>
  <c r="F9" i="3"/>
  <c r="H9" i="3"/>
  <c r="P9" i="3"/>
  <c r="R9" i="3"/>
  <c r="Z9" i="3"/>
  <c r="AB9" i="3"/>
  <c r="F10" i="3"/>
  <c r="H10" i="3"/>
  <c r="P10" i="3"/>
  <c r="R10" i="3"/>
  <c r="Z10" i="3"/>
  <c r="AB10" i="3"/>
  <c r="F11" i="3"/>
  <c r="H11" i="3"/>
  <c r="P11" i="3"/>
  <c r="R11" i="3"/>
  <c r="Z11" i="3"/>
  <c r="AB11" i="3"/>
  <c r="F12" i="3"/>
  <c r="H12" i="3"/>
  <c r="P12" i="3"/>
  <c r="R12" i="3"/>
  <c r="Z12" i="3"/>
  <c r="AB12" i="3"/>
  <c r="F13" i="3"/>
  <c r="H13" i="3"/>
  <c r="P13" i="3"/>
  <c r="R13" i="3"/>
  <c r="Z13" i="3"/>
  <c r="AB13" i="3"/>
  <c r="F14" i="3"/>
  <c r="H14" i="3"/>
  <c r="P14" i="3"/>
  <c r="R14" i="3"/>
  <c r="Z14" i="3"/>
  <c r="AB14" i="3"/>
  <c r="F15" i="3"/>
  <c r="H15" i="3"/>
  <c r="P15" i="3"/>
  <c r="R15" i="3"/>
  <c r="Z15" i="3"/>
  <c r="AB15" i="3"/>
  <c r="F16" i="3"/>
  <c r="H16" i="3"/>
  <c r="N16" i="3"/>
  <c r="O16" i="3"/>
  <c r="R16" i="3" s="1"/>
  <c r="P16" i="3"/>
  <c r="Z16" i="3"/>
  <c r="AB16" i="3"/>
  <c r="F17" i="3"/>
  <c r="H17" i="3"/>
  <c r="P17" i="3"/>
  <c r="R17" i="3"/>
  <c r="Z17" i="3"/>
  <c r="AB17" i="3"/>
  <c r="F18" i="3"/>
  <c r="H18" i="3"/>
  <c r="P18" i="3"/>
  <c r="R18" i="3"/>
  <c r="Z18" i="3"/>
  <c r="AB18" i="3"/>
  <c r="F19" i="3"/>
  <c r="H19" i="3"/>
  <c r="P19" i="3"/>
  <c r="R19" i="3"/>
  <c r="Z19" i="3"/>
  <c r="AB19" i="3"/>
  <c r="F20" i="3"/>
  <c r="H20" i="3"/>
  <c r="P20" i="3"/>
  <c r="R20" i="3"/>
  <c r="Z20" i="3"/>
  <c r="AB20" i="3"/>
  <c r="F21" i="3"/>
  <c r="H21" i="3"/>
  <c r="P21" i="3"/>
  <c r="R21" i="3"/>
  <c r="Z21" i="3"/>
  <c r="AB21" i="3"/>
  <c r="F22" i="3"/>
  <c r="H22" i="3"/>
  <c r="P22" i="3"/>
  <c r="R22" i="3"/>
  <c r="Z22" i="3"/>
  <c r="AB22" i="3"/>
  <c r="F23" i="3"/>
  <c r="H23" i="3"/>
  <c r="P23" i="3"/>
  <c r="R23" i="3"/>
  <c r="Z23" i="3"/>
  <c r="AB23" i="3"/>
  <c r="F24" i="3"/>
  <c r="H24" i="3"/>
  <c r="P24" i="3"/>
  <c r="R24" i="3"/>
  <c r="Z24" i="3"/>
  <c r="AB24" i="3"/>
  <c r="F25" i="3"/>
  <c r="H25" i="3"/>
  <c r="P25" i="3"/>
  <c r="R25" i="3"/>
  <c r="Z25" i="3"/>
  <c r="AB25" i="3"/>
  <c r="F26" i="3"/>
  <c r="H26" i="3"/>
  <c r="P26" i="3"/>
  <c r="R26" i="3"/>
  <c r="Z26" i="3"/>
  <c r="AB26" i="3"/>
  <c r="F27" i="3"/>
  <c r="H27" i="3"/>
  <c r="P27" i="3"/>
  <c r="R27" i="3"/>
  <c r="Z27" i="3"/>
  <c r="AB27" i="3"/>
  <c r="F28" i="3"/>
  <c r="H28" i="3"/>
  <c r="P28" i="3"/>
  <c r="R28" i="3"/>
  <c r="Z28" i="3"/>
  <c r="AB28" i="3"/>
  <c r="F29" i="3"/>
  <c r="H29" i="3"/>
  <c r="P29" i="3"/>
  <c r="R29" i="3"/>
  <c r="Z29" i="3"/>
  <c r="AB29" i="3"/>
  <c r="F30" i="3"/>
  <c r="H30" i="3"/>
  <c r="P30" i="3"/>
  <c r="R30" i="3"/>
  <c r="Z30" i="3"/>
  <c r="AB30" i="3"/>
  <c r="F31" i="3"/>
  <c r="H31" i="3"/>
  <c r="P31" i="3"/>
  <c r="R31" i="3"/>
  <c r="Z31" i="3"/>
  <c r="AB31" i="3"/>
  <c r="F32" i="3"/>
  <c r="H32" i="3"/>
  <c r="P32" i="3"/>
  <c r="R32" i="3"/>
  <c r="Z32" i="3"/>
  <c r="AB32" i="3"/>
  <c r="F33" i="3"/>
  <c r="H33" i="3"/>
  <c r="P33" i="3"/>
  <c r="R33" i="3"/>
  <c r="Z33" i="3"/>
  <c r="AB33" i="3"/>
  <c r="F34" i="3"/>
  <c r="H34" i="3"/>
  <c r="P34" i="3"/>
  <c r="R34" i="3"/>
  <c r="Z34" i="3"/>
  <c r="AB34" i="3"/>
  <c r="F35" i="3"/>
  <c r="H35" i="3"/>
  <c r="P35" i="3"/>
  <c r="R35" i="3"/>
  <c r="Z35" i="3"/>
  <c r="AB35" i="3"/>
  <c r="F36" i="3"/>
  <c r="H36" i="3"/>
  <c r="P36" i="3"/>
  <c r="R36" i="3"/>
  <c r="Z36" i="3"/>
  <c r="AB36" i="3"/>
  <c r="F37" i="3"/>
  <c r="H37" i="3"/>
  <c r="P37" i="3"/>
  <c r="R37" i="3"/>
  <c r="Z37" i="3"/>
  <c r="AB37" i="3"/>
  <c r="F38" i="3"/>
  <c r="H38" i="3"/>
  <c r="P38" i="3"/>
  <c r="R38" i="3"/>
  <c r="Z38" i="3"/>
  <c r="AB38" i="3"/>
  <c r="F39" i="3"/>
  <c r="H39" i="3"/>
  <c r="P39" i="3"/>
  <c r="R39" i="3"/>
  <c r="Z39" i="3"/>
  <c r="AB39" i="3"/>
  <c r="F40" i="3"/>
  <c r="H40" i="3"/>
  <c r="P40" i="3"/>
  <c r="R40" i="3"/>
  <c r="Z40" i="3"/>
  <c r="AB40" i="3"/>
  <c r="F41" i="3"/>
  <c r="H41" i="3"/>
  <c r="P41" i="3"/>
  <c r="R41" i="3"/>
  <c r="Z41" i="3"/>
  <c r="AB41" i="3"/>
  <c r="F42" i="3"/>
  <c r="H42" i="3"/>
  <c r="P42" i="3"/>
  <c r="R42" i="3"/>
  <c r="Z42" i="3"/>
  <c r="AB42" i="3"/>
  <c r="F43" i="3"/>
  <c r="H43" i="3"/>
  <c r="P43" i="3"/>
  <c r="R43" i="3"/>
  <c r="Z43" i="3"/>
  <c r="AB43" i="3"/>
  <c r="F44" i="3"/>
  <c r="H44" i="3"/>
  <c r="P44" i="3"/>
  <c r="R44" i="3"/>
  <c r="Z44" i="3"/>
  <c r="AB44" i="3"/>
  <c r="F45" i="3"/>
  <c r="H45" i="3"/>
  <c r="P45" i="3"/>
  <c r="R45" i="3"/>
  <c r="Z45" i="3"/>
  <c r="AB45" i="3"/>
  <c r="F46" i="3"/>
  <c r="H46" i="3"/>
  <c r="P46" i="3"/>
  <c r="R46" i="3"/>
  <c r="Z46" i="3"/>
  <c r="AB46" i="3"/>
  <c r="F47" i="3"/>
  <c r="H47" i="3"/>
  <c r="P47" i="3"/>
  <c r="R47" i="3"/>
  <c r="Z47" i="3"/>
  <c r="AB47" i="3"/>
  <c r="F48" i="3"/>
  <c r="H48" i="3"/>
  <c r="P48" i="3"/>
  <c r="R48" i="3"/>
  <c r="Z48" i="3"/>
  <c r="AB48" i="3"/>
  <c r="F49" i="3"/>
  <c r="H49" i="3"/>
  <c r="P49" i="3"/>
  <c r="R49" i="3"/>
  <c r="Z49" i="3"/>
  <c r="AB49" i="3"/>
  <c r="F50" i="3"/>
  <c r="H50" i="3"/>
  <c r="P50" i="3"/>
  <c r="R50" i="3"/>
  <c r="Z50" i="3"/>
  <c r="AB50" i="3"/>
  <c r="F51" i="3"/>
  <c r="H51" i="3"/>
  <c r="P51" i="3"/>
  <c r="R51" i="3"/>
  <c r="Z51" i="3"/>
  <c r="AB51" i="3"/>
  <c r="F52" i="3"/>
  <c r="H52" i="3"/>
  <c r="P52" i="3"/>
  <c r="R52" i="3"/>
  <c r="Z52" i="3"/>
  <c r="AB52" i="3"/>
  <c r="F5" i="2"/>
  <c r="H5" i="2"/>
  <c r="P5" i="2"/>
  <c r="R5" i="2"/>
  <c r="Z5" i="2"/>
  <c r="AB5" i="2"/>
  <c r="F6" i="2"/>
  <c r="H6" i="2"/>
  <c r="P6" i="2"/>
  <c r="R6" i="2"/>
  <c r="Z6" i="2"/>
  <c r="AB6" i="2"/>
  <c r="F7" i="2"/>
  <c r="H7" i="2"/>
  <c r="P7" i="2"/>
  <c r="R7" i="2"/>
  <c r="Z7" i="2"/>
  <c r="AB7" i="2"/>
  <c r="F8" i="2"/>
  <c r="H8" i="2"/>
  <c r="P8" i="2"/>
  <c r="R8" i="2"/>
  <c r="Z8" i="2"/>
  <c r="AB8" i="2"/>
  <c r="F9" i="2"/>
  <c r="H9" i="2"/>
  <c r="P9" i="2"/>
  <c r="R9" i="2"/>
  <c r="Z9" i="2"/>
  <c r="AB9" i="2"/>
  <c r="F10" i="2"/>
  <c r="H10" i="2"/>
  <c r="P10" i="2"/>
  <c r="R10" i="2"/>
  <c r="Z10" i="2"/>
  <c r="AB10" i="2"/>
  <c r="F11" i="2"/>
  <c r="H11" i="2"/>
  <c r="P11" i="2"/>
  <c r="R11" i="2"/>
  <c r="Z11" i="2"/>
  <c r="AB11" i="2"/>
  <c r="F12" i="2"/>
  <c r="H12" i="2"/>
  <c r="P12" i="2"/>
  <c r="R12" i="2"/>
  <c r="Z12" i="2"/>
  <c r="AB12" i="2"/>
  <c r="F13" i="2"/>
  <c r="H13" i="2"/>
  <c r="P13" i="2"/>
  <c r="R13" i="2"/>
  <c r="Z13" i="2"/>
  <c r="AB13" i="2"/>
  <c r="F14" i="2"/>
  <c r="H14" i="2"/>
  <c r="P14" i="2"/>
  <c r="R14" i="2"/>
  <c r="Z14" i="2"/>
  <c r="AB14" i="2"/>
  <c r="F15" i="2"/>
  <c r="H15" i="2"/>
  <c r="P15" i="2"/>
  <c r="R15" i="2"/>
  <c r="Z15" i="2"/>
  <c r="AB15" i="2"/>
  <c r="D16" i="2"/>
  <c r="F16" i="2" s="1"/>
  <c r="H16" i="2"/>
  <c r="P16" i="2"/>
  <c r="R16" i="2"/>
  <c r="Z16" i="2"/>
  <c r="AB16" i="2"/>
  <c r="F17" i="2"/>
  <c r="H17" i="2"/>
  <c r="P17" i="2"/>
  <c r="R17" i="2"/>
  <c r="Z17" i="2"/>
  <c r="AB17" i="2"/>
  <c r="F18" i="2"/>
  <c r="H18" i="2"/>
  <c r="P18" i="2"/>
  <c r="R18" i="2"/>
  <c r="Z18" i="2"/>
  <c r="AB18" i="2"/>
  <c r="F19" i="2"/>
  <c r="H19" i="2"/>
  <c r="P19" i="2"/>
  <c r="R19" i="2"/>
  <c r="Z19" i="2"/>
  <c r="AB19" i="2"/>
  <c r="F20" i="2"/>
  <c r="H20" i="2"/>
  <c r="P20" i="2"/>
  <c r="R20" i="2"/>
  <c r="Z20" i="2"/>
  <c r="AB20" i="2"/>
  <c r="F21" i="2"/>
  <c r="H21" i="2"/>
  <c r="P21" i="2"/>
  <c r="R21" i="2"/>
  <c r="Z21" i="2"/>
  <c r="AB21" i="2"/>
  <c r="F22" i="2"/>
  <c r="H22" i="2"/>
  <c r="P22" i="2"/>
  <c r="R22" i="2"/>
  <c r="Z22" i="2"/>
  <c r="AB22" i="2"/>
  <c r="F23" i="2"/>
  <c r="H23" i="2"/>
  <c r="P23" i="2"/>
  <c r="R23" i="2"/>
  <c r="Z23" i="2"/>
  <c r="AB23" i="2"/>
  <c r="F24" i="2"/>
  <c r="H24" i="2"/>
  <c r="P24" i="2"/>
  <c r="R24" i="2"/>
  <c r="Z24" i="2"/>
  <c r="AB24" i="2"/>
  <c r="F25" i="2"/>
  <c r="H25" i="2"/>
  <c r="P25" i="2"/>
  <c r="R25" i="2"/>
  <c r="Z25" i="2"/>
  <c r="AB25" i="2"/>
  <c r="F26" i="2"/>
  <c r="H26" i="2"/>
  <c r="P26" i="2"/>
  <c r="R26" i="2"/>
  <c r="Z26" i="2"/>
  <c r="AB26" i="2"/>
  <c r="F27" i="2"/>
  <c r="H27" i="2"/>
  <c r="P27" i="2"/>
  <c r="R27" i="2"/>
  <c r="Z27" i="2"/>
  <c r="AB27" i="2"/>
  <c r="F28" i="2"/>
  <c r="H28" i="2"/>
  <c r="P28" i="2"/>
  <c r="R28" i="2"/>
  <c r="Z28" i="2"/>
  <c r="AB28" i="2"/>
  <c r="F29" i="2"/>
  <c r="H29" i="2"/>
  <c r="P29" i="2"/>
  <c r="R29" i="2"/>
  <c r="Z29" i="2"/>
  <c r="AB29" i="2"/>
  <c r="F30" i="2"/>
  <c r="H30" i="2"/>
  <c r="P30" i="2"/>
  <c r="R30" i="2"/>
  <c r="Z30" i="2"/>
  <c r="AB30" i="2"/>
  <c r="F31" i="2"/>
  <c r="H31" i="2"/>
  <c r="P31" i="2"/>
  <c r="R31" i="2"/>
  <c r="Z31" i="2"/>
  <c r="AB31" i="2"/>
  <c r="F32" i="2"/>
  <c r="H32" i="2"/>
  <c r="P32" i="2"/>
  <c r="R32" i="2"/>
  <c r="Z32" i="2"/>
  <c r="AB32" i="2"/>
  <c r="F33" i="2"/>
  <c r="H33" i="2"/>
  <c r="P33" i="2"/>
  <c r="R33" i="2"/>
  <c r="Z33" i="2"/>
  <c r="AB33" i="2"/>
  <c r="F34" i="2"/>
  <c r="H34" i="2"/>
  <c r="P34" i="2"/>
  <c r="R34" i="2"/>
  <c r="Z34" i="2"/>
  <c r="AB34" i="2"/>
  <c r="F35" i="2"/>
  <c r="H35" i="2"/>
  <c r="P35" i="2"/>
  <c r="R35" i="2"/>
  <c r="Z35" i="2"/>
  <c r="AB35" i="2"/>
  <c r="F36" i="2"/>
  <c r="H36" i="2"/>
  <c r="P36" i="2"/>
  <c r="R36" i="2"/>
  <c r="Z36" i="2"/>
  <c r="AB36" i="2"/>
  <c r="F37" i="2"/>
  <c r="H37" i="2"/>
  <c r="P37" i="2"/>
  <c r="R37" i="2"/>
  <c r="Z37" i="2"/>
  <c r="AB37" i="2"/>
  <c r="F38" i="2"/>
  <c r="H38" i="2"/>
  <c r="P38" i="2"/>
  <c r="R38" i="2"/>
  <c r="Z38" i="2"/>
  <c r="AB38" i="2"/>
  <c r="F39" i="2"/>
  <c r="H39" i="2"/>
  <c r="P39" i="2"/>
  <c r="R39" i="2"/>
  <c r="Z39" i="2"/>
  <c r="AB39" i="2"/>
  <c r="F40" i="2"/>
  <c r="H40" i="2"/>
  <c r="P40" i="2"/>
  <c r="R40" i="2"/>
  <c r="Z40" i="2"/>
  <c r="AB40" i="2"/>
  <c r="F41" i="2"/>
  <c r="H41" i="2"/>
  <c r="P41" i="2"/>
  <c r="R41" i="2"/>
  <c r="Z41" i="2"/>
  <c r="AB41" i="2"/>
  <c r="F42" i="2"/>
  <c r="H42" i="2"/>
  <c r="P42" i="2"/>
  <c r="R42" i="2"/>
  <c r="Z42" i="2"/>
  <c r="AB42" i="2"/>
  <c r="F43" i="2"/>
  <c r="H43" i="2"/>
  <c r="P43" i="2"/>
  <c r="R43" i="2"/>
  <c r="Z43" i="2"/>
  <c r="AB43" i="2"/>
  <c r="F44" i="2"/>
  <c r="H44" i="2"/>
  <c r="P44" i="2"/>
  <c r="R44" i="2"/>
  <c r="Z44" i="2"/>
  <c r="AB44" i="2"/>
  <c r="F45" i="2"/>
  <c r="H45" i="2"/>
  <c r="P45" i="2"/>
  <c r="R45" i="2"/>
  <c r="Z45" i="2"/>
  <c r="AB45" i="2"/>
  <c r="F46" i="2"/>
  <c r="H46" i="2"/>
  <c r="P46" i="2"/>
  <c r="R46" i="2"/>
  <c r="Z46" i="2"/>
  <c r="AB46" i="2"/>
  <c r="F47" i="2"/>
  <c r="H47" i="2"/>
  <c r="P47" i="2"/>
  <c r="R47" i="2"/>
  <c r="Z47" i="2"/>
  <c r="AB47" i="2"/>
  <c r="F48" i="2"/>
  <c r="H48" i="2"/>
  <c r="P48" i="2"/>
  <c r="R48" i="2"/>
  <c r="Z48" i="2"/>
  <c r="AB48" i="2"/>
  <c r="F49" i="2"/>
  <c r="H49" i="2"/>
  <c r="P49" i="2"/>
  <c r="R49" i="2"/>
  <c r="Z49" i="2"/>
  <c r="AB49" i="2"/>
  <c r="F50" i="2"/>
  <c r="H50" i="2"/>
  <c r="P50" i="2"/>
  <c r="R50" i="2"/>
  <c r="Z50" i="2"/>
  <c r="AB50" i="2"/>
  <c r="F51" i="2"/>
  <c r="H51" i="2"/>
  <c r="P51" i="2"/>
  <c r="R51" i="2"/>
  <c r="Z51" i="2"/>
  <c r="AB51" i="2"/>
  <c r="F52" i="2"/>
  <c r="H52" i="2"/>
  <c r="P52" i="2"/>
  <c r="R52" i="2"/>
  <c r="Z52" i="2"/>
  <c r="AB52" i="2"/>
  <c r="J6" i="2" l="1"/>
  <c r="G5" i="2"/>
  <c r="T28" i="2"/>
  <c r="AD31" i="2"/>
  <c r="T30" i="2"/>
  <c r="Q29" i="2"/>
  <c r="V29" i="2"/>
  <c r="AD29" i="2"/>
  <c r="AC5" i="2"/>
  <c r="AD44" i="2"/>
  <c r="Q41" i="2"/>
  <c r="G49" i="2"/>
  <c r="T46" i="2"/>
  <c r="AA45" i="2"/>
  <c r="G45" i="2"/>
  <c r="Q25" i="2"/>
  <c r="Q21" i="2"/>
  <c r="Q17" i="2"/>
  <c r="J14" i="2"/>
  <c r="Q13" i="2"/>
  <c r="Q9" i="2"/>
  <c r="Q37" i="2"/>
  <c r="AA41" i="2"/>
  <c r="G41" i="2"/>
  <c r="AA37" i="2"/>
  <c r="G37" i="2"/>
  <c r="AA33" i="2"/>
  <c r="G33" i="2"/>
  <c r="AA29" i="2"/>
  <c r="G29" i="2"/>
  <c r="Q5" i="2"/>
  <c r="Q33" i="2"/>
  <c r="AD5" i="2"/>
  <c r="AA5" i="2"/>
  <c r="AA49" i="2"/>
  <c r="Q49" i="2"/>
  <c r="Q45" i="2"/>
  <c r="AA25" i="2"/>
  <c r="G25" i="2"/>
  <c r="AA21" i="2"/>
  <c r="G21" i="2"/>
  <c r="AA17" i="2"/>
  <c r="G17" i="2"/>
  <c r="AA13" i="2"/>
  <c r="G13" i="2"/>
  <c r="AA9" i="2"/>
  <c r="G9" i="2"/>
  <c r="J7" i="2"/>
  <c r="T6" i="2"/>
  <c r="J8" i="2"/>
  <c r="AD52" i="2"/>
  <c r="T51" i="2"/>
  <c r="J17" i="2"/>
  <c r="V5" i="2"/>
  <c r="AD10" i="2"/>
  <c r="AD8" i="2"/>
  <c r="T7" i="2"/>
  <c r="J51" i="2"/>
  <c r="J49" i="2"/>
  <c r="AD47" i="2"/>
  <c r="AD38" i="2"/>
  <c r="J34" i="2"/>
  <c r="AD24" i="2"/>
  <c r="J22" i="2"/>
  <c r="J20" i="2"/>
  <c r="J41" i="2"/>
  <c r="AD39" i="2"/>
  <c r="T36" i="2"/>
  <c r="J35" i="2"/>
  <c r="T34" i="2"/>
  <c r="I33" i="2"/>
  <c r="J28" i="2"/>
  <c r="T25" i="2"/>
  <c r="S45" i="2"/>
  <c r="T45" i="2"/>
  <c r="T39" i="2"/>
  <c r="T15" i="2"/>
  <c r="AC49" i="2"/>
  <c r="T37" i="2"/>
  <c r="AD32" i="2"/>
  <c r="J25" i="2"/>
  <c r="AD23" i="2"/>
  <c r="T22" i="2"/>
  <c r="AD21" i="2"/>
  <c r="V41" i="2"/>
  <c r="J19" i="2"/>
  <c r="AD42" i="2"/>
  <c r="J42" i="2"/>
  <c r="AD40" i="2"/>
  <c r="J40" i="2"/>
  <c r="I37" i="2"/>
  <c r="J36" i="2"/>
  <c r="V33" i="2"/>
  <c r="J27" i="2"/>
  <c r="T26" i="2"/>
  <c r="AD25" i="2"/>
  <c r="S21" i="2"/>
  <c r="T13" i="2"/>
  <c r="AD12" i="2"/>
  <c r="J12" i="2"/>
  <c r="I9" i="2"/>
  <c r="L29" i="2"/>
  <c r="J33" i="2"/>
  <c r="T20" i="2"/>
  <c r="AD19" i="2"/>
  <c r="AD9" i="2"/>
  <c r="J9" i="2"/>
  <c r="T47" i="2"/>
  <c r="AD46" i="2"/>
  <c r="L45" i="2"/>
  <c r="J45" i="2"/>
  <c r="T44" i="2"/>
  <c r="AF41" i="2"/>
  <c r="J43" i="2"/>
  <c r="I41" i="2"/>
  <c r="T33" i="2"/>
  <c r="J32" i="2"/>
  <c r="T31" i="2"/>
  <c r="AD30" i="2"/>
  <c r="I25" i="2"/>
  <c r="AD26" i="2"/>
  <c r="AD18" i="2"/>
  <c r="J18" i="2"/>
  <c r="AD16" i="2"/>
  <c r="T14" i="2"/>
  <c r="AD11" i="2"/>
  <c r="T9" i="2"/>
  <c r="AA37" i="3"/>
  <c r="G29" i="3"/>
  <c r="J19" i="3"/>
  <c r="I17" i="3"/>
  <c r="G49" i="3"/>
  <c r="G45" i="3"/>
  <c r="G41" i="3"/>
  <c r="G37" i="3"/>
  <c r="AA33" i="3"/>
  <c r="AA29" i="3"/>
  <c r="G25" i="3"/>
  <c r="G21" i="3"/>
  <c r="AA17" i="3"/>
  <c r="AD50" i="3"/>
  <c r="AA13" i="3"/>
  <c r="G13" i="3"/>
  <c r="AA9" i="3"/>
  <c r="G9" i="3"/>
  <c r="AA5" i="3"/>
  <c r="G5" i="3"/>
  <c r="AA49" i="3"/>
  <c r="AA45" i="3"/>
  <c r="Q49" i="3"/>
  <c r="Q45" i="3"/>
  <c r="Q41" i="3"/>
  <c r="Q37" i="3"/>
  <c r="Q33" i="3"/>
  <c r="Q29" i="3"/>
  <c r="Q25" i="3"/>
  <c r="Q21" i="3"/>
  <c r="Q17" i="3"/>
  <c r="AA41" i="3"/>
  <c r="G33" i="3"/>
  <c r="AA25" i="3"/>
  <c r="AA21" i="3"/>
  <c r="G17" i="3"/>
  <c r="Q13" i="3"/>
  <c r="Q9" i="3"/>
  <c r="Q5" i="3"/>
  <c r="I5" i="3"/>
  <c r="J10" i="3"/>
  <c r="T41" i="3"/>
  <c r="AD34" i="3"/>
  <c r="T33" i="3"/>
  <c r="T31" i="3"/>
  <c r="J30" i="3"/>
  <c r="AD26" i="3"/>
  <c r="T25" i="3"/>
  <c r="T17" i="3"/>
  <c r="AD16" i="3"/>
  <c r="T49" i="3"/>
  <c r="T47" i="3"/>
  <c r="J46" i="3"/>
  <c r="AD42" i="3"/>
  <c r="I33" i="3"/>
  <c r="J45" i="3"/>
  <c r="I49" i="3"/>
  <c r="AD18" i="3"/>
  <c r="J16" i="3"/>
  <c r="T15" i="3"/>
  <c r="AD14" i="3"/>
  <c r="T13" i="3"/>
  <c r="T39" i="3"/>
  <c r="J38" i="3"/>
  <c r="J27" i="3"/>
  <c r="AD24" i="3"/>
  <c r="T23" i="3"/>
  <c r="J22" i="3"/>
  <c r="AD15" i="3"/>
  <c r="I41" i="3"/>
  <c r="J37" i="3"/>
  <c r="I25" i="3"/>
  <c r="T10" i="3"/>
  <c r="T45" i="3"/>
  <c r="T21" i="3"/>
  <c r="AF9" i="3"/>
  <c r="AD52" i="3"/>
  <c r="AD44" i="3"/>
  <c r="J36" i="3"/>
  <c r="AD28" i="3"/>
  <c r="J20" i="3"/>
  <c r="J12" i="3"/>
  <c r="L5" i="3"/>
  <c r="AC45" i="3"/>
  <c r="T46" i="3"/>
  <c r="AC37" i="3"/>
  <c r="T38" i="3"/>
  <c r="AC29" i="3"/>
  <c r="T30" i="3"/>
  <c r="J29" i="3"/>
  <c r="AC21" i="3"/>
  <c r="T22" i="3"/>
  <c r="J21" i="3"/>
  <c r="I13" i="3"/>
  <c r="T12" i="3"/>
  <c r="T9" i="3"/>
  <c r="AD8" i="3"/>
  <c r="J8" i="3"/>
  <c r="T7" i="3"/>
  <c r="AD6" i="3"/>
  <c r="J52" i="3"/>
  <c r="AD47" i="3"/>
  <c r="J44" i="3"/>
  <c r="AD39" i="3"/>
  <c r="T37" i="3"/>
  <c r="AD36" i="3"/>
  <c r="AD31" i="3"/>
  <c r="T29" i="3"/>
  <c r="J28" i="3"/>
  <c r="AD23" i="3"/>
  <c r="AD20" i="3"/>
  <c r="T16" i="3"/>
  <c r="AD12" i="3"/>
  <c r="T11" i="3"/>
  <c r="J51" i="3"/>
  <c r="AD48" i="3"/>
  <c r="J43" i="3"/>
  <c r="AD40" i="3"/>
  <c r="J35" i="3"/>
  <c r="AD32" i="3"/>
  <c r="L13" i="3"/>
  <c r="AC9" i="3"/>
  <c r="J9" i="3"/>
  <c r="AD7" i="3"/>
  <c r="T51" i="3"/>
  <c r="AF45" i="3"/>
  <c r="T43" i="3"/>
  <c r="AF37" i="3"/>
  <c r="L33" i="3"/>
  <c r="AF29" i="3"/>
  <c r="T27" i="3"/>
  <c r="J24" i="3"/>
  <c r="AF21" i="3"/>
  <c r="T19" i="3"/>
  <c r="AD10" i="3"/>
  <c r="AD9" i="3"/>
  <c r="T8" i="3"/>
  <c r="J6" i="3"/>
  <c r="J5" i="3"/>
  <c r="T52" i="3"/>
  <c r="AD51" i="3"/>
  <c r="J50" i="3"/>
  <c r="J49" i="3"/>
  <c r="T48" i="3"/>
  <c r="AD46" i="3"/>
  <c r="AD45" i="3"/>
  <c r="T44" i="3"/>
  <c r="AD43" i="3"/>
  <c r="J42" i="3"/>
  <c r="J41" i="3"/>
  <c r="T40" i="3"/>
  <c r="AD38" i="3"/>
  <c r="AD37" i="3"/>
  <c r="T36" i="3"/>
  <c r="AD35" i="3"/>
  <c r="J34" i="3"/>
  <c r="J33" i="3"/>
  <c r="T32" i="3"/>
  <c r="AD30" i="3"/>
  <c r="AD29" i="3"/>
  <c r="T28" i="3"/>
  <c r="AD27" i="3"/>
  <c r="J26" i="3"/>
  <c r="J25" i="3"/>
  <c r="T24" i="3"/>
  <c r="AD22" i="3"/>
  <c r="AD21" i="3"/>
  <c r="T20" i="3"/>
  <c r="AD19" i="3"/>
  <c r="J18" i="3"/>
  <c r="J17" i="3"/>
  <c r="J15" i="3"/>
  <c r="S13" i="3"/>
  <c r="AD13" i="3"/>
  <c r="AD11" i="3"/>
  <c r="J11" i="3"/>
  <c r="S9" i="3"/>
  <c r="J7" i="3"/>
  <c r="S5" i="3"/>
  <c r="AD5" i="3"/>
  <c r="L49" i="3"/>
  <c r="J48" i="3"/>
  <c r="L41" i="3"/>
  <c r="J40" i="3"/>
  <c r="T35" i="3"/>
  <c r="J32" i="3"/>
  <c r="L25" i="3"/>
  <c r="L17" i="3"/>
  <c r="J14" i="3"/>
  <c r="J13" i="3"/>
  <c r="S49" i="3"/>
  <c r="AD49" i="3"/>
  <c r="J47" i="3"/>
  <c r="S45" i="3"/>
  <c r="S41" i="3"/>
  <c r="AD41" i="3"/>
  <c r="J39" i="3"/>
  <c r="S37" i="3"/>
  <c r="S33" i="3"/>
  <c r="AD33" i="3"/>
  <c r="J31" i="3"/>
  <c r="S29" i="3"/>
  <c r="S25" i="3"/>
  <c r="AD25" i="3"/>
  <c r="J23" i="3"/>
  <c r="S21" i="3"/>
  <c r="S17" i="3"/>
  <c r="AD17" i="3"/>
  <c r="AD49" i="2"/>
  <c r="T41" i="2"/>
  <c r="AF33" i="2"/>
  <c r="J29" i="2"/>
  <c r="V21" i="2"/>
  <c r="T21" i="2"/>
  <c r="AD20" i="2"/>
  <c r="AC13" i="2"/>
  <c r="L9" i="2"/>
  <c r="AD7" i="2"/>
  <c r="V49" i="2"/>
  <c r="J47" i="2"/>
  <c r="AF45" i="2"/>
  <c r="T42" i="2"/>
  <c r="AD41" i="2"/>
  <c r="T40" i="2"/>
  <c r="J38" i="2"/>
  <c r="J31" i="2"/>
  <c r="T29" i="2"/>
  <c r="J26" i="2"/>
  <c r="AD22" i="2"/>
  <c r="L21" i="2"/>
  <c r="T19" i="2"/>
  <c r="T18" i="2"/>
  <c r="V13" i="2"/>
  <c r="AD14" i="2"/>
  <c r="AD13" i="2"/>
  <c r="AE13" i="2" s="1"/>
  <c r="T12" i="2"/>
  <c r="J10" i="2"/>
  <c r="T5" i="2"/>
  <c r="AF13" i="2"/>
  <c r="AC41" i="2"/>
  <c r="T35" i="2"/>
  <c r="T32" i="2"/>
  <c r="J30" i="2"/>
  <c r="T27" i="2"/>
  <c r="J24" i="2"/>
  <c r="AC17" i="2"/>
  <c r="J16" i="2"/>
  <c r="AD6" i="2"/>
  <c r="J52" i="2"/>
  <c r="T52" i="2"/>
  <c r="AD50" i="2"/>
  <c r="J50" i="2"/>
  <c r="T49" i="2"/>
  <c r="AD48" i="2"/>
  <c r="J48" i="2"/>
  <c r="V45" i="2"/>
  <c r="J44" i="2"/>
  <c r="T43" i="2"/>
  <c r="J39" i="2"/>
  <c r="T38" i="2"/>
  <c r="AF37" i="2"/>
  <c r="AD36" i="2"/>
  <c r="AD35" i="2"/>
  <c r="AD28" i="2"/>
  <c r="AD27" i="2"/>
  <c r="AF25" i="2"/>
  <c r="T24" i="2"/>
  <c r="J21" i="2"/>
  <c r="T17" i="2"/>
  <c r="AD15" i="2"/>
  <c r="J15" i="2"/>
  <c r="J11" i="2"/>
  <c r="S9" i="2"/>
  <c r="J5" i="2"/>
  <c r="V45" i="3"/>
  <c r="V37" i="3"/>
  <c r="V21" i="3"/>
  <c r="V9" i="3"/>
  <c r="AF49" i="3"/>
  <c r="L45" i="3"/>
  <c r="AF41" i="3"/>
  <c r="L37" i="3"/>
  <c r="AF33" i="3"/>
  <c r="L29" i="3"/>
  <c r="AF25" i="3"/>
  <c r="L21" i="3"/>
  <c r="AF17" i="3"/>
  <c r="AF13" i="3"/>
  <c r="L9" i="3"/>
  <c r="AF5" i="3"/>
  <c r="AC49" i="3"/>
  <c r="V49" i="3"/>
  <c r="I45" i="3"/>
  <c r="AC41" i="3"/>
  <c r="V41" i="3"/>
  <c r="I37" i="3"/>
  <c r="AC33" i="3"/>
  <c r="V33" i="3"/>
  <c r="I29" i="3"/>
  <c r="AC25" i="3"/>
  <c r="V25" i="3"/>
  <c r="I21" i="3"/>
  <c r="AC17" i="3"/>
  <c r="V17" i="3"/>
  <c r="AC13" i="3"/>
  <c r="V13" i="3"/>
  <c r="I9" i="3"/>
  <c r="AC5" i="3"/>
  <c r="V5" i="3"/>
  <c r="V29" i="3"/>
  <c r="T50" i="3"/>
  <c r="T42" i="3"/>
  <c r="T34" i="3"/>
  <c r="T26" i="3"/>
  <c r="T18" i="3"/>
  <c r="T14" i="3"/>
  <c r="T6" i="3"/>
  <c r="T50" i="2"/>
  <c r="AF49" i="2"/>
  <c r="I49" i="2"/>
  <c r="T48" i="2"/>
  <c r="AD43" i="2"/>
  <c r="AC37" i="2"/>
  <c r="V37" i="2"/>
  <c r="J37" i="2"/>
  <c r="S33" i="2"/>
  <c r="L33" i="2"/>
  <c r="S29" i="2"/>
  <c r="I29" i="2"/>
  <c r="S25" i="2"/>
  <c r="V25" i="2"/>
  <c r="L25" i="2"/>
  <c r="T23" i="2"/>
  <c r="J23" i="2"/>
  <c r="AD17" i="2"/>
  <c r="I17" i="2"/>
  <c r="T16" i="2"/>
  <c r="S13" i="2"/>
  <c r="T11" i="2"/>
  <c r="AC9" i="2"/>
  <c r="AF9" i="2"/>
  <c r="V9" i="2"/>
  <c r="AC29" i="2"/>
  <c r="AF21" i="2"/>
  <c r="I13" i="2"/>
  <c r="L13" i="2"/>
  <c r="AD51" i="2"/>
  <c r="AC45" i="2"/>
  <c r="S41" i="2"/>
  <c r="L41" i="2"/>
  <c r="AD37" i="2"/>
  <c r="S37" i="2"/>
  <c r="L37" i="2"/>
  <c r="AD33" i="2"/>
  <c r="AF29" i="2"/>
  <c r="AC25" i="2"/>
  <c r="AC21" i="2"/>
  <c r="T8" i="2"/>
  <c r="AF5" i="2"/>
  <c r="I5" i="2"/>
  <c r="L5" i="2"/>
  <c r="I45" i="2"/>
  <c r="AC33" i="2"/>
  <c r="S49" i="2"/>
  <c r="L49" i="2"/>
  <c r="J46" i="2"/>
  <c r="AD45" i="2"/>
  <c r="AD34" i="2"/>
  <c r="I21" i="2"/>
  <c r="AF17" i="2"/>
  <c r="S17" i="2"/>
  <c r="V17" i="2"/>
  <c r="L17" i="2"/>
  <c r="J13" i="2"/>
  <c r="T10" i="2"/>
  <c r="S5" i="2"/>
  <c r="K21" i="2" l="1"/>
  <c r="K29" i="2"/>
  <c r="K33" i="2"/>
  <c r="U45" i="2"/>
  <c r="U29" i="2"/>
  <c r="U13" i="2"/>
  <c r="K45" i="2"/>
  <c r="U37" i="2"/>
  <c r="K41" i="2"/>
  <c r="K13" i="2"/>
  <c r="K5" i="2"/>
  <c r="U5" i="2"/>
  <c r="U21" i="2"/>
  <c r="U41" i="2"/>
  <c r="K25" i="2"/>
  <c r="U25" i="2"/>
  <c r="K17" i="2"/>
  <c r="U9" i="2"/>
  <c r="K9" i="2"/>
  <c r="K49" i="2"/>
  <c r="K37" i="2"/>
  <c r="U17" i="2"/>
  <c r="U49" i="2"/>
  <c r="U33" i="2"/>
</calcChain>
</file>

<file path=xl/sharedStrings.xml><?xml version="1.0" encoding="utf-8"?>
<sst xmlns="http://schemas.openxmlformats.org/spreadsheetml/2006/main" count="100" uniqueCount="31">
  <si>
    <t>Schalen Tara (groß)</t>
  </si>
  <si>
    <t>SD</t>
  </si>
  <si>
    <t>TM im Mittel</t>
  </si>
  <si>
    <t>TM in %</t>
  </si>
  <si>
    <t>TM</t>
  </si>
  <si>
    <t>FM</t>
  </si>
  <si>
    <t>TM mit Schale</t>
  </si>
  <si>
    <t>FM mit Schale</t>
  </si>
  <si>
    <t>n</t>
  </si>
  <si>
    <t>PG</t>
  </si>
  <si>
    <t xml:space="preserve">Datum </t>
  </si>
  <si>
    <t>Schalen Tara (klein)</t>
  </si>
  <si>
    <t>FM im Mittel</t>
  </si>
  <si>
    <t>FM im Mittel der Prüfglieder</t>
  </si>
  <si>
    <t>TM in % im Mittel</t>
  </si>
  <si>
    <t>´--&gt; handelt sich hier um die TM in % im Mittel</t>
  </si>
  <si>
    <t>TM in % im Mittel der Prüfglieder</t>
  </si>
  <si>
    <t>medN</t>
  </si>
  <si>
    <t>medNP</t>
  </si>
  <si>
    <t>highN</t>
  </si>
  <si>
    <t>highNP</t>
  </si>
  <si>
    <t>lowN</t>
  </si>
  <si>
    <t>lowNP</t>
  </si>
  <si>
    <t>lowN1</t>
  </si>
  <si>
    <t>lowNP1</t>
  </si>
  <si>
    <t>medN1</t>
  </si>
  <si>
    <t>medNP1</t>
  </si>
  <si>
    <t>highN1</t>
  </si>
  <si>
    <t>highNP1</t>
  </si>
  <si>
    <t>Bei diesen erfassten Daten handelt es sich um die erfasste Trocken- und Frischmasse der Pflanzen.</t>
  </si>
  <si>
    <t>Dies wurde an 3 verschiedenen Terminen durchgeführt und umfasst durch nicht gekeimte Pflanzen oft nicht die gleiche Stichprobengröße.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</si>
</sst>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2" borderId="1" xfId="0" applyFill="1" applyBorder="1"/>
    <xf numFmtId="16" fontId="0" fillId="2" borderId="1" xfId="0" applyNumberFormat="1" applyFill="1" applyBorder="1"/>
    <xf numFmtId="0" fontId="0" fillId="0" borderId="2" xfId="0" applyBorder="1"/>
    <xf numFmtId="0" fontId="0" fillId="3" borderId="3" xfId="0" applyFill="1" applyBorder="1"/>
    <xf numFmtId="0" fontId="0" fillId="3" borderId="4" xfId="0" applyFill="1" applyBorder="1"/>
    <xf numFmtId="0" fontId="0" fillId="0" borderId="4" xfId="0" applyBorder="1"/>
    <xf numFmtId="2" fontId="0" fillId="0" borderId="1" xfId="1" applyNumberFormat="1" applyFont="1" applyBorder="1"/>
    <xf numFmtId="0" fontId="0" fillId="0" borderId="6" xfId="0" applyBorder="1"/>
    <xf numFmtId="0" fontId="0" fillId="0" borderId="7" xfId="0" applyBorder="1"/>
    <xf numFmtId="2" fontId="0" fillId="0" borderId="6" xfId="1" applyNumberFormat="1" applyFont="1" applyBorder="1"/>
    <xf numFmtId="0" fontId="0" fillId="0" borderId="9" xfId="0" applyBorder="1"/>
    <xf numFmtId="0" fontId="0" fillId="3" borderId="10" xfId="0" applyFill="1" applyBorder="1"/>
    <xf numFmtId="0" fontId="0" fillId="3" borderId="7" xfId="0" applyFill="1" applyBorder="1"/>
    <xf numFmtId="0" fontId="0" fillId="0" borderId="12" xfId="0" applyBorder="1"/>
    <xf numFmtId="0" fontId="0" fillId="3" borderId="13" xfId="0" applyFill="1" applyBorder="1"/>
    <xf numFmtId="0" fontId="0" fillId="3" borderId="14" xfId="0" applyFill="1" applyBorder="1"/>
    <xf numFmtId="0" fontId="0" fillId="0" borderId="14" xfId="0" applyBorder="1"/>
    <xf numFmtId="0" fontId="0" fillId="0" borderId="16" xfId="0" applyBorder="1"/>
    <xf numFmtId="0" fontId="0" fillId="3" borderId="17" xfId="0" applyFill="1" applyBorder="1"/>
    <xf numFmtId="0" fontId="0" fillId="0" borderId="18" xfId="0" applyBorder="1"/>
    <xf numFmtId="0" fontId="0" fillId="3" borderId="19" xfId="0" applyFill="1" applyBorder="1"/>
    <xf numFmtId="0" fontId="0" fillId="0" borderId="20" xfId="0" applyBorder="1"/>
    <xf numFmtId="0" fontId="0" fillId="3" borderId="5" xfId="0" applyFill="1" applyBorder="1"/>
    <xf numFmtId="0" fontId="0" fillId="3" borderId="21" xfId="0" applyFill="1" applyBorder="1"/>
    <xf numFmtId="0" fontId="0" fillId="0" borderId="22" xfId="0" applyBorder="1"/>
    <xf numFmtId="0" fontId="0" fillId="3" borderId="23" xfId="0" applyFill="1" applyBorder="1"/>
    <xf numFmtId="0" fontId="3" fillId="0" borderId="0" xfId="0" applyFont="1"/>
    <xf numFmtId="0" fontId="0" fillId="3" borderId="1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4" fillId="0" borderId="0" xfId="0" applyFont="1"/>
    <xf numFmtId="0" fontId="0" fillId="0" borderId="1" xfId="0" applyFont="1" applyBorder="1"/>
    <xf numFmtId="0" fontId="0" fillId="0" borderId="33" xfId="0" applyFont="1" applyBorder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3" borderId="33" xfId="0" applyFill="1" applyBorder="1" applyAlignment="1">
      <alignment wrapText="1"/>
    </xf>
    <xf numFmtId="164" fontId="0" fillId="0" borderId="1" xfId="0" applyNumberFormat="1" applyBorder="1"/>
    <xf numFmtId="2" fontId="0" fillId="0" borderId="1" xfId="0" applyNumberFormat="1" applyBorder="1"/>
    <xf numFmtId="0" fontId="2" fillId="0" borderId="0" xfId="0" applyFont="1"/>
    <xf numFmtId="2" fontId="1" fillId="0" borderId="1" xfId="1" applyNumberFormat="1" applyFont="1" applyBorder="1"/>
    <xf numFmtId="2" fontId="0" fillId="0" borderId="1" xfId="1" applyNumberFormat="1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2" fontId="0" fillId="0" borderId="6" xfId="1" applyNumberFormat="1" applyFont="1" applyBorder="1" applyAlignment="1">
      <alignment horizontal="center" vertical="center"/>
    </xf>
    <xf numFmtId="16" fontId="0" fillId="4" borderId="14" xfId="0" applyNumberFormat="1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16" fontId="0" fillId="4" borderId="23" xfId="0" applyNumberForma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32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" fontId="0" fillId="4" borderId="27" xfId="0" applyNumberFormat="1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aseline="0"/>
              <a:t>FM der warmen TMT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 N; low 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('1.DL'!$B$57,'1.DL'!$C$57,'1.DL'!$D$57)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'1.DL'!$B$58:$D$58</c:f>
              <c:numCache>
                <c:formatCode>0.0</c:formatCode>
                <c:ptCount val="3"/>
                <c:pt idx="0">
                  <c:v>36.512500000000003</c:v>
                </c:pt>
                <c:pt idx="1">
                  <c:v>67.717500000000001</c:v>
                </c:pt>
                <c:pt idx="2">
                  <c:v>205.22000000000003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B-4FDA-8542-9CBADEE1E2B1}"/>
            </c:ext>
          </c:extLst>
        </c:ser>
        <c:ser>
          <c:idx val="1"/>
          <c:order val="1"/>
          <c:tx>
            <c:v>low N; high 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('1.DL'!$B$57,'1.DL'!$C$57,'1.DL'!$D$57)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'1.DL'!$B$59:$D$59</c:f>
              <c:numCache>
                <c:formatCode>0.0</c:formatCode>
                <c:ptCount val="3"/>
                <c:pt idx="0">
                  <c:v>38.792500000000004</c:v>
                </c:pt>
                <c:pt idx="1">
                  <c:v>75.97</c:v>
                </c:pt>
                <c:pt idx="2">
                  <c:v>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4B-4FDA-8542-9CBADEE1E2B1}"/>
            </c:ext>
          </c:extLst>
        </c:ser>
        <c:ser>
          <c:idx val="2"/>
          <c:order val="2"/>
          <c:tx>
            <c:v>med. N; low 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('1.DL'!$B$57,'1.DL'!$C$57,'1.DL'!$D$57)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'1.DL'!$B$60:$D$60</c:f>
              <c:numCache>
                <c:formatCode>0.0</c:formatCode>
                <c:ptCount val="3"/>
                <c:pt idx="0">
                  <c:v>40.132500000000007</c:v>
                </c:pt>
                <c:pt idx="1">
                  <c:v>88.094999999999999</c:v>
                </c:pt>
                <c:pt idx="2">
                  <c:v>289.09750000000003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4B-4FDA-8542-9CBADEE1E2B1}"/>
            </c:ext>
          </c:extLst>
        </c:ser>
        <c:ser>
          <c:idx val="3"/>
          <c:order val="3"/>
          <c:tx>
            <c:v>med. N; high 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('1.DL'!$B$57,'1.DL'!$C$57,'1.DL'!$D$57)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'1.DL'!$B$61:$D$61</c:f>
              <c:numCache>
                <c:formatCode>0.0</c:formatCode>
                <c:ptCount val="3"/>
                <c:pt idx="0">
                  <c:v>45.844999999999999</c:v>
                </c:pt>
                <c:pt idx="1">
                  <c:v>96.410000000000025</c:v>
                </c:pt>
                <c:pt idx="2">
                  <c:v>330.10249999999996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4B-4FDA-8542-9CBADEE1E2B1}"/>
            </c:ext>
          </c:extLst>
        </c:ser>
        <c:ser>
          <c:idx val="4"/>
          <c:order val="4"/>
          <c:tx>
            <c:v>high N; low 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('1.DL'!$B$57,'1.DL'!$C$57,'1.DL'!$D$57)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'1.DL'!$B$62:$D$62</c:f>
              <c:numCache>
                <c:formatCode>0.0</c:formatCode>
                <c:ptCount val="3"/>
                <c:pt idx="0">
                  <c:v>41.03</c:v>
                </c:pt>
                <c:pt idx="1">
                  <c:v>106.62</c:v>
                </c:pt>
                <c:pt idx="2">
                  <c:v>329.30499999999995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4B-4FDA-8542-9CBADEE1E2B1}"/>
            </c:ext>
          </c:extLst>
        </c:ser>
        <c:ser>
          <c:idx val="5"/>
          <c:order val="5"/>
          <c:tx>
            <c:v>high N; high P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('1.DL'!$B$57,'1.DL'!$C$57,'1.DL'!$D$57)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'1.DL'!$B$63:$D$63</c:f>
              <c:numCache>
                <c:formatCode>0.0</c:formatCode>
                <c:ptCount val="3"/>
                <c:pt idx="0">
                  <c:v>42.35</c:v>
                </c:pt>
                <c:pt idx="1">
                  <c:v>120.36750000000001</c:v>
                </c:pt>
                <c:pt idx="2">
                  <c:v>388.005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4B-4FDA-8542-9CBADEE1E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0588591"/>
        <c:axId val="1670589007"/>
      </c:lineChart>
      <c:dateAx>
        <c:axId val="1670588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/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0589007"/>
        <c:crosses val="autoZero"/>
        <c:auto val="1"/>
        <c:lblOffset val="100"/>
        <c:baseTimeUnit val="days"/>
        <c:majorUnit val="2"/>
        <c:majorTimeUnit val="days"/>
      </c:dateAx>
      <c:valAx>
        <c:axId val="1670589007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Gewicht</a:t>
                </a:r>
                <a:r>
                  <a:rPr lang="de-DE" baseline="0"/>
                  <a:t> in g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05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FM</a:t>
            </a:r>
            <a:r>
              <a:rPr lang="de-DE" baseline="0"/>
              <a:t> der temperierten TMT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 N; low 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'1.DL'!$B$57:$D$57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'1.DL'!$B$64:$D$64</c:f>
              <c:numCache>
                <c:formatCode>0.0</c:formatCode>
                <c:ptCount val="3"/>
                <c:pt idx="0">
                  <c:v>25.5625</c:v>
                </c:pt>
                <c:pt idx="1">
                  <c:v>61.287500000000001</c:v>
                </c:pt>
                <c:pt idx="2">
                  <c:v>180.72250000000003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5-4E8F-9524-0EA5C5AE6329}"/>
            </c:ext>
          </c:extLst>
        </c:ser>
        <c:ser>
          <c:idx val="1"/>
          <c:order val="1"/>
          <c:tx>
            <c:v>low N; high 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'1.DL'!$B$57:$D$57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'1.DL'!$B$65:$D$65</c:f>
              <c:numCache>
                <c:formatCode>0.0</c:formatCode>
                <c:ptCount val="3"/>
                <c:pt idx="0">
                  <c:v>28.68</c:v>
                </c:pt>
                <c:pt idx="1">
                  <c:v>66.372500000000002</c:v>
                </c:pt>
                <c:pt idx="2">
                  <c:v>186.11750000000001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E5-4E8F-9524-0EA5C5AE6329}"/>
            </c:ext>
          </c:extLst>
        </c:ser>
        <c:ser>
          <c:idx val="2"/>
          <c:order val="2"/>
          <c:tx>
            <c:v>med. N; low 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'1.DL'!$B$57:$D$57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'1.DL'!$B$66:$D$66</c:f>
              <c:numCache>
                <c:formatCode>0.0</c:formatCode>
                <c:ptCount val="3"/>
                <c:pt idx="0">
                  <c:v>27.73</c:v>
                </c:pt>
                <c:pt idx="1">
                  <c:v>79.664999999999992</c:v>
                </c:pt>
                <c:pt idx="2">
                  <c:v>239.97500000000002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E5-4E8F-9524-0EA5C5AE6329}"/>
            </c:ext>
          </c:extLst>
        </c:ser>
        <c:ser>
          <c:idx val="3"/>
          <c:order val="3"/>
          <c:tx>
            <c:v>med. N; high 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'1.DL'!$B$57:$D$57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'1.DL'!$B$67:$D$67</c:f>
              <c:numCache>
                <c:formatCode>0.0</c:formatCode>
                <c:ptCount val="3"/>
                <c:pt idx="0">
                  <c:v>30.682499999999997</c:v>
                </c:pt>
                <c:pt idx="1">
                  <c:v>91.85499999999999</c:v>
                </c:pt>
                <c:pt idx="2">
                  <c:v>272.04750000000001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E5-4E8F-9524-0EA5C5AE6329}"/>
            </c:ext>
          </c:extLst>
        </c:ser>
        <c:ser>
          <c:idx val="4"/>
          <c:order val="4"/>
          <c:tx>
            <c:v>high N; low 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'1.DL'!$B$57:$D$57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'1.DL'!$B$68:$D$68</c:f>
              <c:numCache>
                <c:formatCode>0.0</c:formatCode>
                <c:ptCount val="3"/>
                <c:pt idx="0">
                  <c:v>29.620000000000005</c:v>
                </c:pt>
                <c:pt idx="1">
                  <c:v>97.992499999999993</c:v>
                </c:pt>
                <c:pt idx="2">
                  <c:v>304.96250000000003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E5-4E8F-9524-0EA5C5AE6329}"/>
            </c:ext>
          </c:extLst>
        </c:ser>
        <c:ser>
          <c:idx val="5"/>
          <c:order val="5"/>
          <c:tx>
            <c:v>high N; high P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'1.DL'!$B$57:$D$57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'1.DL'!$B$69:$D$69</c:f>
              <c:numCache>
                <c:formatCode>0.0</c:formatCode>
                <c:ptCount val="3"/>
                <c:pt idx="0">
                  <c:v>28.307499999999994</c:v>
                </c:pt>
                <c:pt idx="1">
                  <c:v>116.03749999999999</c:v>
                </c:pt>
                <c:pt idx="2">
                  <c:v>365.17750000000001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E5-4E8F-9524-0EA5C5AE6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125503"/>
        <c:axId val="1662130495"/>
      </c:lineChart>
      <c:dateAx>
        <c:axId val="1662125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/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2130495"/>
        <c:crosses val="autoZero"/>
        <c:auto val="1"/>
        <c:lblOffset val="100"/>
        <c:baseTimeUnit val="days"/>
        <c:majorUnit val="2"/>
        <c:majorTimeUnit val="days"/>
      </c:dateAx>
      <c:valAx>
        <c:axId val="16621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Gewicht</a:t>
                </a:r>
                <a:r>
                  <a:rPr lang="de-DE" baseline="0"/>
                  <a:t> in 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212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TM</a:t>
            </a:r>
            <a:r>
              <a:rPr lang="de-DE" baseline="0"/>
              <a:t> der warmen TMT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 N; low 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'1.DL'!$G$57:$I$57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'1.DL'!$G$58:$I$58</c:f>
              <c:numCache>
                <c:formatCode>0.00</c:formatCode>
                <c:ptCount val="3"/>
                <c:pt idx="0">
                  <c:v>5.8598766685005463</c:v>
                </c:pt>
                <c:pt idx="1">
                  <c:v>9.0762580655147289</c:v>
                </c:pt>
                <c:pt idx="2">
                  <c:v>10.391948500169569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9-499A-AA8B-3215A7ECD679}"/>
            </c:ext>
          </c:extLst>
        </c:ser>
        <c:ser>
          <c:idx val="1"/>
          <c:order val="1"/>
          <c:tx>
            <c:v>low N; high 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'1.DL'!$G$57:$I$57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'1.DL'!$G$59:$I$59</c:f>
              <c:numCache>
                <c:formatCode>0.00</c:formatCode>
                <c:ptCount val="3"/>
                <c:pt idx="0">
                  <c:v>5.6944218349393072</c:v>
                </c:pt>
                <c:pt idx="1">
                  <c:v>9.3736987914924974</c:v>
                </c:pt>
                <c:pt idx="2">
                  <c:v>10.156374357790359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9-499A-AA8B-3215A7ECD679}"/>
            </c:ext>
          </c:extLst>
        </c:ser>
        <c:ser>
          <c:idx val="2"/>
          <c:order val="2"/>
          <c:tx>
            <c:v>med. N; low 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'1.DL'!$G$57:$I$57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'1.DL'!$G$60:$I$60</c:f>
              <c:numCache>
                <c:formatCode>0.00</c:formatCode>
                <c:ptCount val="3"/>
                <c:pt idx="0">
                  <c:v>5.5139118796094904</c:v>
                </c:pt>
                <c:pt idx="1">
                  <c:v>8.6858314921573463</c:v>
                </c:pt>
                <c:pt idx="2">
                  <c:v>9.8060279120393883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89-499A-AA8B-3215A7ECD679}"/>
            </c:ext>
          </c:extLst>
        </c:ser>
        <c:ser>
          <c:idx val="3"/>
          <c:order val="3"/>
          <c:tx>
            <c:v>med. N; high 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'1.DL'!$G$57:$I$57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'1.DL'!$G$61:$I$61</c:f>
              <c:numCache>
                <c:formatCode>0.00</c:formatCode>
                <c:ptCount val="3"/>
                <c:pt idx="0">
                  <c:v>5.4488477812442992</c:v>
                </c:pt>
                <c:pt idx="1">
                  <c:v>8.4976618292597657</c:v>
                </c:pt>
                <c:pt idx="2">
                  <c:v>8.9583156295033426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89-499A-AA8B-3215A7ECD679}"/>
            </c:ext>
          </c:extLst>
        </c:ser>
        <c:ser>
          <c:idx val="4"/>
          <c:order val="4"/>
          <c:tx>
            <c:v>high N; low 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'1.DL'!$G$57:$I$57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'1.DL'!$G$62:$I$62</c:f>
              <c:numCache>
                <c:formatCode>0.00</c:formatCode>
                <c:ptCount val="3"/>
                <c:pt idx="0">
                  <c:v>5.6349242095575072</c:v>
                </c:pt>
                <c:pt idx="1">
                  <c:v>8.4304638304888737</c:v>
                </c:pt>
                <c:pt idx="2">
                  <c:v>9.2562865946154762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89-499A-AA8B-3215A7ECD679}"/>
            </c:ext>
          </c:extLst>
        </c:ser>
        <c:ser>
          <c:idx val="5"/>
          <c:order val="5"/>
          <c:tx>
            <c:v>high N; high P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'1.DL'!$G$57:$I$57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'1.DL'!$G$63:$I$63</c:f>
              <c:numCache>
                <c:formatCode>0.00</c:formatCode>
                <c:ptCount val="3"/>
                <c:pt idx="0">
                  <c:v>5.6079680517791566</c:v>
                </c:pt>
                <c:pt idx="1">
                  <c:v>7.5364533695788243</c:v>
                </c:pt>
                <c:pt idx="2">
                  <c:v>8.4235605069043231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89-499A-AA8B-3215A7ECD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704288"/>
        <c:axId val="1762704704"/>
      </c:lineChart>
      <c:dateAx>
        <c:axId val="176270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/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2704704"/>
        <c:crosses val="autoZero"/>
        <c:auto val="1"/>
        <c:lblOffset val="100"/>
        <c:baseTimeUnit val="days"/>
        <c:majorUnit val="2"/>
        <c:majorTimeUnit val="days"/>
      </c:dateAx>
      <c:valAx>
        <c:axId val="17627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Gewicht</a:t>
                </a:r>
                <a:r>
                  <a:rPr lang="de-DE" baseline="0"/>
                  <a:t> in g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270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TM</a:t>
            </a:r>
            <a:r>
              <a:rPr lang="de-DE" baseline="0"/>
              <a:t> der temperierten TMT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 N; low 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('1.DL'!$G$57,'1.DL'!$H$57,'1.DL'!$I$57)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'1.DL'!$G$64:$I$64</c:f>
              <c:numCache>
                <c:formatCode>0.00</c:formatCode>
                <c:ptCount val="3"/>
                <c:pt idx="0">
                  <c:v>6.429406165493754</c:v>
                </c:pt>
                <c:pt idx="1">
                  <c:v>10.057815668030623</c:v>
                </c:pt>
                <c:pt idx="2">
                  <c:v>11.860317359881265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8-42DA-899D-426C6FC937C3}"/>
            </c:ext>
          </c:extLst>
        </c:ser>
        <c:ser>
          <c:idx val="1"/>
          <c:order val="1"/>
          <c:tx>
            <c:v>low N; high 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('1.DL'!$G$57,'1.DL'!$H$57,'1.DL'!$I$57)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'1.DL'!$G$65:$I$65</c:f>
              <c:numCache>
                <c:formatCode>0.00</c:formatCode>
                <c:ptCount val="3"/>
                <c:pt idx="0">
                  <c:v>6.7214252923708866</c:v>
                </c:pt>
                <c:pt idx="1">
                  <c:v>9.4660239873312459</c:v>
                </c:pt>
                <c:pt idx="2">
                  <c:v>10.616407577266296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8-42DA-899D-426C6FC937C3}"/>
            </c:ext>
          </c:extLst>
        </c:ser>
        <c:ser>
          <c:idx val="2"/>
          <c:order val="2"/>
          <c:tx>
            <c:v>med. N; low 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('1.DL'!$G$57,'1.DL'!$H$57,'1.DL'!$I$57)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'1.DL'!$G$66:$I$66</c:f>
              <c:numCache>
                <c:formatCode>0.00</c:formatCode>
                <c:ptCount val="3"/>
                <c:pt idx="0">
                  <c:v>6.4400707483048762</c:v>
                </c:pt>
                <c:pt idx="1">
                  <c:v>8.6926170146390973</c:v>
                </c:pt>
                <c:pt idx="2">
                  <c:v>9.4444652714329429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E8-42DA-899D-426C6FC937C3}"/>
            </c:ext>
          </c:extLst>
        </c:ser>
        <c:ser>
          <c:idx val="3"/>
          <c:order val="3"/>
          <c:tx>
            <c:v>med. N; high 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('1.DL'!$G$57,'1.DL'!$H$57,'1.DL'!$I$57)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'1.DL'!$G$67:$I$67</c:f>
              <c:numCache>
                <c:formatCode>0.00</c:formatCode>
                <c:ptCount val="3"/>
                <c:pt idx="0">
                  <c:v>6.1587776316546679</c:v>
                </c:pt>
                <c:pt idx="1">
                  <c:v>8.0450510602119909</c:v>
                </c:pt>
                <c:pt idx="2">
                  <c:v>8.6642874248654138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E8-42DA-899D-426C6FC937C3}"/>
            </c:ext>
          </c:extLst>
        </c:ser>
        <c:ser>
          <c:idx val="4"/>
          <c:order val="4"/>
          <c:tx>
            <c:v>high N; low 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('1.DL'!$G$57,'1.DL'!$H$57,'1.DL'!$I$57)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'1.DL'!$G$68:$I$68</c:f>
              <c:numCache>
                <c:formatCode>0.00</c:formatCode>
                <c:ptCount val="3"/>
                <c:pt idx="0">
                  <c:v>6.565700595506696</c:v>
                </c:pt>
                <c:pt idx="1">
                  <c:v>8.1947308287473799</c:v>
                </c:pt>
                <c:pt idx="2">
                  <c:v>8.4787517366350933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E8-42DA-899D-426C6FC937C3}"/>
            </c:ext>
          </c:extLst>
        </c:ser>
        <c:ser>
          <c:idx val="5"/>
          <c:order val="5"/>
          <c:tx>
            <c:v>high N; high P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('1.DL'!$G$57,'1.DL'!$H$57,'1.DL'!$I$57)</c:f>
              <c:numCache>
                <c:formatCode>d\-mmm</c:formatCode>
                <c:ptCount val="3"/>
                <c:pt idx="0">
                  <c:v>44659</c:v>
                </c:pt>
                <c:pt idx="1">
                  <c:v>44671</c:v>
                </c:pt>
                <c:pt idx="2">
                  <c:v>44676</c:v>
                </c:pt>
              </c:numCache>
            </c:numRef>
          </c:cat>
          <c:val>
            <c:numRef>
              <c:f>'1.DL'!$G$69:$I$69</c:f>
              <c:numCache>
                <c:formatCode>0.00</c:formatCode>
                <c:ptCount val="3"/>
                <c:pt idx="0">
                  <c:v>6.3590681078438003</c:v>
                </c:pt>
                <c:pt idx="1">
                  <c:v>7.3637914376234859</c:v>
                </c:pt>
                <c:pt idx="2">
                  <c:v>7.7423820384234894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E8-42DA-899D-426C6FC9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582288"/>
        <c:axId val="2033583536"/>
      </c:lineChart>
      <c:dateAx>
        <c:axId val="203358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/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33583536"/>
        <c:crosses val="autoZero"/>
        <c:auto val="1"/>
        <c:lblOffset val="100"/>
        <c:baseTimeUnit val="days"/>
        <c:majorUnit val="2"/>
        <c:majorTimeUnit val="days"/>
      </c:dateAx>
      <c:valAx>
        <c:axId val="2033583536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Gewicht</a:t>
                </a:r>
                <a:r>
                  <a:rPr lang="de-DE" baseline="0"/>
                  <a:t> in g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3358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FM</a:t>
            </a:r>
            <a:r>
              <a:rPr lang="de-DE" baseline="0"/>
              <a:t> der warmen TMT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 N; low 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'2.DL'!$B$58:$D$58</c:f>
              <c:numCache>
                <c:formatCode>0.00</c:formatCode>
                <c:ptCount val="3"/>
                <c:pt idx="0">
                  <c:v>21.147500000000001</c:v>
                </c:pt>
                <c:pt idx="1">
                  <c:v>27.167499999999997</c:v>
                </c:pt>
                <c:pt idx="2">
                  <c:v>92.272499999999994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3-481D-B9F3-9F6D7BD651D4}"/>
            </c:ext>
          </c:extLst>
        </c:ser>
        <c:ser>
          <c:idx val="1"/>
          <c:order val="1"/>
          <c:tx>
            <c:v>low N; high 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'2.DL'!$B$59:$D$59</c:f>
              <c:numCache>
                <c:formatCode>0.00</c:formatCode>
                <c:ptCount val="3"/>
                <c:pt idx="0">
                  <c:v>20.550000000000004</c:v>
                </c:pt>
                <c:pt idx="1">
                  <c:v>27.840000000000003</c:v>
                </c:pt>
                <c:pt idx="2">
                  <c:v>82.93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43-481D-B9F3-9F6D7BD651D4}"/>
            </c:ext>
          </c:extLst>
        </c:ser>
        <c:ser>
          <c:idx val="2"/>
          <c:order val="2"/>
          <c:tx>
            <c:v>med. N; low 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'2.DL'!$B$60:$D$60</c:f>
              <c:numCache>
                <c:formatCode>0.00</c:formatCode>
                <c:ptCount val="3"/>
                <c:pt idx="0">
                  <c:v>32.449999999999996</c:v>
                </c:pt>
                <c:pt idx="1">
                  <c:v>57.807500000000005</c:v>
                </c:pt>
                <c:pt idx="2">
                  <c:v>171.52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43-481D-B9F3-9F6D7BD651D4}"/>
            </c:ext>
          </c:extLst>
        </c:ser>
        <c:ser>
          <c:idx val="3"/>
          <c:order val="3"/>
          <c:tx>
            <c:v>med. N; high 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'2.DL'!$B$61:$D$61</c:f>
              <c:numCache>
                <c:formatCode>0.00</c:formatCode>
                <c:ptCount val="3"/>
                <c:pt idx="0">
                  <c:v>39.989999999999995</c:v>
                </c:pt>
                <c:pt idx="1">
                  <c:v>60.387499999999996</c:v>
                </c:pt>
                <c:pt idx="2">
                  <c:v>188.54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43-481D-B9F3-9F6D7BD651D4}"/>
            </c:ext>
          </c:extLst>
        </c:ser>
        <c:ser>
          <c:idx val="4"/>
          <c:order val="4"/>
          <c:tx>
            <c:v>high N; low 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'2.DL'!$B$62:$D$62</c:f>
              <c:numCache>
                <c:formatCode>0.00</c:formatCode>
                <c:ptCount val="3"/>
                <c:pt idx="0">
                  <c:v>35.692499999999995</c:v>
                </c:pt>
                <c:pt idx="1">
                  <c:v>67.180000000000007</c:v>
                </c:pt>
                <c:pt idx="2">
                  <c:v>204.82499999999999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43-481D-B9F3-9F6D7BD651D4}"/>
            </c:ext>
          </c:extLst>
        </c:ser>
        <c:ser>
          <c:idx val="5"/>
          <c:order val="5"/>
          <c:tx>
            <c:v>high N; high P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'2.DL'!$B$63:$D$63</c:f>
              <c:numCache>
                <c:formatCode>0.00</c:formatCode>
                <c:ptCount val="3"/>
                <c:pt idx="0">
                  <c:v>52.86</c:v>
                </c:pt>
                <c:pt idx="1">
                  <c:v>98.324999999999989</c:v>
                </c:pt>
                <c:pt idx="2">
                  <c:v>332.37249999999995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43-481D-B9F3-9F6D7BD65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335535"/>
        <c:axId val="153537215"/>
      </c:lineChart>
      <c:dateAx>
        <c:axId val="2111335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/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537215"/>
        <c:crosses val="autoZero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15353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Gewicht</a:t>
                </a:r>
                <a:r>
                  <a:rPr lang="de-DE" baseline="0"/>
                  <a:t> in g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133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aseline="0"/>
              <a:t>FM der temperierten TMT</a:t>
            </a:r>
            <a:endParaRPr lang="de-DE"/>
          </a:p>
        </c:rich>
      </c:tx>
      <c:layout>
        <c:manualLayout>
          <c:xMode val="edge"/>
          <c:yMode val="edge"/>
          <c:x val="0.3253561253561253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 N; low 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'2.DL'!$B$64:$D$64</c:f>
              <c:numCache>
                <c:formatCode>0.00</c:formatCode>
                <c:ptCount val="3"/>
                <c:pt idx="0">
                  <c:v>17.740000000000002</c:v>
                </c:pt>
                <c:pt idx="1">
                  <c:v>25.505000000000003</c:v>
                </c:pt>
                <c:pt idx="2">
                  <c:v>89.99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3-4ED5-815C-024AF0DD0C7C}"/>
            </c:ext>
          </c:extLst>
        </c:ser>
        <c:ser>
          <c:idx val="1"/>
          <c:order val="1"/>
          <c:tx>
            <c:v>low N; high 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'2.DL'!$B$65:$D$65</c:f>
              <c:numCache>
                <c:formatCode>0.00</c:formatCode>
                <c:ptCount val="3"/>
                <c:pt idx="0">
                  <c:v>17.412500000000001</c:v>
                </c:pt>
                <c:pt idx="1">
                  <c:v>24.565000000000001</c:v>
                </c:pt>
                <c:pt idx="2">
                  <c:v>80.302500000000009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B3-4ED5-815C-024AF0DD0C7C}"/>
            </c:ext>
          </c:extLst>
        </c:ser>
        <c:ser>
          <c:idx val="2"/>
          <c:order val="2"/>
          <c:tx>
            <c:v>med. N; low 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'2.DL'!$B$66:$D$66</c:f>
              <c:numCache>
                <c:formatCode>0.00</c:formatCode>
                <c:ptCount val="3"/>
                <c:pt idx="0">
                  <c:v>26.549999999999997</c:v>
                </c:pt>
                <c:pt idx="1">
                  <c:v>47.3675</c:v>
                </c:pt>
                <c:pt idx="2">
                  <c:v>159.94749999999999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B3-4ED5-815C-024AF0DD0C7C}"/>
            </c:ext>
          </c:extLst>
        </c:ser>
        <c:ser>
          <c:idx val="3"/>
          <c:order val="3"/>
          <c:tx>
            <c:v>med. N; high 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'2.DL'!$B$67:$D$67</c:f>
              <c:numCache>
                <c:formatCode>0.00</c:formatCode>
                <c:ptCount val="3"/>
                <c:pt idx="0">
                  <c:v>35.549999999999997</c:v>
                </c:pt>
                <c:pt idx="1">
                  <c:v>56.704999999999998</c:v>
                </c:pt>
                <c:pt idx="2">
                  <c:v>184.88249999999999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B3-4ED5-815C-024AF0DD0C7C}"/>
            </c:ext>
          </c:extLst>
        </c:ser>
        <c:ser>
          <c:idx val="4"/>
          <c:order val="4"/>
          <c:tx>
            <c:v>high N; low 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'2.DL'!$B$68:$D$68</c:f>
              <c:numCache>
                <c:formatCode>0.00</c:formatCode>
                <c:ptCount val="3"/>
                <c:pt idx="0">
                  <c:v>25.465000000000003</c:v>
                </c:pt>
                <c:pt idx="1">
                  <c:v>60.032500000000006</c:v>
                </c:pt>
                <c:pt idx="2">
                  <c:v>191.845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B3-4ED5-815C-024AF0DD0C7C}"/>
            </c:ext>
          </c:extLst>
        </c:ser>
        <c:ser>
          <c:idx val="5"/>
          <c:order val="5"/>
          <c:tx>
            <c:v>high N; high P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'2.DL'!$B$57:$D$57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'2.DL'!$B$69:$D$69</c:f>
              <c:numCache>
                <c:formatCode>0.00</c:formatCode>
                <c:ptCount val="3"/>
                <c:pt idx="0">
                  <c:v>43.314999999999998</c:v>
                </c:pt>
                <c:pt idx="1">
                  <c:v>95.81</c:v>
                </c:pt>
                <c:pt idx="2">
                  <c:v>327.03000000000003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B3-4ED5-815C-024AF0DD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204559"/>
        <c:axId val="164945071"/>
      </c:lineChart>
      <c:dateAx>
        <c:axId val="210204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/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945071"/>
        <c:crosses val="autoZero"/>
        <c:auto val="1"/>
        <c:lblOffset val="100"/>
        <c:baseTimeUnit val="days"/>
        <c:majorUnit val="2"/>
        <c:majorTimeUnit val="days"/>
      </c:dateAx>
      <c:valAx>
        <c:axId val="164945071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Gewicht</a:t>
                </a:r>
                <a:r>
                  <a:rPr lang="de-DE" baseline="0"/>
                  <a:t> in g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20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TM</a:t>
            </a:r>
            <a:r>
              <a:rPr lang="de-DE" baseline="0"/>
              <a:t> der warmen TMT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 N; low 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'2.DL'!$G$58:$I$58</c:f>
              <c:numCache>
                <c:formatCode>General</c:formatCode>
                <c:ptCount val="3"/>
                <c:pt idx="0">
                  <c:v>10.240898145974572</c:v>
                </c:pt>
                <c:pt idx="1">
                  <c:v>13.426995971460133</c:v>
                </c:pt>
                <c:pt idx="2">
                  <c:v>14.346521646177699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6-457B-AB8F-26DF18D4F6B6}"/>
            </c:ext>
          </c:extLst>
        </c:ser>
        <c:ser>
          <c:idx val="1"/>
          <c:order val="1"/>
          <c:tx>
            <c:v>low N; high 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'2.DL'!$G$59:$I$59</c:f>
              <c:numCache>
                <c:formatCode>General</c:formatCode>
                <c:ptCount val="3"/>
                <c:pt idx="0">
                  <c:v>10.018710876713374</c:v>
                </c:pt>
                <c:pt idx="1">
                  <c:v>12.835862514490888</c:v>
                </c:pt>
                <c:pt idx="2">
                  <c:v>14.545128446406377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86-457B-AB8F-26DF18D4F6B6}"/>
            </c:ext>
          </c:extLst>
        </c:ser>
        <c:ser>
          <c:idx val="2"/>
          <c:order val="2"/>
          <c:tx>
            <c:v>med. N; low 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'2.DL'!$G$60:$I$60</c:f>
              <c:numCache>
                <c:formatCode>General</c:formatCode>
                <c:ptCount val="3"/>
                <c:pt idx="0">
                  <c:v>7.7745563275600764</c:v>
                </c:pt>
                <c:pt idx="1">
                  <c:v>9.826323495614032</c:v>
                </c:pt>
                <c:pt idx="2">
                  <c:v>12.640750434232816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86-457B-AB8F-26DF18D4F6B6}"/>
            </c:ext>
          </c:extLst>
        </c:ser>
        <c:ser>
          <c:idx val="3"/>
          <c:order val="3"/>
          <c:tx>
            <c:v>med. N; high 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'2.DL'!$G$61:$I$61</c:f>
              <c:numCache>
                <c:formatCode>General</c:formatCode>
                <c:ptCount val="3"/>
                <c:pt idx="0">
                  <c:v>6.912726514530549</c:v>
                </c:pt>
                <c:pt idx="1">
                  <c:v>9.0917608625935369</c:v>
                </c:pt>
                <c:pt idx="2">
                  <c:v>11.514045691329809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86-457B-AB8F-26DF18D4F6B6}"/>
            </c:ext>
          </c:extLst>
        </c:ser>
        <c:ser>
          <c:idx val="4"/>
          <c:order val="4"/>
          <c:tx>
            <c:v>high N; low 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'2.DL'!$G$62:$I$62</c:f>
              <c:numCache>
                <c:formatCode>General</c:formatCode>
                <c:ptCount val="3"/>
                <c:pt idx="0">
                  <c:v>6.9894056537741527</c:v>
                </c:pt>
                <c:pt idx="1">
                  <c:v>8.6645782240705707</c:v>
                </c:pt>
                <c:pt idx="2">
                  <c:v>11.004485625830869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86-457B-AB8F-26DF18D4F6B6}"/>
            </c:ext>
          </c:extLst>
        </c:ser>
        <c:ser>
          <c:idx val="5"/>
          <c:order val="5"/>
          <c:tx>
            <c:v>high N; high P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'2.DL'!$G$63:$I$63</c:f>
              <c:numCache>
                <c:formatCode>General</c:formatCode>
                <c:ptCount val="3"/>
                <c:pt idx="0">
                  <c:v>5.8756169287501585</c:v>
                </c:pt>
                <c:pt idx="1">
                  <c:v>7.988022397650985</c:v>
                </c:pt>
                <c:pt idx="2">
                  <c:v>9.8819468569700994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86-457B-AB8F-26DF18D4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953200"/>
        <c:axId val="2105961936"/>
      </c:lineChart>
      <c:dateAx>
        <c:axId val="210595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/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5961936"/>
        <c:crosses val="autoZero"/>
        <c:auto val="1"/>
        <c:lblOffset val="100"/>
        <c:baseTimeUnit val="days"/>
        <c:majorUnit val="2"/>
        <c:majorTimeUnit val="days"/>
      </c:dateAx>
      <c:valAx>
        <c:axId val="2105961936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Gewicht</a:t>
                </a:r>
                <a:r>
                  <a:rPr lang="de-DE" baseline="0"/>
                  <a:t> in g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595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TM</a:t>
            </a:r>
            <a:r>
              <a:rPr lang="de-DE" baseline="0"/>
              <a:t> der temperierten TMT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 N; low 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'2.DL'!$G$64:$I$64</c:f>
              <c:numCache>
                <c:formatCode>General</c:formatCode>
                <c:ptCount val="3"/>
                <c:pt idx="0">
                  <c:v>12.092239346674409</c:v>
                </c:pt>
                <c:pt idx="1">
                  <c:v>15.416827572996642</c:v>
                </c:pt>
                <c:pt idx="2">
                  <c:v>17.091039324229897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E-4A42-B005-8366A91E9EC2}"/>
            </c:ext>
          </c:extLst>
        </c:ser>
        <c:ser>
          <c:idx val="1"/>
          <c:order val="1"/>
          <c:tx>
            <c:v>low N; high 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'2.DL'!$G$65:$I$65</c:f>
              <c:numCache>
                <c:formatCode>General</c:formatCode>
                <c:ptCount val="3"/>
                <c:pt idx="0">
                  <c:v>13.161057726127639</c:v>
                </c:pt>
                <c:pt idx="1">
                  <c:v>15.759815217658076</c:v>
                </c:pt>
                <c:pt idx="2">
                  <c:v>15.621439487917741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E-4A42-B005-8366A91E9EC2}"/>
            </c:ext>
          </c:extLst>
        </c:ser>
        <c:ser>
          <c:idx val="2"/>
          <c:order val="2"/>
          <c:tx>
            <c:v>med. N; low 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'2.DL'!$G$66:$I$66</c:f>
              <c:numCache>
                <c:formatCode>General</c:formatCode>
                <c:ptCount val="3"/>
                <c:pt idx="0">
                  <c:v>9.5519768815296953</c:v>
                </c:pt>
                <c:pt idx="1">
                  <c:v>11.700068761724468</c:v>
                </c:pt>
                <c:pt idx="2">
                  <c:v>13.136288987290056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5E-4A42-B005-8366A91E9EC2}"/>
            </c:ext>
          </c:extLst>
        </c:ser>
        <c:ser>
          <c:idx val="3"/>
          <c:order val="3"/>
          <c:tx>
            <c:v>med. N; high 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'2.DL'!$G$67:$I$67</c:f>
              <c:numCache>
                <c:formatCode>General</c:formatCode>
                <c:ptCount val="3"/>
                <c:pt idx="0">
                  <c:v>8.580226965321776</c:v>
                </c:pt>
                <c:pt idx="1">
                  <c:v>10.107075929972776</c:v>
                </c:pt>
                <c:pt idx="2">
                  <c:v>12.432670968271545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5E-4A42-B005-8366A91E9EC2}"/>
            </c:ext>
          </c:extLst>
        </c:ser>
        <c:ser>
          <c:idx val="4"/>
          <c:order val="4"/>
          <c:tx>
            <c:v>high N; low 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'2.DL'!$G$68:$I$68</c:f>
              <c:numCache>
                <c:formatCode>General</c:formatCode>
                <c:ptCount val="3"/>
                <c:pt idx="0">
                  <c:v>9.0596035519072373</c:v>
                </c:pt>
                <c:pt idx="1">
                  <c:v>9.5038524456094002</c:v>
                </c:pt>
                <c:pt idx="2">
                  <c:v>10.828177952477009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5E-4A42-B005-8366A91E9EC2}"/>
            </c:ext>
          </c:extLst>
        </c:ser>
        <c:ser>
          <c:idx val="5"/>
          <c:order val="5"/>
          <c:tx>
            <c:v>high N; high P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'2.DL'!$G$57:$I$57</c:f>
              <c:numCache>
                <c:formatCode>d\-mmm</c:formatCode>
                <c:ptCount val="3"/>
                <c:pt idx="0">
                  <c:v>44685</c:v>
                </c:pt>
                <c:pt idx="1">
                  <c:v>44692</c:v>
                </c:pt>
                <c:pt idx="2">
                  <c:v>44700</c:v>
                </c:pt>
              </c:numCache>
            </c:numRef>
          </c:cat>
          <c:val>
            <c:numRef>
              <c:f>'2.DL'!$G$69:$I$69</c:f>
              <c:numCache>
                <c:formatCode>General</c:formatCode>
                <c:ptCount val="3"/>
                <c:pt idx="0">
                  <c:v>6.9915397299843374</c:v>
                </c:pt>
                <c:pt idx="1">
                  <c:v>8.3621802395828411</c:v>
                </c:pt>
                <c:pt idx="2">
                  <c:v>10.214110526499525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5E-4A42-B005-8366A91E9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347648"/>
        <c:axId val="2106348480"/>
      </c:lineChart>
      <c:dateAx>
        <c:axId val="210634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/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6348480"/>
        <c:crosses val="autoZero"/>
        <c:auto val="1"/>
        <c:lblOffset val="100"/>
        <c:baseTimeUnit val="days"/>
        <c:majorUnit val="2"/>
        <c:majorTimeUnit val="days"/>
      </c:dateAx>
      <c:valAx>
        <c:axId val="21063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Gewicht</a:t>
                </a:r>
                <a:r>
                  <a:rPr lang="de-DE" baseline="0"/>
                  <a:t> in g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634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2</xdr:row>
      <xdr:rowOff>9525</xdr:rowOff>
    </xdr:from>
    <xdr:to>
      <xdr:col>7</xdr:col>
      <xdr:colOff>400049</xdr:colOff>
      <xdr:row>16</xdr:row>
      <xdr:rowOff>85725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0BACCFA-B4AF-45EA-AF89-EFBDAEE56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238124</xdr:colOff>
      <xdr:row>17</xdr:row>
      <xdr:rowOff>38100</xdr:rowOff>
    </xdr:from>
    <xdr:to>
      <xdr:col>7</xdr:col>
      <xdr:colOff>409575</xdr:colOff>
      <xdr:row>31</xdr:row>
      <xdr:rowOff>114300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1FD07C9-996B-4A3E-B9C8-23A09D56C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561974</xdr:colOff>
      <xdr:row>2</xdr:row>
      <xdr:rowOff>9525</xdr:rowOff>
    </xdr:from>
    <xdr:to>
      <xdr:col>14</xdr:col>
      <xdr:colOff>685799</xdr:colOff>
      <xdr:row>16</xdr:row>
      <xdr:rowOff>85725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8649B39-394B-4D2E-BF5A-EEDF1B95D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581025</xdr:colOff>
      <xdr:row>17</xdr:row>
      <xdr:rowOff>0</xdr:rowOff>
    </xdr:from>
    <xdr:to>
      <xdr:col>15</xdr:col>
      <xdr:colOff>9525</xdr:colOff>
      <xdr:row>31</xdr:row>
      <xdr:rowOff>76200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1E8068D1-56C1-4DC0-BFFA-C46C6C887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152398</xdr:colOff>
      <xdr:row>0</xdr:row>
      <xdr:rowOff>161925</xdr:rowOff>
    </xdr:from>
    <xdr:to>
      <xdr:col>7</xdr:col>
      <xdr:colOff>380999</xdr:colOff>
      <xdr:row>15</xdr:row>
      <xdr:rowOff>47625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537BEDF-E74E-4931-AD9B-9EC058DCA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161924</xdr:colOff>
      <xdr:row>15</xdr:row>
      <xdr:rowOff>133350</xdr:rowOff>
    </xdr:from>
    <xdr:to>
      <xdr:col>7</xdr:col>
      <xdr:colOff>400049</xdr:colOff>
      <xdr:row>30</xdr:row>
      <xdr:rowOff>19050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F6D4FAA-D9E1-48E0-A606-8B421790E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600074</xdr:colOff>
      <xdr:row>0</xdr:row>
      <xdr:rowOff>152400</xdr:rowOff>
    </xdr:from>
    <xdr:to>
      <xdr:col>15</xdr:col>
      <xdr:colOff>57149</xdr:colOff>
      <xdr:row>15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A6145AF-13A1-4193-9457-E9253730F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600074</xdr:colOff>
      <xdr:row>15</xdr:row>
      <xdr:rowOff>180975</xdr:rowOff>
    </xdr:from>
    <xdr:to>
      <xdr:col>15</xdr:col>
      <xdr:colOff>76199</xdr:colOff>
      <xdr:row>30</xdr:row>
      <xdr:rowOff>66675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81FC97E1-1CA0-4FE5-9123-874B83F74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7152-2AF4-4AAC-B38D-D46CC52ABAD1}">
  <dimension ref="A2:A3"/>
  <sheetViews>
    <sheetView tabSelected="1" workbookViewId="0">
      <selection activeCell="A4" sqref="A4"/>
    </sheetView>
  </sheetViews>
  <sheetFormatPr baseColWidth="10" defaultRowHeight="15" x14ac:dyDescent="0.25"/>
  <sheetData>
    <row r="2" spans="1:1" x14ac:dyDescent="0.25">
      <c r="A2" t="s">
        <v>29</v>
      </c>
    </row>
    <row r="3" spans="1:1" x14ac:dyDescent="0.25">
      <c r="A3" t="s">
        <v>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58EF-EB04-48C6-9ACC-047B0DC90CEC}">
  <dimension ref="A2:AN69"/>
  <sheetViews>
    <sheetView zoomScale="90" zoomScaleNormal="90" workbookViewId="0">
      <selection activeCell="I13" sqref="I13:I16"/>
    </sheetView>
  </sheetViews>
  <sheetFormatPr baseColWidth="10" defaultRowHeight="15" x14ac:dyDescent="0.25"/>
  <cols>
    <col min="1" max="1" width="7.85546875" customWidth="1"/>
    <col min="2" max="2" width="7" customWidth="1"/>
    <col min="3" max="32" width="7.7109375" customWidth="1"/>
  </cols>
  <sheetData>
    <row r="2" spans="1:40" ht="15.75" thickBot="1" x14ac:dyDescent="0.3">
      <c r="A2" s="48"/>
      <c r="B2" s="49"/>
      <c r="C2" s="46" t="s">
        <v>10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60"/>
    </row>
    <row r="3" spans="1:40" x14ac:dyDescent="0.25">
      <c r="A3" s="50"/>
      <c r="B3" s="51"/>
      <c r="C3" s="53">
        <v>44659</v>
      </c>
      <c r="D3" s="54"/>
      <c r="E3" s="54"/>
      <c r="F3" s="54"/>
      <c r="G3" s="54"/>
      <c r="H3" s="54"/>
      <c r="I3" s="54"/>
      <c r="J3" s="54"/>
      <c r="K3" s="54"/>
      <c r="L3" s="55"/>
      <c r="M3" s="61">
        <v>44671</v>
      </c>
      <c r="N3" s="62"/>
      <c r="O3" s="62"/>
      <c r="P3" s="62"/>
      <c r="Q3" s="62"/>
      <c r="R3" s="62"/>
      <c r="S3" s="62"/>
      <c r="T3" s="62"/>
      <c r="U3" s="62"/>
      <c r="V3" s="63"/>
      <c r="W3" s="61">
        <v>44676</v>
      </c>
      <c r="X3" s="62"/>
      <c r="Y3" s="62"/>
      <c r="Z3" s="62"/>
      <c r="AA3" s="62"/>
      <c r="AB3" s="62"/>
      <c r="AC3" s="62"/>
      <c r="AD3" s="62"/>
      <c r="AE3" s="62"/>
      <c r="AF3" s="63"/>
    </row>
    <row r="4" spans="1:40" ht="46.5" thickBot="1" x14ac:dyDescent="0.35">
      <c r="A4" s="46" t="s">
        <v>9</v>
      </c>
      <c r="B4" s="47"/>
      <c r="C4" s="14" t="s">
        <v>8</v>
      </c>
      <c r="D4" s="32" t="s">
        <v>7</v>
      </c>
      <c r="E4" s="32" t="s">
        <v>6</v>
      </c>
      <c r="F4" s="31" t="s">
        <v>5</v>
      </c>
      <c r="G4" s="32" t="s">
        <v>12</v>
      </c>
      <c r="H4" s="31" t="s">
        <v>4</v>
      </c>
      <c r="I4" s="32" t="s">
        <v>2</v>
      </c>
      <c r="J4" s="31" t="s">
        <v>3</v>
      </c>
      <c r="K4" s="39" t="s">
        <v>14</v>
      </c>
      <c r="L4" s="29" t="s">
        <v>1</v>
      </c>
      <c r="M4" s="14" t="s">
        <v>8</v>
      </c>
      <c r="N4" s="32" t="s">
        <v>7</v>
      </c>
      <c r="O4" s="32" t="s">
        <v>6</v>
      </c>
      <c r="P4" s="31" t="s">
        <v>5</v>
      </c>
      <c r="Q4" s="32" t="s">
        <v>12</v>
      </c>
      <c r="R4" s="31" t="s">
        <v>4</v>
      </c>
      <c r="S4" s="32" t="s">
        <v>2</v>
      </c>
      <c r="T4" s="31" t="s">
        <v>3</v>
      </c>
      <c r="U4" s="39" t="s">
        <v>14</v>
      </c>
      <c r="V4" s="29" t="s">
        <v>1</v>
      </c>
      <c r="W4" s="14" t="s">
        <v>8</v>
      </c>
      <c r="X4" s="32" t="s">
        <v>7</v>
      </c>
      <c r="Y4" s="32" t="s">
        <v>6</v>
      </c>
      <c r="Z4" s="31" t="s">
        <v>5</v>
      </c>
      <c r="AA4" s="32" t="s">
        <v>12</v>
      </c>
      <c r="AB4" s="31" t="s">
        <v>4</v>
      </c>
      <c r="AC4" s="30" t="s">
        <v>2</v>
      </c>
      <c r="AD4" s="31" t="s">
        <v>3</v>
      </c>
      <c r="AE4" s="39" t="s">
        <v>14</v>
      </c>
      <c r="AF4" s="29" t="s">
        <v>1</v>
      </c>
      <c r="AH4" s="28" t="s">
        <v>11</v>
      </c>
      <c r="AL4" s="28" t="s">
        <v>0</v>
      </c>
    </row>
    <row r="5" spans="1:40" x14ac:dyDescent="0.25">
      <c r="A5" s="17" t="s">
        <v>21</v>
      </c>
      <c r="B5" s="16">
        <v>1</v>
      </c>
      <c r="C5" s="10">
        <v>18</v>
      </c>
      <c r="D5" s="1">
        <v>78.08</v>
      </c>
      <c r="E5" s="1">
        <v>46.72</v>
      </c>
      <c r="F5" s="1">
        <f t="shared" ref="F5:F52" si="0">D5-AJ5</f>
        <v>33.35</v>
      </c>
      <c r="G5" s="44">
        <f>AVERAGE(F5:F8)</f>
        <v>36.512500000000003</v>
      </c>
      <c r="H5" s="1">
        <f t="shared" ref="H5:H52" si="1">E5-AJ5</f>
        <v>1.990000000000002</v>
      </c>
      <c r="I5" s="44">
        <f>AVERAGE(H5:H8)</f>
        <v>2.1374999999999993</v>
      </c>
      <c r="J5" s="8">
        <f t="shared" ref="J5:J52" si="2">100/F5*H5</f>
        <v>5.9670164917541282</v>
      </c>
      <c r="K5" s="44">
        <f>AVERAGE(J5:J8)</f>
        <v>5.8598766685005463</v>
      </c>
      <c r="L5" s="56">
        <f>_xlfn.STDEV.P(H5:H8)</f>
        <v>8.6710725980121806E-2</v>
      </c>
      <c r="M5" s="10">
        <v>18</v>
      </c>
      <c r="N5" s="1">
        <v>112.17</v>
      </c>
      <c r="O5" s="1">
        <v>51.43</v>
      </c>
      <c r="P5" s="1">
        <f t="shared" ref="P5:P15" si="3">N5-AJ5</f>
        <v>67.44</v>
      </c>
      <c r="Q5" s="44">
        <f>AVERAGE(P5:P8)</f>
        <v>67.717500000000001</v>
      </c>
      <c r="R5" s="1">
        <f t="shared" ref="R5:R52" si="4">O5-AJ5</f>
        <v>6.7000000000000028</v>
      </c>
      <c r="S5" s="44">
        <f>AVERAGE(R5:R8)</f>
        <v>6.1175000000000015</v>
      </c>
      <c r="T5" s="8">
        <f t="shared" ref="T5:T52" si="5">100/P5*R5</f>
        <v>9.9347568208778227</v>
      </c>
      <c r="U5" s="44">
        <f>AVERAGE(T5:T8)</f>
        <v>9.0762580655147289</v>
      </c>
      <c r="V5" s="56">
        <f>_xlfn.STDEV.P(R5:R8)</f>
        <v>0.83028233149935204</v>
      </c>
      <c r="W5" s="10">
        <v>47</v>
      </c>
      <c r="X5" s="1">
        <v>285.10000000000002</v>
      </c>
      <c r="Y5" s="1">
        <v>115.3</v>
      </c>
      <c r="Z5" s="1">
        <f t="shared" ref="Z5:Z52" si="6">X5-AN5</f>
        <v>190.56</v>
      </c>
      <c r="AA5" s="44">
        <f>AVERAGE(Z5:Z8)</f>
        <v>205.22000000000003</v>
      </c>
      <c r="AB5" s="1">
        <f t="shared" ref="AB5:AB52" si="7">Y5-AN5</f>
        <v>20.759999999999991</v>
      </c>
      <c r="AC5" s="44">
        <f>AVERAGE(AB5:AB8)</f>
        <v>21.304999999999996</v>
      </c>
      <c r="AD5" s="8">
        <f t="shared" ref="AD5:AD52" si="8">100/Z5*AB5</f>
        <v>10.894206549118383</v>
      </c>
      <c r="AE5" s="44">
        <f>AVERAGE(AD5:AD8)</f>
        <v>10.391948500169569</v>
      </c>
      <c r="AF5" s="56">
        <f>_xlfn.STDEV.P(AB5:AB8)</f>
        <v>0.74533549492829576</v>
      </c>
      <c r="AH5" s="17">
        <v>1</v>
      </c>
      <c r="AI5" s="27">
        <v>1</v>
      </c>
      <c r="AJ5" s="26">
        <v>44.73</v>
      </c>
      <c r="AL5" s="17">
        <v>1</v>
      </c>
      <c r="AM5" s="27">
        <v>1</v>
      </c>
      <c r="AN5" s="26">
        <v>94.54</v>
      </c>
    </row>
    <row r="6" spans="1:40" x14ac:dyDescent="0.25">
      <c r="A6" s="14"/>
      <c r="B6" s="13">
        <v>2</v>
      </c>
      <c r="C6" s="10">
        <v>18</v>
      </c>
      <c r="D6" s="1">
        <v>82.6</v>
      </c>
      <c r="E6" s="1">
        <v>48.51</v>
      </c>
      <c r="F6" s="1">
        <f t="shared" si="0"/>
        <v>36.249999999999993</v>
      </c>
      <c r="G6" s="44"/>
      <c r="H6" s="1">
        <f t="shared" si="1"/>
        <v>2.1599999999999966</v>
      </c>
      <c r="I6" s="44"/>
      <c r="J6" s="8">
        <f t="shared" si="2"/>
        <v>5.9586206896551648</v>
      </c>
      <c r="K6" s="44"/>
      <c r="L6" s="57"/>
      <c r="M6" s="10">
        <v>18</v>
      </c>
      <c r="N6" s="1">
        <v>117.45</v>
      </c>
      <c r="O6" s="1">
        <v>51.06</v>
      </c>
      <c r="P6" s="1">
        <f t="shared" si="3"/>
        <v>71.099999999999994</v>
      </c>
      <c r="Q6" s="44"/>
      <c r="R6" s="1">
        <f t="shared" si="4"/>
        <v>4.7100000000000009</v>
      </c>
      <c r="S6" s="44"/>
      <c r="T6" s="8">
        <f t="shared" si="5"/>
        <v>6.6244725738396646</v>
      </c>
      <c r="U6" s="44"/>
      <c r="V6" s="57"/>
      <c r="W6" s="10">
        <v>48</v>
      </c>
      <c r="X6" s="1">
        <v>305.52999999999997</v>
      </c>
      <c r="Y6" s="1">
        <v>116.93</v>
      </c>
      <c r="Z6" s="1">
        <f t="shared" si="6"/>
        <v>210.89</v>
      </c>
      <c r="AA6" s="44"/>
      <c r="AB6" s="1">
        <f t="shared" si="7"/>
        <v>22.290000000000006</v>
      </c>
      <c r="AC6" s="44"/>
      <c r="AD6" s="8">
        <f t="shared" si="8"/>
        <v>10.569491203945189</v>
      </c>
      <c r="AE6" s="44"/>
      <c r="AF6" s="57"/>
      <c r="AH6" s="14"/>
      <c r="AI6" s="22">
        <v>2</v>
      </c>
      <c r="AJ6" s="21">
        <v>46.35</v>
      </c>
      <c r="AL6" s="14"/>
      <c r="AM6" s="22">
        <v>2</v>
      </c>
      <c r="AN6" s="21">
        <v>94.64</v>
      </c>
    </row>
    <row r="7" spans="1:40" x14ac:dyDescent="0.25">
      <c r="A7" s="14"/>
      <c r="B7" s="13">
        <v>3</v>
      </c>
      <c r="C7" s="10">
        <v>18</v>
      </c>
      <c r="D7" s="1">
        <v>82.04</v>
      </c>
      <c r="E7" s="1">
        <v>46.64</v>
      </c>
      <c r="F7" s="1">
        <f t="shared" si="0"/>
        <v>37.600000000000009</v>
      </c>
      <c r="G7" s="44"/>
      <c r="H7" s="1">
        <f t="shared" si="1"/>
        <v>2.2000000000000028</v>
      </c>
      <c r="I7" s="44"/>
      <c r="J7" s="8">
        <f t="shared" si="2"/>
        <v>5.8510638297872406</v>
      </c>
      <c r="K7" s="44"/>
      <c r="L7" s="57"/>
      <c r="M7" s="10">
        <v>18</v>
      </c>
      <c r="N7" s="1">
        <v>110.03</v>
      </c>
      <c r="O7" s="1">
        <v>51.19</v>
      </c>
      <c r="P7" s="1">
        <f t="shared" si="3"/>
        <v>65.59</v>
      </c>
      <c r="Q7" s="44"/>
      <c r="R7" s="1">
        <f t="shared" si="4"/>
        <v>6.75</v>
      </c>
      <c r="S7" s="44"/>
      <c r="T7" s="8">
        <f t="shared" si="5"/>
        <v>10.291202927275499</v>
      </c>
      <c r="U7" s="44"/>
      <c r="V7" s="57"/>
      <c r="W7" s="10">
        <v>48</v>
      </c>
      <c r="X7" s="1">
        <v>307.04000000000002</v>
      </c>
      <c r="Y7" s="1">
        <v>117.05</v>
      </c>
      <c r="Z7" s="1">
        <f t="shared" si="6"/>
        <v>211.73000000000002</v>
      </c>
      <c r="AA7" s="44"/>
      <c r="AB7" s="1">
        <f t="shared" si="7"/>
        <v>21.739999999999995</v>
      </c>
      <c r="AC7" s="44"/>
      <c r="AD7" s="8">
        <f t="shared" si="8"/>
        <v>10.267793888442826</v>
      </c>
      <c r="AE7" s="44"/>
      <c r="AF7" s="57"/>
      <c r="AH7" s="14"/>
      <c r="AI7" s="22">
        <v>3</v>
      </c>
      <c r="AJ7" s="21">
        <v>44.44</v>
      </c>
      <c r="AL7" s="14"/>
      <c r="AM7" s="22">
        <v>3</v>
      </c>
      <c r="AN7" s="21">
        <v>95.31</v>
      </c>
    </row>
    <row r="8" spans="1:40" ht="15.75" thickBot="1" x14ac:dyDescent="0.3">
      <c r="A8" s="6"/>
      <c r="B8" s="5">
        <v>4</v>
      </c>
      <c r="C8" s="10">
        <v>18</v>
      </c>
      <c r="D8" s="1">
        <v>83.56</v>
      </c>
      <c r="E8" s="1">
        <v>46.91</v>
      </c>
      <c r="F8" s="1">
        <f t="shared" si="0"/>
        <v>38.85</v>
      </c>
      <c r="G8" s="44"/>
      <c r="H8" s="1">
        <f t="shared" si="1"/>
        <v>2.1999999999999957</v>
      </c>
      <c r="I8" s="44"/>
      <c r="J8" s="8">
        <f t="shared" si="2"/>
        <v>5.6628056628056518</v>
      </c>
      <c r="K8" s="44"/>
      <c r="L8" s="58"/>
      <c r="M8" s="10">
        <v>18</v>
      </c>
      <c r="N8" s="1">
        <v>111.45</v>
      </c>
      <c r="O8" s="1">
        <v>51.02</v>
      </c>
      <c r="P8" s="1">
        <f t="shared" si="3"/>
        <v>66.740000000000009</v>
      </c>
      <c r="Q8" s="44"/>
      <c r="R8" s="1">
        <f t="shared" si="4"/>
        <v>6.3100000000000023</v>
      </c>
      <c r="S8" s="44"/>
      <c r="T8" s="8">
        <f t="shared" si="5"/>
        <v>9.4545999400659291</v>
      </c>
      <c r="U8" s="44"/>
      <c r="V8" s="58"/>
      <c r="W8" s="10">
        <v>48</v>
      </c>
      <c r="X8" s="1">
        <v>304.04000000000002</v>
      </c>
      <c r="Y8" s="1">
        <v>116.77</v>
      </c>
      <c r="Z8" s="1">
        <f t="shared" si="6"/>
        <v>207.70000000000002</v>
      </c>
      <c r="AA8" s="44"/>
      <c r="AB8" s="1">
        <f t="shared" si="7"/>
        <v>20.429999999999993</v>
      </c>
      <c r="AC8" s="44"/>
      <c r="AD8" s="8">
        <f t="shared" si="8"/>
        <v>9.8363023591718779</v>
      </c>
      <c r="AE8" s="44"/>
      <c r="AF8" s="58"/>
      <c r="AH8" s="6"/>
      <c r="AI8" s="20">
        <v>4</v>
      </c>
      <c r="AJ8" s="19">
        <v>44.71</v>
      </c>
      <c r="AL8" s="6"/>
      <c r="AM8" s="20">
        <v>4</v>
      </c>
      <c r="AN8" s="19">
        <v>96.34</v>
      </c>
    </row>
    <row r="9" spans="1:40" x14ac:dyDescent="0.25">
      <c r="A9" s="17" t="s">
        <v>22</v>
      </c>
      <c r="B9" s="16">
        <v>1</v>
      </c>
      <c r="C9" s="10">
        <v>18</v>
      </c>
      <c r="D9" s="1">
        <v>76.239999999999995</v>
      </c>
      <c r="E9" s="1">
        <v>46.57</v>
      </c>
      <c r="F9" s="1">
        <f t="shared" si="0"/>
        <v>31.629999999999995</v>
      </c>
      <c r="G9" s="44">
        <f t="shared" ref="G9" si="9">AVERAGE(F9:F12)</f>
        <v>38.792500000000004</v>
      </c>
      <c r="H9" s="1">
        <f t="shared" si="1"/>
        <v>1.9600000000000009</v>
      </c>
      <c r="I9" s="44">
        <f>AVERAGE(H9:H12)</f>
        <v>2.2025000000000006</v>
      </c>
      <c r="J9" s="8">
        <f t="shared" si="2"/>
        <v>6.1966487511855863</v>
      </c>
      <c r="K9" s="44">
        <f t="shared" ref="K9" si="10">AVERAGE(J9:J12)</f>
        <v>5.6944218349393072</v>
      </c>
      <c r="L9" s="56">
        <f>_xlfn.STDEV.P(H9:H12)</f>
        <v>0.28507674405324379</v>
      </c>
      <c r="M9" s="10">
        <v>18</v>
      </c>
      <c r="N9" s="1">
        <v>120.94</v>
      </c>
      <c r="O9" s="1">
        <v>51.69</v>
      </c>
      <c r="P9" s="1">
        <f t="shared" si="3"/>
        <v>76.33</v>
      </c>
      <c r="Q9" s="44">
        <f t="shared" ref="Q9" si="11">AVERAGE(P9:P12)</f>
        <v>75.97</v>
      </c>
      <c r="R9" s="1">
        <f t="shared" si="4"/>
        <v>7.0799999999999983</v>
      </c>
      <c r="S9" s="44">
        <f>AVERAGE(R9:R12)</f>
        <v>7.1174999999999997</v>
      </c>
      <c r="T9" s="8">
        <f t="shared" si="5"/>
        <v>9.2755142145945229</v>
      </c>
      <c r="U9" s="44">
        <f t="shared" ref="U9" si="12">AVERAGE(T9:T12)</f>
        <v>9.3736987914924974</v>
      </c>
      <c r="V9" s="56">
        <f>_xlfn.STDEV.P(R9:R12)</f>
        <v>4.493050188902882E-2</v>
      </c>
      <c r="W9" s="10">
        <v>47</v>
      </c>
      <c r="X9" s="1">
        <v>302.83999999999997</v>
      </c>
      <c r="Y9" s="1">
        <v>116.97</v>
      </c>
      <c r="Z9" s="1">
        <f t="shared" si="6"/>
        <v>208.03999999999996</v>
      </c>
      <c r="AA9" s="44">
        <f t="shared" ref="AA9" si="13">AVERAGE(Z9:Z12)</f>
        <v>226</v>
      </c>
      <c r="AB9" s="1">
        <f t="shared" si="7"/>
        <v>22.17</v>
      </c>
      <c r="AC9" s="44">
        <f>AVERAGE(AB9:AB12)</f>
        <v>22.912500000000005</v>
      </c>
      <c r="AD9" s="8">
        <f t="shared" si="8"/>
        <v>10.656604499134785</v>
      </c>
      <c r="AE9" s="44">
        <f t="shared" ref="AE9" si="14">AVERAGE(AD9:AD12)</f>
        <v>10.156374357790359</v>
      </c>
      <c r="AF9" s="56">
        <f>_xlfn.STDEV.P(AB9:AB12)</f>
        <v>1.0156863443012321</v>
      </c>
      <c r="AH9" s="25">
        <v>2</v>
      </c>
      <c r="AI9" s="24">
        <v>1</v>
      </c>
      <c r="AJ9" s="23">
        <v>44.61</v>
      </c>
      <c r="AL9" s="25">
        <v>2</v>
      </c>
      <c r="AM9" s="24">
        <v>1</v>
      </c>
      <c r="AN9" s="23">
        <v>94.8</v>
      </c>
    </row>
    <row r="10" spans="1:40" x14ac:dyDescent="0.25">
      <c r="A10" s="14"/>
      <c r="B10" s="13">
        <v>2</v>
      </c>
      <c r="C10" s="10">
        <v>18</v>
      </c>
      <c r="D10" s="1">
        <v>82.92</v>
      </c>
      <c r="E10" s="1">
        <v>48.25</v>
      </c>
      <c r="F10" s="1">
        <f t="shared" si="0"/>
        <v>36.620000000000005</v>
      </c>
      <c r="G10" s="44"/>
      <c r="H10" s="1">
        <f t="shared" si="1"/>
        <v>1.9500000000000028</v>
      </c>
      <c r="I10" s="44"/>
      <c r="J10" s="8">
        <f t="shared" si="2"/>
        <v>5.3249590387766315</v>
      </c>
      <c r="K10" s="44"/>
      <c r="L10" s="57"/>
      <c r="M10" s="10">
        <v>18</v>
      </c>
      <c r="N10" s="1">
        <v>124.44</v>
      </c>
      <c r="O10" s="1">
        <v>53.37</v>
      </c>
      <c r="P10" s="1">
        <f t="shared" si="3"/>
        <v>78.14</v>
      </c>
      <c r="Q10" s="44"/>
      <c r="R10" s="1">
        <f t="shared" si="4"/>
        <v>7.07</v>
      </c>
      <c r="S10" s="44"/>
      <c r="T10" s="8">
        <f t="shared" si="5"/>
        <v>9.0478628103404155</v>
      </c>
      <c r="U10" s="44"/>
      <c r="V10" s="57"/>
      <c r="W10" s="10">
        <v>48</v>
      </c>
      <c r="X10" s="1">
        <v>334.27</v>
      </c>
      <c r="Y10" s="1">
        <v>116.79</v>
      </c>
      <c r="Z10" s="1">
        <f t="shared" si="6"/>
        <v>240.07</v>
      </c>
      <c r="AA10" s="44"/>
      <c r="AB10" s="1">
        <f t="shared" si="7"/>
        <v>22.590000000000003</v>
      </c>
      <c r="AC10" s="44"/>
      <c r="AD10" s="8">
        <f t="shared" si="8"/>
        <v>9.4097554879826735</v>
      </c>
      <c r="AE10" s="44"/>
      <c r="AF10" s="57"/>
      <c r="AH10" s="14"/>
      <c r="AI10" s="22">
        <v>2</v>
      </c>
      <c r="AJ10" s="21">
        <v>46.3</v>
      </c>
      <c r="AL10" s="14"/>
      <c r="AM10" s="22">
        <v>2</v>
      </c>
      <c r="AN10" s="21">
        <v>94.2</v>
      </c>
    </row>
    <row r="11" spans="1:40" x14ac:dyDescent="0.25">
      <c r="A11" s="14"/>
      <c r="B11" s="13">
        <v>3</v>
      </c>
      <c r="C11" s="10">
        <v>18</v>
      </c>
      <c r="D11" s="1">
        <v>90.16</v>
      </c>
      <c r="E11" s="1">
        <v>47.41</v>
      </c>
      <c r="F11" s="1">
        <f t="shared" si="0"/>
        <v>45.4</v>
      </c>
      <c r="G11" s="44"/>
      <c r="H11" s="1">
        <f t="shared" si="1"/>
        <v>2.6499999999999986</v>
      </c>
      <c r="I11" s="44"/>
      <c r="J11" s="8">
        <f t="shared" si="2"/>
        <v>5.8370044052863408</v>
      </c>
      <c r="K11" s="44"/>
      <c r="L11" s="57"/>
      <c r="M11" s="10">
        <v>18</v>
      </c>
      <c r="N11" s="1">
        <v>120.46</v>
      </c>
      <c r="O11" s="1">
        <v>51.94</v>
      </c>
      <c r="P11" s="1">
        <f t="shared" si="3"/>
        <v>75.699999999999989</v>
      </c>
      <c r="Q11" s="44"/>
      <c r="R11" s="1">
        <f t="shared" si="4"/>
        <v>7.18</v>
      </c>
      <c r="S11" s="44"/>
      <c r="T11" s="8">
        <f t="shared" si="5"/>
        <v>9.4848084544253641</v>
      </c>
      <c r="U11" s="44"/>
      <c r="V11" s="57"/>
      <c r="W11" s="10">
        <v>48</v>
      </c>
      <c r="X11" s="1">
        <v>325.35000000000002</v>
      </c>
      <c r="Y11" s="1">
        <v>118.43</v>
      </c>
      <c r="Z11" s="1">
        <f t="shared" si="6"/>
        <v>231.57000000000002</v>
      </c>
      <c r="AA11" s="44"/>
      <c r="AB11" s="1">
        <f t="shared" si="7"/>
        <v>24.650000000000006</v>
      </c>
      <c r="AC11" s="44"/>
      <c r="AD11" s="8">
        <f t="shared" si="8"/>
        <v>10.644729455456234</v>
      </c>
      <c r="AE11" s="44"/>
      <c r="AF11" s="57"/>
      <c r="AH11" s="14"/>
      <c r="AI11" s="22">
        <v>3</v>
      </c>
      <c r="AJ11" s="21">
        <v>44.76</v>
      </c>
      <c r="AL11" s="14"/>
      <c r="AM11" s="22">
        <v>3</v>
      </c>
      <c r="AN11" s="21">
        <v>93.78</v>
      </c>
    </row>
    <row r="12" spans="1:40" ht="15.75" thickBot="1" x14ac:dyDescent="0.3">
      <c r="A12" s="6"/>
      <c r="B12" s="5">
        <v>4</v>
      </c>
      <c r="C12" s="10">
        <v>18</v>
      </c>
      <c r="D12" s="1">
        <v>86.22</v>
      </c>
      <c r="E12" s="1">
        <v>46.95</v>
      </c>
      <c r="F12" s="1">
        <f t="shared" si="0"/>
        <v>41.519999999999996</v>
      </c>
      <c r="G12" s="44"/>
      <c r="H12" s="1">
        <f t="shared" si="1"/>
        <v>2.25</v>
      </c>
      <c r="I12" s="44"/>
      <c r="J12" s="8">
        <f t="shared" si="2"/>
        <v>5.4190751445086711</v>
      </c>
      <c r="K12" s="44"/>
      <c r="L12" s="58"/>
      <c r="M12" s="10">
        <v>18</v>
      </c>
      <c r="N12" s="1">
        <v>118.41</v>
      </c>
      <c r="O12" s="1">
        <v>51.84</v>
      </c>
      <c r="P12" s="1">
        <f t="shared" si="3"/>
        <v>73.709999999999994</v>
      </c>
      <c r="Q12" s="44"/>
      <c r="R12" s="1">
        <f t="shared" si="4"/>
        <v>7.1400000000000006</v>
      </c>
      <c r="S12" s="44"/>
      <c r="T12" s="8">
        <f t="shared" si="5"/>
        <v>9.6866096866096889</v>
      </c>
      <c r="U12" s="44"/>
      <c r="V12" s="58"/>
      <c r="W12" s="10">
        <v>46</v>
      </c>
      <c r="X12" s="1">
        <v>318.27999999999997</v>
      </c>
      <c r="Y12" s="1">
        <v>116.2</v>
      </c>
      <c r="Z12" s="1">
        <f t="shared" si="6"/>
        <v>224.32</v>
      </c>
      <c r="AA12" s="44"/>
      <c r="AB12" s="1">
        <f t="shared" si="7"/>
        <v>22.240000000000009</v>
      </c>
      <c r="AC12" s="44"/>
      <c r="AD12" s="8">
        <f t="shared" si="8"/>
        <v>9.9144079885877368</v>
      </c>
      <c r="AE12" s="44"/>
      <c r="AF12" s="58"/>
      <c r="AH12" s="6"/>
      <c r="AI12" s="20">
        <v>4</v>
      </c>
      <c r="AJ12" s="19">
        <v>44.7</v>
      </c>
      <c r="AL12" s="6"/>
      <c r="AM12" s="20">
        <v>4</v>
      </c>
      <c r="AN12" s="19">
        <v>93.96</v>
      </c>
    </row>
    <row r="13" spans="1:40" x14ac:dyDescent="0.25">
      <c r="A13" s="17" t="s">
        <v>17</v>
      </c>
      <c r="B13" s="16">
        <v>1</v>
      </c>
      <c r="C13" s="10">
        <v>18</v>
      </c>
      <c r="D13" s="1">
        <v>80.989999999999995</v>
      </c>
      <c r="E13" s="1">
        <v>46.76</v>
      </c>
      <c r="F13" s="1">
        <f t="shared" si="0"/>
        <v>36.249999999999993</v>
      </c>
      <c r="G13" s="44">
        <f t="shared" ref="G13" si="15">AVERAGE(F13:F16)</f>
        <v>40.132500000000007</v>
      </c>
      <c r="H13" s="1">
        <f t="shared" si="1"/>
        <v>2.019999999999996</v>
      </c>
      <c r="I13" s="44">
        <f>AVERAGE(H13:H16)</f>
        <v>2.2124999999999986</v>
      </c>
      <c r="J13" s="8">
        <f t="shared" si="2"/>
        <v>5.572413793103439</v>
      </c>
      <c r="K13" s="44">
        <f t="shared" ref="K13" si="16">AVERAGE(J13:J16)</f>
        <v>5.5139118796094913</v>
      </c>
      <c r="L13" s="56">
        <f>_xlfn.STDEV.P(H13:H16)</f>
        <v>0.17711225254058621</v>
      </c>
      <c r="M13" s="10">
        <v>18</v>
      </c>
      <c r="N13" s="1">
        <v>131.19</v>
      </c>
      <c r="O13" s="1">
        <v>52.4</v>
      </c>
      <c r="P13" s="1">
        <f t="shared" si="3"/>
        <v>86.449999999999989</v>
      </c>
      <c r="Q13" s="44">
        <f t="shared" ref="Q13" si="17">AVERAGE(P13:P16)</f>
        <v>88.094999999999999</v>
      </c>
      <c r="R13" s="1">
        <f t="shared" si="4"/>
        <v>7.6599999999999966</v>
      </c>
      <c r="S13" s="44">
        <f>AVERAGE(R13:R16)</f>
        <v>7.6599999999999984</v>
      </c>
      <c r="T13" s="8">
        <f t="shared" si="5"/>
        <v>8.8606130711393849</v>
      </c>
      <c r="U13" s="44">
        <f t="shared" ref="U13" si="18">AVERAGE(T13:T16)</f>
        <v>8.6858314921573463</v>
      </c>
      <c r="V13" s="56">
        <f>_xlfn.STDEV.P(R13:R16)</f>
        <v>0.87569972022377918</v>
      </c>
      <c r="W13" s="10">
        <v>48</v>
      </c>
      <c r="X13" s="1">
        <v>375.42</v>
      </c>
      <c r="Y13" s="1">
        <v>119.55</v>
      </c>
      <c r="Z13" s="1">
        <f t="shared" si="6"/>
        <v>281.68</v>
      </c>
      <c r="AA13" s="44">
        <f t="shared" ref="AA13" si="19">AVERAGE(Z13:Z16)</f>
        <v>289.09750000000003</v>
      </c>
      <c r="AB13" s="1">
        <f t="shared" si="7"/>
        <v>25.810000000000002</v>
      </c>
      <c r="AC13" s="44">
        <f>AVERAGE(AB13:AB16)</f>
        <v>28.344999999999999</v>
      </c>
      <c r="AD13" s="8">
        <f t="shared" si="8"/>
        <v>9.1628798636750926</v>
      </c>
      <c r="AE13" s="44">
        <f t="shared" ref="AE13" si="20">AVERAGE(AD13:AD16)</f>
        <v>9.8060279120393883</v>
      </c>
      <c r="AF13" s="56">
        <f>_xlfn.STDEV.P(AB13:AB16)</f>
        <v>1.7831222616522948</v>
      </c>
      <c r="AH13" s="17">
        <v>3</v>
      </c>
      <c r="AI13" s="16">
        <v>1</v>
      </c>
      <c r="AJ13" s="15">
        <v>44.74</v>
      </c>
      <c r="AL13" s="17">
        <v>3</v>
      </c>
      <c r="AM13" s="16">
        <v>1</v>
      </c>
      <c r="AN13" s="15">
        <v>93.74</v>
      </c>
    </row>
    <row r="14" spans="1:40" x14ac:dyDescent="0.25">
      <c r="A14" s="14"/>
      <c r="B14" s="13">
        <v>2</v>
      </c>
      <c r="C14" s="10">
        <v>18</v>
      </c>
      <c r="D14" s="1">
        <v>83.15</v>
      </c>
      <c r="E14" s="1">
        <v>46.73</v>
      </c>
      <c r="F14" s="1">
        <f t="shared" si="0"/>
        <v>38.500000000000007</v>
      </c>
      <c r="G14" s="44"/>
      <c r="H14" s="1">
        <f t="shared" si="1"/>
        <v>2.0799999999999983</v>
      </c>
      <c r="I14" s="44"/>
      <c r="J14" s="8">
        <f t="shared" si="2"/>
        <v>5.4025974025973973</v>
      </c>
      <c r="K14" s="44"/>
      <c r="L14" s="57"/>
      <c r="M14" s="10">
        <v>18</v>
      </c>
      <c r="N14" s="1">
        <v>133.84</v>
      </c>
      <c r="O14" s="1">
        <v>52.64</v>
      </c>
      <c r="P14" s="1">
        <f t="shared" si="3"/>
        <v>89.19</v>
      </c>
      <c r="Q14" s="44"/>
      <c r="R14" s="1">
        <f t="shared" si="4"/>
        <v>7.990000000000002</v>
      </c>
      <c r="S14" s="44"/>
      <c r="T14" s="8">
        <f t="shared" si="5"/>
        <v>8.9584034084538651</v>
      </c>
      <c r="U14" s="44"/>
      <c r="V14" s="57"/>
      <c r="W14" s="10">
        <v>48</v>
      </c>
      <c r="X14" s="1">
        <v>375.19</v>
      </c>
      <c r="Y14" s="1">
        <v>123.21</v>
      </c>
      <c r="Z14" s="1">
        <f t="shared" si="6"/>
        <v>280.97000000000003</v>
      </c>
      <c r="AA14" s="44"/>
      <c r="AB14" s="1">
        <f t="shared" si="7"/>
        <v>28.989999999999995</v>
      </c>
      <c r="AC14" s="44"/>
      <c r="AD14" s="8">
        <f t="shared" si="8"/>
        <v>10.317827526070396</v>
      </c>
      <c r="AE14" s="44"/>
      <c r="AF14" s="57"/>
      <c r="AH14" s="14"/>
      <c r="AI14" s="13">
        <v>2</v>
      </c>
      <c r="AJ14" s="12">
        <v>44.65</v>
      </c>
      <c r="AL14" s="14"/>
      <c r="AM14" s="13">
        <v>2</v>
      </c>
      <c r="AN14" s="12">
        <v>94.22</v>
      </c>
    </row>
    <row r="15" spans="1:40" x14ac:dyDescent="0.25">
      <c r="A15" s="14"/>
      <c r="B15" s="13">
        <v>3</v>
      </c>
      <c r="C15" s="10">
        <v>18</v>
      </c>
      <c r="D15" s="1">
        <v>89.93</v>
      </c>
      <c r="E15" s="1">
        <v>47.35</v>
      </c>
      <c r="F15" s="1">
        <f t="shared" si="0"/>
        <v>45.050000000000004</v>
      </c>
      <c r="G15" s="44"/>
      <c r="H15" s="1">
        <f t="shared" si="1"/>
        <v>2.4699999999999989</v>
      </c>
      <c r="I15" s="44"/>
      <c r="J15" s="8">
        <f t="shared" si="2"/>
        <v>5.48279689234184</v>
      </c>
      <c r="K15" s="44"/>
      <c r="L15" s="57"/>
      <c r="M15" s="10">
        <v>18</v>
      </c>
      <c r="N15" s="1">
        <v>134.63</v>
      </c>
      <c r="O15" s="1">
        <v>53.58</v>
      </c>
      <c r="P15" s="1">
        <f t="shared" si="3"/>
        <v>89.75</v>
      </c>
      <c r="Q15" s="44"/>
      <c r="R15" s="1">
        <f t="shared" si="4"/>
        <v>8.6999999999999957</v>
      </c>
      <c r="S15" s="44"/>
      <c r="T15" s="8">
        <f t="shared" si="5"/>
        <v>9.6935933147632269</v>
      </c>
      <c r="U15" s="44"/>
      <c r="V15" s="57"/>
      <c r="W15" s="10">
        <v>47</v>
      </c>
      <c r="X15" s="1">
        <v>373.86</v>
      </c>
      <c r="Y15" s="1">
        <v>122.14</v>
      </c>
      <c r="Z15" s="1">
        <f t="shared" si="6"/>
        <v>279.58000000000004</v>
      </c>
      <c r="AA15" s="44"/>
      <c r="AB15" s="1">
        <f t="shared" si="7"/>
        <v>27.86</v>
      </c>
      <c r="AC15" s="44"/>
      <c r="AD15" s="8">
        <f t="shared" si="8"/>
        <v>9.9649474211316953</v>
      </c>
      <c r="AE15" s="44"/>
      <c r="AF15" s="57"/>
      <c r="AH15" s="14"/>
      <c r="AI15" s="13">
        <v>3</v>
      </c>
      <c r="AJ15" s="12">
        <v>44.88</v>
      </c>
      <c r="AL15" s="14"/>
      <c r="AM15" s="13">
        <v>3</v>
      </c>
      <c r="AN15" s="12">
        <v>94.28</v>
      </c>
    </row>
    <row r="16" spans="1:40" ht="15.75" thickBot="1" x14ac:dyDescent="0.3">
      <c r="A16" s="6"/>
      <c r="B16" s="5">
        <v>4</v>
      </c>
      <c r="C16" s="10">
        <v>18</v>
      </c>
      <c r="D16" s="1">
        <v>85.42</v>
      </c>
      <c r="E16" s="1">
        <v>46.97</v>
      </c>
      <c r="F16" s="1">
        <f t="shared" si="0"/>
        <v>40.730000000000004</v>
      </c>
      <c r="G16" s="44"/>
      <c r="H16" s="1">
        <f t="shared" si="1"/>
        <v>2.2800000000000011</v>
      </c>
      <c r="I16" s="44"/>
      <c r="J16" s="8">
        <f t="shared" si="2"/>
        <v>5.5978394303952879</v>
      </c>
      <c r="K16" s="44"/>
      <c r="L16" s="58"/>
      <c r="M16" s="10">
        <v>18</v>
      </c>
      <c r="N16" s="1">
        <f>AJ16+62.3</f>
        <v>106.99</v>
      </c>
      <c r="O16" s="1">
        <f>6.29+AJ16</f>
        <v>50.98</v>
      </c>
      <c r="P16" s="1">
        <f>AJ16+42.3</f>
        <v>86.99</v>
      </c>
      <c r="Q16" s="44"/>
      <c r="R16" s="1">
        <f t="shared" si="4"/>
        <v>6.2899999999999991</v>
      </c>
      <c r="S16" s="44"/>
      <c r="T16" s="8">
        <f t="shared" si="5"/>
        <v>7.2307161742729038</v>
      </c>
      <c r="U16" s="44"/>
      <c r="V16" s="58"/>
      <c r="W16" s="10">
        <v>48</v>
      </c>
      <c r="X16" s="1">
        <v>407.61</v>
      </c>
      <c r="Y16" s="1">
        <v>124.17</v>
      </c>
      <c r="Z16" s="1">
        <f t="shared" si="6"/>
        <v>314.16000000000003</v>
      </c>
      <c r="AA16" s="44"/>
      <c r="AB16" s="1">
        <f t="shared" si="7"/>
        <v>30.72</v>
      </c>
      <c r="AC16" s="44"/>
      <c r="AD16" s="8">
        <f t="shared" si="8"/>
        <v>9.7784568372803662</v>
      </c>
      <c r="AE16" s="44"/>
      <c r="AF16" s="58"/>
      <c r="AH16" s="6"/>
      <c r="AI16" s="5">
        <v>4</v>
      </c>
      <c r="AJ16" s="4">
        <v>44.69</v>
      </c>
      <c r="AL16" s="6"/>
      <c r="AM16" s="5">
        <v>4</v>
      </c>
      <c r="AN16" s="4">
        <v>93.45</v>
      </c>
    </row>
    <row r="17" spans="1:40" x14ac:dyDescent="0.25">
      <c r="A17" s="17" t="s">
        <v>18</v>
      </c>
      <c r="B17" s="16">
        <v>1</v>
      </c>
      <c r="C17" s="10">
        <v>18</v>
      </c>
      <c r="D17" s="1">
        <v>82.34</v>
      </c>
      <c r="E17" s="1">
        <v>46.71</v>
      </c>
      <c r="F17" s="1">
        <f t="shared" si="0"/>
        <v>37.730000000000004</v>
      </c>
      <c r="G17" s="44">
        <f t="shared" ref="G17" si="21">AVERAGE(F17:F20)</f>
        <v>45.844999999999999</v>
      </c>
      <c r="H17" s="1">
        <f t="shared" si="1"/>
        <v>2.1000000000000014</v>
      </c>
      <c r="I17" s="44">
        <f>AVERAGE(H17:H20)</f>
        <v>2.4950000000000028</v>
      </c>
      <c r="J17" s="8">
        <f t="shared" si="2"/>
        <v>5.5658627087198544</v>
      </c>
      <c r="K17" s="44">
        <f t="shared" ref="K17" si="22">AVERAGE(J17:J20)</f>
        <v>5.4488477812442992</v>
      </c>
      <c r="L17" s="56">
        <f>_xlfn.STDEV.P(H17:H20)</f>
        <v>0.25480384612481749</v>
      </c>
      <c r="M17" s="10">
        <v>18</v>
      </c>
      <c r="N17" s="1">
        <v>136.61000000000001</v>
      </c>
      <c r="O17" s="1">
        <v>52.42</v>
      </c>
      <c r="P17" s="1">
        <f t="shared" ref="P17:P52" si="23">N17-AJ17</f>
        <v>92.000000000000014</v>
      </c>
      <c r="Q17" s="44">
        <f t="shared" ref="Q17" si="24">AVERAGE(P17:P20)</f>
        <v>96.410000000000025</v>
      </c>
      <c r="R17" s="1">
        <f t="shared" si="4"/>
        <v>7.8100000000000023</v>
      </c>
      <c r="S17" s="44">
        <f>AVERAGE(R17:R20)</f>
        <v>8.1925000000000026</v>
      </c>
      <c r="T17" s="8">
        <f t="shared" si="5"/>
        <v>8.4891304347826111</v>
      </c>
      <c r="U17" s="44">
        <f t="shared" ref="U17" si="25">AVERAGE(T17:T20)</f>
        <v>8.4976618292597657</v>
      </c>
      <c r="V17" s="56">
        <f>_xlfn.STDEV.P(R17:R20)</f>
        <v>0.22398381637966602</v>
      </c>
      <c r="W17" s="10">
        <v>48</v>
      </c>
      <c r="X17" s="1">
        <v>410.29</v>
      </c>
      <c r="Y17" s="1">
        <v>123.16</v>
      </c>
      <c r="Z17" s="1">
        <f t="shared" si="6"/>
        <v>316.52000000000004</v>
      </c>
      <c r="AA17" s="44">
        <f t="shared" ref="AA17" si="26">AVERAGE(Z17:Z20)</f>
        <v>330.10249999999996</v>
      </c>
      <c r="AB17" s="1">
        <f t="shared" si="7"/>
        <v>29.39</v>
      </c>
      <c r="AC17" s="44">
        <f>AVERAGE(AB17:AB20)</f>
        <v>29.364999999999998</v>
      </c>
      <c r="AD17" s="8">
        <f t="shared" si="8"/>
        <v>9.2853532162264614</v>
      </c>
      <c r="AE17" s="44">
        <f t="shared" ref="AE17" si="27">AVERAGE(AD17:AD20)</f>
        <v>8.9583156295033426</v>
      </c>
      <c r="AF17" s="56">
        <f>_xlfn.STDEV.P(AB17:AB20)</f>
        <v>1.4785888542796437</v>
      </c>
      <c r="AH17" s="17">
        <v>4</v>
      </c>
      <c r="AI17" s="16">
        <v>1</v>
      </c>
      <c r="AJ17" s="15">
        <v>44.61</v>
      </c>
      <c r="AL17" s="17">
        <v>4</v>
      </c>
      <c r="AM17" s="16">
        <v>1</v>
      </c>
      <c r="AN17" s="15">
        <v>93.77</v>
      </c>
    </row>
    <row r="18" spans="1:40" x14ac:dyDescent="0.25">
      <c r="A18" s="14"/>
      <c r="B18" s="13">
        <v>2</v>
      </c>
      <c r="C18" s="10">
        <v>18</v>
      </c>
      <c r="D18" s="1">
        <v>91.17</v>
      </c>
      <c r="E18" s="1">
        <v>47.2</v>
      </c>
      <c r="F18" s="1">
        <f t="shared" si="0"/>
        <v>46.480000000000004</v>
      </c>
      <c r="G18" s="44"/>
      <c r="H18" s="1">
        <f t="shared" si="1"/>
        <v>2.5100000000000051</v>
      </c>
      <c r="I18" s="44"/>
      <c r="J18" s="8">
        <f t="shared" si="2"/>
        <v>5.400172117039598</v>
      </c>
      <c r="K18" s="44"/>
      <c r="L18" s="57"/>
      <c r="M18" s="10">
        <v>18</v>
      </c>
      <c r="N18" s="1">
        <v>142.08000000000001</v>
      </c>
      <c r="O18" s="1">
        <v>53.05</v>
      </c>
      <c r="P18" s="1">
        <f t="shared" si="23"/>
        <v>97.390000000000015</v>
      </c>
      <c r="Q18" s="44"/>
      <c r="R18" s="1">
        <f t="shared" si="4"/>
        <v>8.36</v>
      </c>
      <c r="S18" s="44"/>
      <c r="T18" s="8">
        <f t="shared" si="5"/>
        <v>8.5840435362973579</v>
      </c>
      <c r="U18" s="44"/>
      <c r="V18" s="57"/>
      <c r="W18" s="10">
        <v>48</v>
      </c>
      <c r="X18" s="1">
        <v>414.1</v>
      </c>
      <c r="Y18" s="1">
        <v>121.19</v>
      </c>
      <c r="Z18" s="1">
        <f t="shared" si="6"/>
        <v>319.97000000000003</v>
      </c>
      <c r="AA18" s="44"/>
      <c r="AB18" s="1">
        <f t="shared" si="7"/>
        <v>27.060000000000002</v>
      </c>
      <c r="AC18" s="44"/>
      <c r="AD18" s="8">
        <f t="shared" si="8"/>
        <v>8.4570428477669779</v>
      </c>
      <c r="AE18" s="44"/>
      <c r="AF18" s="57"/>
      <c r="AH18" s="14"/>
      <c r="AI18" s="13">
        <v>2</v>
      </c>
      <c r="AJ18" s="12">
        <v>44.69</v>
      </c>
      <c r="AL18" s="14"/>
      <c r="AM18" s="13">
        <v>2</v>
      </c>
      <c r="AN18" s="12">
        <v>94.13</v>
      </c>
    </row>
    <row r="19" spans="1:40" x14ac:dyDescent="0.25">
      <c r="A19" s="14"/>
      <c r="B19" s="13">
        <v>3</v>
      </c>
      <c r="C19" s="10">
        <v>18</v>
      </c>
      <c r="D19" s="1">
        <v>98.1</v>
      </c>
      <c r="E19" s="1">
        <v>49.07</v>
      </c>
      <c r="F19" s="1">
        <f t="shared" si="0"/>
        <v>51.839999999999996</v>
      </c>
      <c r="G19" s="44"/>
      <c r="H19" s="1">
        <f t="shared" si="1"/>
        <v>2.8100000000000023</v>
      </c>
      <c r="I19" s="44"/>
      <c r="J19" s="8">
        <f t="shared" si="2"/>
        <v>5.4205246913580298</v>
      </c>
      <c r="K19" s="44"/>
      <c r="L19" s="57"/>
      <c r="M19" s="10">
        <v>18</v>
      </c>
      <c r="N19" s="1">
        <v>144.16</v>
      </c>
      <c r="O19" s="1">
        <v>54.6</v>
      </c>
      <c r="P19" s="1">
        <f t="shared" si="23"/>
        <v>97.9</v>
      </c>
      <c r="Q19" s="44"/>
      <c r="R19" s="1">
        <f t="shared" si="4"/>
        <v>8.3400000000000034</v>
      </c>
      <c r="S19" s="44"/>
      <c r="T19" s="8">
        <f t="shared" si="5"/>
        <v>8.5188968335035771</v>
      </c>
      <c r="U19" s="44"/>
      <c r="V19" s="57"/>
      <c r="W19" s="10">
        <v>48</v>
      </c>
      <c r="X19" s="1">
        <v>392.63</v>
      </c>
      <c r="Y19" s="1">
        <v>124.42</v>
      </c>
      <c r="Z19" s="1">
        <f t="shared" si="6"/>
        <v>298.07</v>
      </c>
      <c r="AA19" s="44"/>
      <c r="AB19" s="1">
        <f t="shared" si="7"/>
        <v>29.86</v>
      </c>
      <c r="AC19" s="44"/>
      <c r="AD19" s="8">
        <f t="shared" si="8"/>
        <v>10.017781058140704</v>
      </c>
      <c r="AE19" s="44"/>
      <c r="AF19" s="57"/>
      <c r="AH19" s="14"/>
      <c r="AI19" s="13">
        <v>3</v>
      </c>
      <c r="AJ19" s="12">
        <v>46.26</v>
      </c>
      <c r="AL19" s="14"/>
      <c r="AM19" s="13">
        <v>3</v>
      </c>
      <c r="AN19" s="12">
        <v>94.56</v>
      </c>
    </row>
    <row r="20" spans="1:40" ht="15.75" thickBot="1" x14ac:dyDescent="0.3">
      <c r="A20" s="6"/>
      <c r="B20" s="5">
        <v>4</v>
      </c>
      <c r="C20" s="10">
        <v>18</v>
      </c>
      <c r="D20" s="1">
        <v>91.91</v>
      </c>
      <c r="E20" s="1">
        <v>47.14</v>
      </c>
      <c r="F20" s="1">
        <f t="shared" si="0"/>
        <v>47.33</v>
      </c>
      <c r="G20" s="44"/>
      <c r="H20" s="1">
        <f t="shared" si="1"/>
        <v>2.5600000000000023</v>
      </c>
      <c r="I20" s="44"/>
      <c r="J20" s="8">
        <f t="shared" si="2"/>
        <v>5.408831607859713</v>
      </c>
      <c r="K20" s="44"/>
      <c r="L20" s="58"/>
      <c r="M20" s="10">
        <v>18</v>
      </c>
      <c r="N20" s="1">
        <v>142.93</v>
      </c>
      <c r="O20" s="1">
        <v>52.84</v>
      </c>
      <c r="P20" s="1">
        <f t="shared" si="23"/>
        <v>98.350000000000009</v>
      </c>
      <c r="Q20" s="44"/>
      <c r="R20" s="1">
        <f t="shared" si="4"/>
        <v>8.2600000000000051</v>
      </c>
      <c r="S20" s="44"/>
      <c r="T20" s="8">
        <f t="shared" si="5"/>
        <v>8.3985765124555201</v>
      </c>
      <c r="U20" s="44"/>
      <c r="V20" s="58"/>
      <c r="W20" s="10">
        <v>48</v>
      </c>
      <c r="X20" s="1">
        <v>480.19</v>
      </c>
      <c r="Y20" s="1">
        <v>125.49</v>
      </c>
      <c r="Z20" s="1">
        <f t="shared" si="6"/>
        <v>385.85</v>
      </c>
      <c r="AA20" s="44"/>
      <c r="AB20" s="1">
        <f t="shared" si="7"/>
        <v>31.149999999999991</v>
      </c>
      <c r="AC20" s="44"/>
      <c r="AD20" s="8">
        <f t="shared" si="8"/>
        <v>8.0730853958792252</v>
      </c>
      <c r="AE20" s="44"/>
      <c r="AF20" s="58"/>
      <c r="AH20" s="6"/>
      <c r="AI20" s="5">
        <v>4</v>
      </c>
      <c r="AJ20" s="4">
        <v>44.58</v>
      </c>
      <c r="AL20" s="6"/>
      <c r="AM20" s="5">
        <v>4</v>
      </c>
      <c r="AN20" s="4">
        <v>94.34</v>
      </c>
    </row>
    <row r="21" spans="1:40" x14ac:dyDescent="0.25">
      <c r="A21" s="17" t="s">
        <v>19</v>
      </c>
      <c r="B21" s="16">
        <v>1</v>
      </c>
      <c r="C21" s="10">
        <v>18</v>
      </c>
      <c r="D21" s="1">
        <v>85.13</v>
      </c>
      <c r="E21" s="1">
        <v>46.98</v>
      </c>
      <c r="F21" s="1">
        <f t="shared" si="0"/>
        <v>40.33</v>
      </c>
      <c r="G21" s="44">
        <f t="shared" ref="G21" si="28">AVERAGE(F21:F24)</f>
        <v>41.03</v>
      </c>
      <c r="H21" s="1">
        <f t="shared" si="1"/>
        <v>2.1799999999999997</v>
      </c>
      <c r="I21" s="44">
        <f>AVERAGE(H21:H24)</f>
        <v>2.3125</v>
      </c>
      <c r="J21" s="8">
        <f t="shared" si="2"/>
        <v>5.4054054054054053</v>
      </c>
      <c r="K21" s="44">
        <f t="shared" ref="K21" si="29">AVERAGE(J21:J24)</f>
        <v>5.6349242095575072</v>
      </c>
      <c r="L21" s="56">
        <f>_xlfn.STDEV.P(H21:H24)</f>
        <v>0.30053078045351656</v>
      </c>
      <c r="M21" s="10">
        <v>18</v>
      </c>
      <c r="N21" s="1">
        <v>148.07</v>
      </c>
      <c r="O21" s="1">
        <v>53.2</v>
      </c>
      <c r="P21" s="1">
        <f t="shared" si="23"/>
        <v>103.27</v>
      </c>
      <c r="Q21" s="44">
        <f t="shared" ref="Q21" si="30">AVERAGE(P21:P24)</f>
        <v>106.62</v>
      </c>
      <c r="R21" s="1">
        <f t="shared" si="4"/>
        <v>8.4000000000000057</v>
      </c>
      <c r="S21" s="44">
        <f>AVERAGE(R21:R24)</f>
        <v>8.932500000000001</v>
      </c>
      <c r="T21" s="8">
        <f t="shared" si="5"/>
        <v>8.1340176237048567</v>
      </c>
      <c r="U21" s="44">
        <f t="shared" ref="U21" si="31">AVERAGE(T21:T24)</f>
        <v>8.4304638304888737</v>
      </c>
      <c r="V21" s="56">
        <f>_xlfn.STDEV.P(R21:R24)</f>
        <v>0.37372282509902616</v>
      </c>
      <c r="W21" s="10">
        <v>47</v>
      </c>
      <c r="X21" s="1">
        <v>459.69</v>
      </c>
      <c r="Y21" s="1">
        <v>124.46</v>
      </c>
      <c r="Z21" s="1">
        <f t="shared" si="6"/>
        <v>365.39</v>
      </c>
      <c r="AA21" s="44">
        <f t="shared" ref="AA21" si="32">AVERAGE(Z21:Z24)</f>
        <v>329.30499999999995</v>
      </c>
      <c r="AB21" s="1">
        <f t="shared" si="7"/>
        <v>30.159999999999997</v>
      </c>
      <c r="AC21" s="44">
        <f>AVERAGE(AB21:AB24)</f>
        <v>30.202500000000001</v>
      </c>
      <c r="AD21" s="8">
        <f t="shared" si="8"/>
        <v>8.2541941487178079</v>
      </c>
      <c r="AE21" s="44">
        <f t="shared" ref="AE21" si="33">AVERAGE(AD21:AD24)</f>
        <v>9.2562865946154762</v>
      </c>
      <c r="AF21" s="56">
        <f>_xlfn.STDEV.P(AB21:AB24)</f>
        <v>0.73356577755509167</v>
      </c>
      <c r="AH21" s="17">
        <v>5</v>
      </c>
      <c r="AI21" s="16">
        <v>1</v>
      </c>
      <c r="AJ21" s="15">
        <v>44.8</v>
      </c>
      <c r="AL21" s="17">
        <v>5</v>
      </c>
      <c r="AM21" s="16">
        <v>1</v>
      </c>
      <c r="AN21" s="15">
        <v>94.3</v>
      </c>
    </row>
    <row r="22" spans="1:40" x14ac:dyDescent="0.25">
      <c r="A22" s="14"/>
      <c r="B22" s="13">
        <v>2</v>
      </c>
      <c r="C22" s="10">
        <v>18</v>
      </c>
      <c r="D22" s="1">
        <v>93.5</v>
      </c>
      <c r="E22" s="1">
        <v>47.38</v>
      </c>
      <c r="F22" s="1">
        <f t="shared" si="0"/>
        <v>48.87</v>
      </c>
      <c r="G22" s="44"/>
      <c r="H22" s="1">
        <f t="shared" si="1"/>
        <v>2.75</v>
      </c>
      <c r="I22" s="44"/>
      <c r="J22" s="8">
        <f t="shared" si="2"/>
        <v>5.6271741354614289</v>
      </c>
      <c r="K22" s="44"/>
      <c r="L22" s="57"/>
      <c r="M22" s="10">
        <v>18</v>
      </c>
      <c r="N22" s="1">
        <v>157.52000000000001</v>
      </c>
      <c r="O22" s="1">
        <v>53.85</v>
      </c>
      <c r="P22" s="1">
        <f t="shared" si="23"/>
        <v>112.89000000000001</v>
      </c>
      <c r="Q22" s="44"/>
      <c r="R22" s="1">
        <f t="shared" si="4"/>
        <v>9.2199999999999989</v>
      </c>
      <c r="S22" s="44"/>
      <c r="T22" s="8">
        <f t="shared" si="5"/>
        <v>8.1672424484010957</v>
      </c>
      <c r="U22" s="44"/>
      <c r="V22" s="57"/>
      <c r="W22" s="10">
        <v>48</v>
      </c>
      <c r="X22" s="1">
        <v>406.05</v>
      </c>
      <c r="Y22" s="1">
        <v>123.47</v>
      </c>
      <c r="Z22" s="1">
        <f t="shared" si="6"/>
        <v>311.97000000000003</v>
      </c>
      <c r="AA22" s="44"/>
      <c r="AB22" s="1">
        <f t="shared" si="7"/>
        <v>29.39</v>
      </c>
      <c r="AC22" s="44"/>
      <c r="AD22" s="8">
        <f t="shared" si="8"/>
        <v>9.4207776388755331</v>
      </c>
      <c r="AE22" s="44"/>
      <c r="AF22" s="57"/>
      <c r="AH22" s="14"/>
      <c r="AI22" s="13">
        <v>2</v>
      </c>
      <c r="AJ22" s="12">
        <v>44.63</v>
      </c>
      <c r="AL22" s="14"/>
      <c r="AM22" s="13">
        <v>2</v>
      </c>
      <c r="AN22" s="12">
        <v>94.08</v>
      </c>
    </row>
    <row r="23" spans="1:40" x14ac:dyDescent="0.25">
      <c r="A23" s="14"/>
      <c r="B23" s="13">
        <v>3</v>
      </c>
      <c r="C23" s="10">
        <v>18</v>
      </c>
      <c r="D23" s="1">
        <v>79.13</v>
      </c>
      <c r="E23" s="1">
        <v>46.56</v>
      </c>
      <c r="F23" s="1">
        <f t="shared" si="0"/>
        <v>34.499999999999993</v>
      </c>
      <c r="G23" s="44"/>
      <c r="H23" s="1">
        <f t="shared" si="1"/>
        <v>1.9299999999999997</v>
      </c>
      <c r="I23" s="44"/>
      <c r="J23" s="8">
        <f t="shared" si="2"/>
        <v>5.5942028985507246</v>
      </c>
      <c r="K23" s="44"/>
      <c r="L23" s="57"/>
      <c r="M23" s="10">
        <v>18</v>
      </c>
      <c r="N23" s="1">
        <v>162.79</v>
      </c>
      <c r="O23" s="1">
        <v>53.97</v>
      </c>
      <c r="P23" s="1">
        <f t="shared" si="23"/>
        <v>118.16</v>
      </c>
      <c r="Q23" s="44"/>
      <c r="R23" s="1">
        <f t="shared" si="4"/>
        <v>9.3399999999999963</v>
      </c>
      <c r="S23" s="44"/>
      <c r="T23" s="8">
        <f t="shared" si="5"/>
        <v>7.9045362220717639</v>
      </c>
      <c r="U23" s="44"/>
      <c r="V23" s="57"/>
      <c r="W23" s="10">
        <v>47</v>
      </c>
      <c r="X23" s="1">
        <v>442.92</v>
      </c>
      <c r="Y23" s="1">
        <v>123.81</v>
      </c>
      <c r="Z23" s="1">
        <f t="shared" si="6"/>
        <v>348.99</v>
      </c>
      <c r="AA23" s="44"/>
      <c r="AB23" s="1">
        <f t="shared" si="7"/>
        <v>29.879999999999995</v>
      </c>
      <c r="AC23" s="44"/>
      <c r="AD23" s="8">
        <f t="shared" si="8"/>
        <v>8.5618499097395322</v>
      </c>
      <c r="AE23" s="44"/>
      <c r="AF23" s="57"/>
      <c r="AH23" s="14"/>
      <c r="AI23" s="13">
        <v>3</v>
      </c>
      <c r="AJ23" s="12">
        <v>44.63</v>
      </c>
      <c r="AL23" s="14"/>
      <c r="AM23" s="13">
        <v>3</v>
      </c>
      <c r="AN23" s="12">
        <v>93.93</v>
      </c>
    </row>
    <row r="24" spans="1:40" ht="15.75" thickBot="1" x14ac:dyDescent="0.3">
      <c r="A24" s="6"/>
      <c r="B24" s="5">
        <v>4</v>
      </c>
      <c r="C24" s="10">
        <v>18</v>
      </c>
      <c r="D24" s="1">
        <v>85.11</v>
      </c>
      <c r="E24" s="1">
        <v>47.08</v>
      </c>
      <c r="F24" s="1">
        <f t="shared" si="0"/>
        <v>40.42</v>
      </c>
      <c r="G24" s="44"/>
      <c r="H24" s="1">
        <f t="shared" si="1"/>
        <v>2.3900000000000006</v>
      </c>
      <c r="I24" s="44"/>
      <c r="J24" s="8">
        <f t="shared" si="2"/>
        <v>5.9129143988124699</v>
      </c>
      <c r="K24" s="44"/>
      <c r="L24" s="58"/>
      <c r="M24" s="10">
        <v>18</v>
      </c>
      <c r="N24" s="1">
        <v>136.85</v>
      </c>
      <c r="O24" s="1">
        <v>53.46</v>
      </c>
      <c r="P24" s="1">
        <f t="shared" si="23"/>
        <v>92.16</v>
      </c>
      <c r="Q24" s="44"/>
      <c r="R24" s="1">
        <f t="shared" si="4"/>
        <v>8.7700000000000031</v>
      </c>
      <c r="S24" s="44"/>
      <c r="T24" s="8">
        <f t="shared" si="5"/>
        <v>9.5160590277777803</v>
      </c>
      <c r="U24" s="44"/>
      <c r="V24" s="58"/>
      <c r="W24" s="10">
        <v>48</v>
      </c>
      <c r="X24" s="1">
        <v>384.92</v>
      </c>
      <c r="Y24" s="1">
        <v>125.43</v>
      </c>
      <c r="Z24" s="1">
        <f t="shared" si="6"/>
        <v>290.87</v>
      </c>
      <c r="AA24" s="44"/>
      <c r="AB24" s="1">
        <f t="shared" si="7"/>
        <v>31.38000000000001</v>
      </c>
      <c r="AC24" s="44"/>
      <c r="AD24" s="8">
        <f t="shared" si="8"/>
        <v>10.78832468112903</v>
      </c>
      <c r="AE24" s="44"/>
      <c r="AF24" s="58"/>
      <c r="AH24" s="6"/>
      <c r="AI24" s="5">
        <v>4</v>
      </c>
      <c r="AJ24" s="4">
        <v>44.69</v>
      </c>
      <c r="AL24" s="6"/>
      <c r="AM24" s="5">
        <v>4</v>
      </c>
      <c r="AN24" s="4">
        <v>94.05</v>
      </c>
    </row>
    <row r="25" spans="1:40" x14ac:dyDescent="0.25">
      <c r="A25" s="17" t="s">
        <v>20</v>
      </c>
      <c r="B25" s="16">
        <v>1</v>
      </c>
      <c r="C25" s="10">
        <v>18</v>
      </c>
      <c r="D25" s="1">
        <v>82.2</v>
      </c>
      <c r="E25" s="1">
        <v>46.6</v>
      </c>
      <c r="F25" s="1">
        <f t="shared" si="0"/>
        <v>37.730000000000004</v>
      </c>
      <c r="G25" s="44">
        <f t="shared" ref="G25" si="34">AVERAGE(F25:F28)</f>
        <v>42.35</v>
      </c>
      <c r="H25" s="1">
        <f t="shared" si="1"/>
        <v>2.1300000000000026</v>
      </c>
      <c r="I25" s="44">
        <f>AVERAGE(H25:H28)</f>
        <v>2.3724999999999987</v>
      </c>
      <c r="J25" s="8">
        <f t="shared" si="2"/>
        <v>5.6453750331301409</v>
      </c>
      <c r="K25" s="44">
        <f t="shared" ref="K25" si="35">AVERAGE(J25:J28)</f>
        <v>5.6079680517791566</v>
      </c>
      <c r="L25" s="56">
        <f>_xlfn.STDEV.P(H25:H28)</f>
        <v>0.14635146053251152</v>
      </c>
      <c r="M25" s="10">
        <v>18</v>
      </c>
      <c r="N25" s="1">
        <v>168.25</v>
      </c>
      <c r="O25" s="1">
        <v>53.05</v>
      </c>
      <c r="P25" s="1">
        <f t="shared" si="23"/>
        <v>123.78</v>
      </c>
      <c r="Q25" s="44">
        <f t="shared" ref="Q25" si="36">AVERAGE(P25:P28)</f>
        <v>120.36750000000001</v>
      </c>
      <c r="R25" s="1">
        <f t="shared" si="4"/>
        <v>8.5799999999999983</v>
      </c>
      <c r="S25" s="44">
        <f>AVERAGE(R25:R28)</f>
        <v>9.0424999999999986</v>
      </c>
      <c r="T25" s="8">
        <f t="shared" si="5"/>
        <v>6.9316529326223932</v>
      </c>
      <c r="U25" s="44">
        <f t="shared" ref="U25" si="37">AVERAGE(T25:T28)</f>
        <v>7.5364533695788243</v>
      </c>
      <c r="V25" s="56">
        <f>_xlfn.STDEV.P(R25:R28)</f>
        <v>0.36819661866997139</v>
      </c>
      <c r="W25" s="10">
        <v>48</v>
      </c>
      <c r="X25" s="1">
        <v>505.26</v>
      </c>
      <c r="Y25" s="1">
        <v>127.98</v>
      </c>
      <c r="Z25" s="1">
        <f t="shared" si="6"/>
        <v>411.36</v>
      </c>
      <c r="AA25" s="44">
        <f t="shared" ref="AA25" si="38">AVERAGE(Z25:Z28)</f>
        <v>388.005</v>
      </c>
      <c r="AB25" s="1">
        <f t="shared" si="7"/>
        <v>34.08</v>
      </c>
      <c r="AC25" s="44">
        <f>AVERAGE(AB25:AB28)</f>
        <v>32.452500000000001</v>
      </c>
      <c r="AD25" s="8">
        <f t="shared" si="8"/>
        <v>8.2847141190198368</v>
      </c>
      <c r="AE25" s="44">
        <f t="shared" ref="AE25" si="39">AVERAGE(AD25:AD28)</f>
        <v>8.4235605069043231</v>
      </c>
      <c r="AF25" s="56">
        <f>_xlfn.STDEV.P(AB25:AB28)</f>
        <v>1.8665660315134802</v>
      </c>
      <c r="AH25" s="17">
        <v>6</v>
      </c>
      <c r="AI25" s="16">
        <v>1</v>
      </c>
      <c r="AJ25" s="15">
        <v>44.47</v>
      </c>
      <c r="AL25" s="17">
        <v>6</v>
      </c>
      <c r="AM25" s="16">
        <v>1</v>
      </c>
      <c r="AN25" s="15">
        <v>93.9</v>
      </c>
    </row>
    <row r="26" spans="1:40" x14ac:dyDescent="0.25">
      <c r="A26" s="14"/>
      <c r="B26" s="13">
        <v>2</v>
      </c>
      <c r="C26" s="10">
        <v>18</v>
      </c>
      <c r="D26" s="1">
        <v>90.27</v>
      </c>
      <c r="E26" s="1">
        <v>47.14</v>
      </c>
      <c r="F26" s="1">
        <f t="shared" si="0"/>
        <v>45.639999999999993</v>
      </c>
      <c r="G26" s="44"/>
      <c r="H26" s="1">
        <f t="shared" si="1"/>
        <v>2.509999999999998</v>
      </c>
      <c r="I26" s="44"/>
      <c r="J26" s="8">
        <f t="shared" si="2"/>
        <v>5.4995617879053427</v>
      </c>
      <c r="K26" s="44"/>
      <c r="L26" s="57"/>
      <c r="M26" s="10">
        <v>18</v>
      </c>
      <c r="N26" s="1">
        <v>170.66</v>
      </c>
      <c r="O26" s="1">
        <v>54.24</v>
      </c>
      <c r="P26" s="1">
        <f t="shared" si="23"/>
        <v>126.03</v>
      </c>
      <c r="Q26" s="44"/>
      <c r="R26" s="1">
        <f t="shared" si="4"/>
        <v>9.61</v>
      </c>
      <c r="S26" s="44"/>
      <c r="T26" s="8">
        <f t="shared" si="5"/>
        <v>7.6251686106482586</v>
      </c>
      <c r="U26" s="44"/>
      <c r="V26" s="57"/>
      <c r="W26" s="10">
        <v>48</v>
      </c>
      <c r="X26" s="1">
        <v>507.22</v>
      </c>
      <c r="Y26" s="1">
        <v>125.88</v>
      </c>
      <c r="Z26" s="1">
        <f t="shared" si="6"/>
        <v>413.56000000000006</v>
      </c>
      <c r="AA26" s="44"/>
      <c r="AB26" s="1">
        <f t="shared" si="7"/>
        <v>32.22</v>
      </c>
      <c r="AC26" s="44"/>
      <c r="AD26" s="8">
        <f t="shared" si="8"/>
        <v>7.7908888673952985</v>
      </c>
      <c r="AE26" s="44"/>
      <c r="AF26" s="57"/>
      <c r="AH26" s="14"/>
      <c r="AI26" s="13">
        <v>2</v>
      </c>
      <c r="AJ26" s="12">
        <v>44.63</v>
      </c>
      <c r="AL26" s="14"/>
      <c r="AM26" s="13">
        <v>2</v>
      </c>
      <c r="AN26" s="12">
        <v>93.66</v>
      </c>
    </row>
    <row r="27" spans="1:40" x14ac:dyDescent="0.25">
      <c r="A27" s="14"/>
      <c r="B27" s="13">
        <v>3</v>
      </c>
      <c r="C27" s="10">
        <v>18</v>
      </c>
      <c r="D27" s="1">
        <v>89.34</v>
      </c>
      <c r="E27" s="1">
        <v>47.05</v>
      </c>
      <c r="F27" s="1">
        <f t="shared" si="0"/>
        <v>44.75</v>
      </c>
      <c r="G27" s="44"/>
      <c r="H27" s="1">
        <f t="shared" si="1"/>
        <v>2.4599999999999937</v>
      </c>
      <c r="I27" s="44"/>
      <c r="J27" s="8">
        <f t="shared" si="2"/>
        <v>5.4972067039106003</v>
      </c>
      <c r="K27" s="44"/>
      <c r="L27" s="57"/>
      <c r="M27" s="10">
        <v>18</v>
      </c>
      <c r="N27" s="1">
        <v>168.1</v>
      </c>
      <c r="O27" s="1">
        <v>53.6</v>
      </c>
      <c r="P27" s="1">
        <f t="shared" si="23"/>
        <v>123.50999999999999</v>
      </c>
      <c r="Q27" s="44"/>
      <c r="R27" s="1">
        <f t="shared" si="4"/>
        <v>9.009999999999998</v>
      </c>
      <c r="S27" s="44"/>
      <c r="T27" s="8">
        <f t="shared" si="5"/>
        <v>7.2949558740182967</v>
      </c>
      <c r="U27" s="44"/>
      <c r="V27" s="57"/>
      <c r="W27" s="10">
        <v>47</v>
      </c>
      <c r="X27" s="1">
        <v>506.23</v>
      </c>
      <c r="Y27" s="1">
        <v>128</v>
      </c>
      <c r="Z27" s="1">
        <f t="shared" si="6"/>
        <v>412.25</v>
      </c>
      <c r="AA27" s="44"/>
      <c r="AB27" s="1">
        <f t="shared" si="7"/>
        <v>34.019999999999996</v>
      </c>
      <c r="AC27" s="44"/>
      <c r="AD27" s="8">
        <f t="shared" si="8"/>
        <v>8.2522741055184952</v>
      </c>
      <c r="AE27" s="44"/>
      <c r="AF27" s="57"/>
      <c r="AH27" s="14"/>
      <c r="AI27" s="13">
        <v>3</v>
      </c>
      <c r="AJ27" s="12">
        <v>44.59</v>
      </c>
      <c r="AL27" s="14"/>
      <c r="AM27" s="13">
        <v>3</v>
      </c>
      <c r="AN27" s="12">
        <v>93.98</v>
      </c>
    </row>
    <row r="28" spans="1:40" ht="15.75" thickBot="1" x14ac:dyDescent="0.3">
      <c r="A28" s="6"/>
      <c r="B28" s="5">
        <v>4</v>
      </c>
      <c r="C28" s="10">
        <v>18</v>
      </c>
      <c r="D28" s="1">
        <v>86</v>
      </c>
      <c r="E28" s="1">
        <v>47.11</v>
      </c>
      <c r="F28" s="1">
        <f t="shared" si="0"/>
        <v>41.28</v>
      </c>
      <c r="G28" s="44"/>
      <c r="H28" s="1">
        <f t="shared" si="1"/>
        <v>2.3900000000000006</v>
      </c>
      <c r="I28" s="44"/>
      <c r="J28" s="8">
        <f t="shared" si="2"/>
        <v>5.7897286821705434</v>
      </c>
      <c r="K28" s="44"/>
      <c r="L28" s="58"/>
      <c r="M28" s="10">
        <v>18</v>
      </c>
      <c r="N28" s="1">
        <v>152.87</v>
      </c>
      <c r="O28" s="1">
        <v>53.69</v>
      </c>
      <c r="P28" s="1">
        <f t="shared" si="23"/>
        <v>108.15</v>
      </c>
      <c r="Q28" s="44"/>
      <c r="R28" s="1">
        <f t="shared" si="4"/>
        <v>8.9699999999999989</v>
      </c>
      <c r="S28" s="44"/>
      <c r="T28" s="8">
        <f t="shared" si="5"/>
        <v>8.2940360610263504</v>
      </c>
      <c r="U28" s="44"/>
      <c r="V28" s="58"/>
      <c r="W28" s="10">
        <v>47</v>
      </c>
      <c r="X28" s="1">
        <v>409.04</v>
      </c>
      <c r="Y28" s="1">
        <v>123.68</v>
      </c>
      <c r="Z28" s="1">
        <f t="shared" si="6"/>
        <v>314.85000000000002</v>
      </c>
      <c r="AA28" s="44"/>
      <c r="AB28" s="1">
        <f t="shared" si="7"/>
        <v>29.490000000000009</v>
      </c>
      <c r="AC28" s="44"/>
      <c r="AD28" s="8">
        <f t="shared" si="8"/>
        <v>9.3663649356836611</v>
      </c>
      <c r="AE28" s="44"/>
      <c r="AF28" s="58"/>
      <c r="AH28" s="6"/>
      <c r="AI28" s="5">
        <v>4</v>
      </c>
      <c r="AJ28" s="4">
        <v>44.72</v>
      </c>
      <c r="AL28" s="6"/>
      <c r="AM28" s="5">
        <v>4</v>
      </c>
      <c r="AN28" s="4">
        <v>94.19</v>
      </c>
    </row>
    <row r="29" spans="1:40" x14ac:dyDescent="0.25">
      <c r="A29" s="17" t="s">
        <v>23</v>
      </c>
      <c r="B29" s="16">
        <v>1</v>
      </c>
      <c r="C29" s="10">
        <v>18</v>
      </c>
      <c r="D29" s="1">
        <v>65.72</v>
      </c>
      <c r="E29" s="1">
        <v>45.11</v>
      </c>
      <c r="F29" s="1">
        <f t="shared" si="0"/>
        <v>22.04</v>
      </c>
      <c r="G29" s="44">
        <f t="shared" ref="G29" si="40">AVERAGE(F29:F32)</f>
        <v>25.5625</v>
      </c>
      <c r="H29" s="1">
        <f t="shared" si="1"/>
        <v>1.4299999999999997</v>
      </c>
      <c r="I29" s="44">
        <f>AVERAGE(H29:H32)</f>
        <v>1.6425000000000001</v>
      </c>
      <c r="J29" s="8">
        <f t="shared" si="2"/>
        <v>6.4882032667876581</v>
      </c>
      <c r="K29" s="44">
        <f t="shared" ref="K29" si="41">AVERAGE(J29:J32)</f>
        <v>6.429406165493754</v>
      </c>
      <c r="L29" s="56">
        <f>_xlfn.STDEV.P(H29:H32)</f>
        <v>0.14532291629333613</v>
      </c>
      <c r="M29" s="10">
        <v>18</v>
      </c>
      <c r="N29" s="1">
        <v>101.25</v>
      </c>
      <c r="O29" s="1">
        <v>49.55</v>
      </c>
      <c r="P29" s="1">
        <f t="shared" si="23"/>
        <v>57.57</v>
      </c>
      <c r="Q29" s="44">
        <f t="shared" ref="Q29" si="42">AVERAGE(P29:P32)</f>
        <v>61.287500000000001</v>
      </c>
      <c r="R29" s="1">
        <f t="shared" si="4"/>
        <v>5.8699999999999974</v>
      </c>
      <c r="S29" s="44">
        <f>AVERAGE(R29:R32)</f>
        <v>6.1450000000000014</v>
      </c>
      <c r="T29" s="8">
        <f t="shared" si="5"/>
        <v>10.19628278617335</v>
      </c>
      <c r="U29" s="44">
        <f t="shared" ref="U29" si="43">AVERAGE(T29:T32)</f>
        <v>10.057815668030623</v>
      </c>
      <c r="V29" s="56">
        <f>_xlfn.STDEV.P(R29:R32)</f>
        <v>0.3288236609491485</v>
      </c>
      <c r="W29" s="10">
        <v>48</v>
      </c>
      <c r="X29" s="1">
        <v>260.93</v>
      </c>
      <c r="Y29" s="1">
        <v>122.22</v>
      </c>
      <c r="Z29" s="1">
        <f t="shared" si="6"/>
        <v>166.4</v>
      </c>
      <c r="AA29" s="44">
        <f t="shared" ref="AA29" si="44">AVERAGE(Z29:Z32)</f>
        <v>180.72250000000003</v>
      </c>
      <c r="AB29" s="1">
        <f t="shared" si="7"/>
        <v>27.689999999999998</v>
      </c>
      <c r="AC29" s="44">
        <f>AVERAGE(AB29:AB32)</f>
        <v>21.202500000000001</v>
      </c>
      <c r="AD29" s="8">
        <f t="shared" si="8"/>
        <v>16.640624999999996</v>
      </c>
      <c r="AE29" s="44">
        <f t="shared" ref="AE29" si="45">AVERAGE(AD29:AD32)</f>
        <v>11.860317359881265</v>
      </c>
      <c r="AF29" s="56">
        <f>_xlfn.STDEV.P(AB29:AB32)</f>
        <v>3.7558446120679703</v>
      </c>
      <c r="AH29" s="17">
        <v>7</v>
      </c>
      <c r="AI29" s="16">
        <v>1</v>
      </c>
      <c r="AJ29" s="15">
        <v>43.68</v>
      </c>
      <c r="AL29" s="17">
        <v>7</v>
      </c>
      <c r="AM29" s="16">
        <v>1</v>
      </c>
      <c r="AN29" s="15">
        <v>94.53</v>
      </c>
    </row>
    <row r="30" spans="1:40" x14ac:dyDescent="0.25">
      <c r="A30" s="14"/>
      <c r="B30" s="13">
        <v>2</v>
      </c>
      <c r="C30" s="10">
        <v>18</v>
      </c>
      <c r="D30" s="1">
        <v>69.540000000000006</v>
      </c>
      <c r="E30" s="1">
        <v>46.25</v>
      </c>
      <c r="F30" s="1">
        <f t="shared" si="0"/>
        <v>24.890000000000008</v>
      </c>
      <c r="G30" s="44"/>
      <c r="H30" s="1">
        <f t="shared" si="1"/>
        <v>1.6000000000000014</v>
      </c>
      <c r="I30" s="44"/>
      <c r="J30" s="8">
        <f t="shared" si="2"/>
        <v>6.428284451586987</v>
      </c>
      <c r="K30" s="44"/>
      <c r="L30" s="57"/>
      <c r="M30" s="10">
        <v>18</v>
      </c>
      <c r="N30" s="1">
        <v>108.38</v>
      </c>
      <c r="O30" s="1">
        <v>50.42</v>
      </c>
      <c r="P30" s="1">
        <f t="shared" si="23"/>
        <v>63.73</v>
      </c>
      <c r="Q30" s="44"/>
      <c r="R30" s="1">
        <f t="shared" si="4"/>
        <v>5.7700000000000031</v>
      </c>
      <c r="S30" s="44"/>
      <c r="T30" s="8">
        <f t="shared" si="5"/>
        <v>9.0538208065275434</v>
      </c>
      <c r="U30" s="44"/>
      <c r="V30" s="57"/>
      <c r="W30" s="10">
        <v>46</v>
      </c>
      <c r="X30" s="1">
        <v>284.91000000000003</v>
      </c>
      <c r="Y30" s="1">
        <v>113.78</v>
      </c>
      <c r="Z30" s="1">
        <f t="shared" si="6"/>
        <v>190.60000000000002</v>
      </c>
      <c r="AA30" s="44"/>
      <c r="AB30" s="1">
        <f t="shared" si="7"/>
        <v>19.47</v>
      </c>
      <c r="AC30" s="44"/>
      <c r="AD30" s="8">
        <f t="shared" si="8"/>
        <v>10.215110178384048</v>
      </c>
      <c r="AE30" s="44"/>
      <c r="AF30" s="57"/>
      <c r="AH30" s="14"/>
      <c r="AI30" s="13">
        <v>2</v>
      </c>
      <c r="AJ30" s="12">
        <v>44.65</v>
      </c>
      <c r="AL30" s="14"/>
      <c r="AM30" s="13">
        <v>2</v>
      </c>
      <c r="AN30" s="12">
        <v>94.31</v>
      </c>
    </row>
    <row r="31" spans="1:40" x14ac:dyDescent="0.25">
      <c r="A31" s="14"/>
      <c r="B31" s="13">
        <v>3</v>
      </c>
      <c r="C31" s="10">
        <v>18</v>
      </c>
      <c r="D31" s="1">
        <v>73.06</v>
      </c>
      <c r="E31" s="1">
        <v>48.08</v>
      </c>
      <c r="F31" s="1">
        <f t="shared" si="0"/>
        <v>26.700000000000003</v>
      </c>
      <c r="G31" s="44"/>
      <c r="H31" s="1">
        <f t="shared" si="1"/>
        <v>1.7199999999999989</v>
      </c>
      <c r="I31" s="44"/>
      <c r="J31" s="8">
        <f t="shared" si="2"/>
        <v>6.4419475655430665</v>
      </c>
      <c r="K31" s="44"/>
      <c r="L31" s="57"/>
      <c r="M31" s="10">
        <v>18</v>
      </c>
      <c r="N31" s="1">
        <v>104.1</v>
      </c>
      <c r="O31" s="1">
        <v>52.78</v>
      </c>
      <c r="P31" s="1">
        <f t="shared" si="23"/>
        <v>57.739999999999995</v>
      </c>
      <c r="Q31" s="44"/>
      <c r="R31" s="1">
        <f t="shared" si="4"/>
        <v>6.4200000000000017</v>
      </c>
      <c r="S31" s="44"/>
      <c r="T31" s="8">
        <f t="shared" si="5"/>
        <v>11.11880845167995</v>
      </c>
      <c r="U31" s="44"/>
      <c r="V31" s="57"/>
      <c r="W31" s="10">
        <v>47</v>
      </c>
      <c r="X31" s="1">
        <v>274.43</v>
      </c>
      <c r="Y31" s="1">
        <v>112.9</v>
      </c>
      <c r="Z31" s="1">
        <f t="shared" si="6"/>
        <v>180.48000000000002</v>
      </c>
      <c r="AA31" s="44"/>
      <c r="AB31" s="1">
        <f t="shared" si="7"/>
        <v>18.950000000000003</v>
      </c>
      <c r="AC31" s="44"/>
      <c r="AD31" s="8">
        <f t="shared" si="8"/>
        <v>10.499778368794326</v>
      </c>
      <c r="AE31" s="44"/>
      <c r="AF31" s="57"/>
      <c r="AH31" s="14"/>
      <c r="AI31" s="13">
        <v>3</v>
      </c>
      <c r="AJ31" s="12">
        <v>46.36</v>
      </c>
      <c r="AL31" s="14"/>
      <c r="AM31" s="13">
        <v>3</v>
      </c>
      <c r="AN31" s="12">
        <v>93.95</v>
      </c>
    </row>
    <row r="32" spans="1:40" ht="15.75" thickBot="1" x14ac:dyDescent="0.3">
      <c r="A32" s="6"/>
      <c r="B32" s="5">
        <v>4</v>
      </c>
      <c r="C32" s="10">
        <v>18</v>
      </c>
      <c r="D32" s="1">
        <v>72.94</v>
      </c>
      <c r="E32" s="1">
        <v>46.14</v>
      </c>
      <c r="F32" s="1">
        <f t="shared" si="0"/>
        <v>28.619999999999997</v>
      </c>
      <c r="G32" s="44"/>
      <c r="H32" s="1">
        <f t="shared" si="1"/>
        <v>1.8200000000000003</v>
      </c>
      <c r="I32" s="44"/>
      <c r="J32" s="8">
        <f t="shared" si="2"/>
        <v>6.3591893780573043</v>
      </c>
      <c r="K32" s="44"/>
      <c r="L32" s="58"/>
      <c r="M32" s="10">
        <v>18</v>
      </c>
      <c r="N32" s="1">
        <v>110.43</v>
      </c>
      <c r="O32" s="1">
        <v>50.84</v>
      </c>
      <c r="P32" s="1">
        <f t="shared" si="23"/>
        <v>66.110000000000014</v>
      </c>
      <c r="Q32" s="44"/>
      <c r="R32" s="1">
        <f t="shared" si="4"/>
        <v>6.5200000000000031</v>
      </c>
      <c r="S32" s="44"/>
      <c r="T32" s="8">
        <f t="shared" si="5"/>
        <v>9.8623506277416464</v>
      </c>
      <c r="U32" s="44"/>
      <c r="V32" s="58"/>
      <c r="W32" s="10">
        <v>48</v>
      </c>
      <c r="X32" s="1">
        <v>279.41000000000003</v>
      </c>
      <c r="Y32" s="1">
        <v>112.7</v>
      </c>
      <c r="Z32" s="1">
        <f t="shared" si="6"/>
        <v>185.41000000000003</v>
      </c>
      <c r="AA32" s="44"/>
      <c r="AB32" s="1">
        <f t="shared" si="7"/>
        <v>18.700000000000003</v>
      </c>
      <c r="AC32" s="44"/>
      <c r="AD32" s="8">
        <f t="shared" si="8"/>
        <v>10.085755892346691</v>
      </c>
      <c r="AE32" s="44"/>
      <c r="AF32" s="58"/>
      <c r="AH32" s="6"/>
      <c r="AI32" s="5">
        <v>4</v>
      </c>
      <c r="AJ32" s="4">
        <v>44.32</v>
      </c>
      <c r="AL32" s="6"/>
      <c r="AM32" s="5">
        <v>4</v>
      </c>
      <c r="AN32" s="4">
        <v>94</v>
      </c>
    </row>
    <row r="33" spans="1:40" x14ac:dyDescent="0.25">
      <c r="A33" s="17" t="s">
        <v>24</v>
      </c>
      <c r="B33" s="16">
        <v>1</v>
      </c>
      <c r="C33" s="10">
        <v>18</v>
      </c>
      <c r="D33" s="1">
        <v>74.47</v>
      </c>
      <c r="E33" s="1">
        <v>48.06</v>
      </c>
      <c r="F33" s="1">
        <f t="shared" si="0"/>
        <v>28.17</v>
      </c>
      <c r="G33" s="44">
        <f t="shared" ref="G33" si="46">AVERAGE(F33:F36)</f>
        <v>28.68</v>
      </c>
      <c r="H33" s="1">
        <f t="shared" si="1"/>
        <v>1.7600000000000051</v>
      </c>
      <c r="I33" s="44">
        <f>AVERAGE(H33:H36)</f>
        <v>1.9375000000000018</v>
      </c>
      <c r="J33" s="8">
        <f t="shared" si="2"/>
        <v>6.2477813276535494</v>
      </c>
      <c r="K33" s="44">
        <f t="shared" ref="K33" si="47">AVERAGE(J33:J36)</f>
        <v>6.7214252923708866</v>
      </c>
      <c r="L33" s="56">
        <f>_xlfn.STDEV.P(H33:H36)</f>
        <v>0.34412025514345934</v>
      </c>
      <c r="M33" s="10">
        <v>18</v>
      </c>
      <c r="N33" s="1">
        <v>110.69</v>
      </c>
      <c r="O33" s="1">
        <v>51.94</v>
      </c>
      <c r="P33" s="1">
        <f t="shared" si="23"/>
        <v>64.39</v>
      </c>
      <c r="Q33" s="44">
        <f t="shared" ref="Q33" si="48">AVERAGE(P33:P36)</f>
        <v>66.372500000000002</v>
      </c>
      <c r="R33" s="1">
        <f t="shared" si="4"/>
        <v>5.6400000000000006</v>
      </c>
      <c r="S33" s="44">
        <f>AVERAGE(R33:R36)</f>
        <v>6.2899999999999991</v>
      </c>
      <c r="T33" s="8">
        <f t="shared" si="5"/>
        <v>8.7591240875912426</v>
      </c>
      <c r="U33" s="44">
        <f t="shared" ref="U33" si="49">AVERAGE(T33:T36)</f>
        <v>9.4660239873312459</v>
      </c>
      <c r="V33" s="56">
        <f>_xlfn.STDEV.P(R33:R36)</f>
        <v>0.64741794846914369</v>
      </c>
      <c r="W33" s="10">
        <v>47</v>
      </c>
      <c r="X33" s="1">
        <v>246.94</v>
      </c>
      <c r="Y33" s="1">
        <v>112.75</v>
      </c>
      <c r="Z33" s="1">
        <f t="shared" si="6"/>
        <v>152.82</v>
      </c>
      <c r="AA33" s="44">
        <f t="shared" ref="AA33" si="50">AVERAGE(Z33:Z36)</f>
        <v>186.11750000000001</v>
      </c>
      <c r="AB33" s="1">
        <f t="shared" si="7"/>
        <v>18.629999999999995</v>
      </c>
      <c r="AC33" s="44">
        <f>AVERAGE(AB33:AB36)</f>
        <v>19.59</v>
      </c>
      <c r="AD33" s="8">
        <f t="shared" si="8"/>
        <v>12.190812720848053</v>
      </c>
      <c r="AE33" s="44">
        <f t="shared" ref="AE33" si="51">AVERAGE(AD33:AD36)</f>
        <v>10.616407577266296</v>
      </c>
      <c r="AF33" s="56">
        <f>_xlfn.STDEV.P(AB33:AB36)</f>
        <v>1.0839741694339413</v>
      </c>
      <c r="AH33" s="17">
        <v>8</v>
      </c>
      <c r="AI33" s="16">
        <v>1</v>
      </c>
      <c r="AJ33" s="15">
        <v>46.3</v>
      </c>
      <c r="AL33" s="17">
        <v>8</v>
      </c>
      <c r="AM33" s="16">
        <v>1</v>
      </c>
      <c r="AN33" s="15">
        <v>94.12</v>
      </c>
    </row>
    <row r="34" spans="1:40" x14ac:dyDescent="0.25">
      <c r="A34" s="14"/>
      <c r="B34" s="13">
        <v>2</v>
      </c>
      <c r="C34" s="10">
        <v>18</v>
      </c>
      <c r="D34" s="1">
        <v>73.67</v>
      </c>
      <c r="E34" s="1">
        <v>46.35</v>
      </c>
      <c r="F34" s="1">
        <f t="shared" si="0"/>
        <v>29.1</v>
      </c>
      <c r="G34" s="44"/>
      <c r="H34" s="1">
        <f t="shared" si="1"/>
        <v>1.7800000000000011</v>
      </c>
      <c r="I34" s="44"/>
      <c r="J34" s="8">
        <f t="shared" si="2"/>
        <v>6.1168384879725117</v>
      </c>
      <c r="K34" s="44"/>
      <c r="L34" s="57"/>
      <c r="M34" s="10">
        <v>18</v>
      </c>
      <c r="N34" s="1">
        <v>108.14</v>
      </c>
      <c r="O34" s="1">
        <v>50.25</v>
      </c>
      <c r="P34" s="1">
        <f t="shared" si="23"/>
        <v>63.57</v>
      </c>
      <c r="Q34" s="44"/>
      <c r="R34" s="1">
        <f t="shared" si="4"/>
        <v>5.68</v>
      </c>
      <c r="S34" s="44"/>
      <c r="T34" s="8">
        <f t="shared" si="5"/>
        <v>8.9350322479156823</v>
      </c>
      <c r="U34" s="44"/>
      <c r="V34" s="57"/>
      <c r="W34" s="10">
        <v>47</v>
      </c>
      <c r="X34" s="1">
        <v>287.04000000000002</v>
      </c>
      <c r="Y34" s="1">
        <v>112.06</v>
      </c>
      <c r="Z34" s="1">
        <f t="shared" si="6"/>
        <v>193.43</v>
      </c>
      <c r="AA34" s="44"/>
      <c r="AB34" s="1">
        <f t="shared" si="7"/>
        <v>18.450000000000003</v>
      </c>
      <c r="AC34" s="44"/>
      <c r="AD34" s="8">
        <f t="shared" si="8"/>
        <v>9.5383342811352954</v>
      </c>
      <c r="AE34" s="44"/>
      <c r="AF34" s="57"/>
      <c r="AH34" s="14"/>
      <c r="AI34" s="13">
        <v>2</v>
      </c>
      <c r="AJ34" s="12">
        <v>44.57</v>
      </c>
      <c r="AL34" s="14"/>
      <c r="AM34" s="13">
        <v>2</v>
      </c>
      <c r="AN34" s="12">
        <v>93.61</v>
      </c>
    </row>
    <row r="35" spans="1:40" x14ac:dyDescent="0.25">
      <c r="A35" s="14"/>
      <c r="B35" s="13">
        <v>3</v>
      </c>
      <c r="C35" s="10">
        <v>18</v>
      </c>
      <c r="D35" s="1">
        <v>71.25</v>
      </c>
      <c r="E35" s="1">
        <v>46.19</v>
      </c>
      <c r="F35" s="1">
        <f t="shared" si="0"/>
        <v>26.740000000000002</v>
      </c>
      <c r="G35" s="44"/>
      <c r="H35" s="1">
        <f t="shared" si="1"/>
        <v>1.6799999999999997</v>
      </c>
      <c r="I35" s="44"/>
      <c r="J35" s="8">
        <f t="shared" si="2"/>
        <v>6.2827225130890039</v>
      </c>
      <c r="K35" s="44"/>
      <c r="L35" s="57"/>
      <c r="M35" s="10">
        <v>18</v>
      </c>
      <c r="N35" s="1">
        <v>115.59</v>
      </c>
      <c r="O35" s="1">
        <v>51.22</v>
      </c>
      <c r="P35" s="1">
        <f t="shared" si="23"/>
        <v>71.080000000000013</v>
      </c>
      <c r="Q35" s="44"/>
      <c r="R35" s="1">
        <f t="shared" si="4"/>
        <v>6.7100000000000009</v>
      </c>
      <c r="S35" s="44"/>
      <c r="T35" s="8">
        <f t="shared" si="5"/>
        <v>9.4400675295441747</v>
      </c>
      <c r="U35" s="44"/>
      <c r="V35" s="57"/>
      <c r="W35" s="10">
        <v>48</v>
      </c>
      <c r="X35" s="1">
        <v>287.5</v>
      </c>
      <c r="Y35" s="1">
        <v>113.8</v>
      </c>
      <c r="Z35" s="1">
        <f t="shared" si="6"/>
        <v>193.97</v>
      </c>
      <c r="AA35" s="44"/>
      <c r="AB35" s="1">
        <f t="shared" si="7"/>
        <v>20.269999999999996</v>
      </c>
      <c r="AC35" s="44"/>
      <c r="AD35" s="8">
        <f t="shared" si="8"/>
        <v>10.450069598391503</v>
      </c>
      <c r="AE35" s="44"/>
      <c r="AF35" s="57"/>
      <c r="AH35" s="14"/>
      <c r="AI35" s="13">
        <v>3</v>
      </c>
      <c r="AJ35" s="12">
        <v>44.51</v>
      </c>
      <c r="AL35" s="14"/>
      <c r="AM35" s="13">
        <v>3</v>
      </c>
      <c r="AN35" s="12">
        <v>93.53</v>
      </c>
    </row>
    <row r="36" spans="1:40" ht="15.75" thickBot="1" x14ac:dyDescent="0.3">
      <c r="A36" s="6"/>
      <c r="B36" s="5">
        <v>4</v>
      </c>
      <c r="C36" s="10">
        <v>18</v>
      </c>
      <c r="D36" s="1">
        <v>74.77</v>
      </c>
      <c r="E36" s="1">
        <v>46.59</v>
      </c>
      <c r="F36" s="1">
        <f t="shared" si="0"/>
        <v>30.709999999999994</v>
      </c>
      <c r="G36" s="44"/>
      <c r="H36" s="1">
        <f t="shared" si="1"/>
        <v>2.5300000000000011</v>
      </c>
      <c r="I36" s="44"/>
      <c r="J36" s="8">
        <f t="shared" si="2"/>
        <v>8.238358840768484</v>
      </c>
      <c r="K36" s="44"/>
      <c r="L36" s="58"/>
      <c r="M36" s="10">
        <v>18</v>
      </c>
      <c r="N36" s="1">
        <v>110.51</v>
      </c>
      <c r="O36" s="1">
        <v>51.19</v>
      </c>
      <c r="P36" s="1">
        <f t="shared" si="23"/>
        <v>66.45</v>
      </c>
      <c r="Q36" s="44"/>
      <c r="R36" s="1">
        <f t="shared" si="4"/>
        <v>7.1299999999999955</v>
      </c>
      <c r="S36" s="44"/>
      <c r="T36" s="8">
        <f t="shared" si="5"/>
        <v>10.729872084273884</v>
      </c>
      <c r="U36" s="44"/>
      <c r="V36" s="58"/>
      <c r="W36" s="10">
        <v>48</v>
      </c>
      <c r="X36" s="1">
        <v>298.16000000000003</v>
      </c>
      <c r="Y36" s="1">
        <v>114.92</v>
      </c>
      <c r="Z36" s="1">
        <f t="shared" si="6"/>
        <v>204.25000000000003</v>
      </c>
      <c r="AA36" s="44"/>
      <c r="AB36" s="1">
        <f t="shared" si="7"/>
        <v>21.010000000000005</v>
      </c>
      <c r="AC36" s="44"/>
      <c r="AD36" s="8">
        <f t="shared" si="8"/>
        <v>10.286413708690331</v>
      </c>
      <c r="AE36" s="44"/>
      <c r="AF36" s="58"/>
      <c r="AH36" s="6"/>
      <c r="AI36" s="5">
        <v>4</v>
      </c>
      <c r="AJ36" s="4">
        <v>44.06</v>
      </c>
      <c r="AL36" s="6"/>
      <c r="AM36" s="5">
        <v>4</v>
      </c>
      <c r="AN36" s="4">
        <v>93.91</v>
      </c>
    </row>
    <row r="37" spans="1:40" x14ac:dyDescent="0.25">
      <c r="A37" s="17" t="s">
        <v>25</v>
      </c>
      <c r="B37" s="16">
        <v>1</v>
      </c>
      <c r="C37" s="10">
        <v>18</v>
      </c>
      <c r="D37" s="1">
        <v>72.38</v>
      </c>
      <c r="E37" s="1">
        <v>46.42</v>
      </c>
      <c r="F37" s="1">
        <f t="shared" si="0"/>
        <v>27.769999999999996</v>
      </c>
      <c r="G37" s="44">
        <f t="shared" ref="G37" si="52">AVERAGE(F37:F40)</f>
        <v>27.73</v>
      </c>
      <c r="H37" s="1">
        <f t="shared" si="1"/>
        <v>1.8100000000000023</v>
      </c>
      <c r="I37" s="44">
        <f>AVERAGE(H37:H40)</f>
        <v>1.7874999999999996</v>
      </c>
      <c r="J37" s="8">
        <f t="shared" si="2"/>
        <v>6.5178249909974877</v>
      </c>
      <c r="K37" s="44">
        <f t="shared" ref="K37" si="53">AVERAGE(J37:J40)</f>
        <v>6.4400707483048762</v>
      </c>
      <c r="L37" s="56">
        <f>_xlfn.STDEV.P(H37:H40)</f>
        <v>0.11453711188955092</v>
      </c>
      <c r="M37" s="10">
        <v>18</v>
      </c>
      <c r="N37" s="34">
        <v>134.65</v>
      </c>
      <c r="O37" s="1">
        <v>52.61</v>
      </c>
      <c r="P37" s="1">
        <f t="shared" si="23"/>
        <v>90.04</v>
      </c>
      <c r="Q37" s="44">
        <f t="shared" ref="Q37" si="54">AVERAGE(P37:P40)</f>
        <v>79.664999999999992</v>
      </c>
      <c r="R37" s="1">
        <f t="shared" si="4"/>
        <v>8</v>
      </c>
      <c r="S37" s="44">
        <f>AVERAGE(R37:R40)</f>
        <v>6.932500000000001</v>
      </c>
      <c r="T37" s="8">
        <f t="shared" si="5"/>
        <v>8.8849400266548191</v>
      </c>
      <c r="U37" s="44">
        <f t="shared" ref="U37" si="55">AVERAGE(T37:T40)</f>
        <v>8.6926170146390973</v>
      </c>
      <c r="V37" s="56">
        <f>_xlfn.STDEV.P(R37:R40)</f>
        <v>0.76319640329341432</v>
      </c>
      <c r="W37" s="10">
        <v>47</v>
      </c>
      <c r="X37" s="1">
        <v>329.82</v>
      </c>
      <c r="Y37" s="1">
        <v>115.89</v>
      </c>
      <c r="Z37" s="1">
        <f t="shared" si="6"/>
        <v>235.57</v>
      </c>
      <c r="AA37" s="44">
        <f t="shared" ref="AA37" si="56">AVERAGE(Z37:Z40)</f>
        <v>239.97500000000002</v>
      </c>
      <c r="AB37" s="1">
        <f t="shared" si="7"/>
        <v>21.64</v>
      </c>
      <c r="AC37" s="44">
        <f>AVERAGE(AB37:AB40)</f>
        <v>22.667500000000004</v>
      </c>
      <c r="AD37" s="8">
        <f t="shared" si="8"/>
        <v>9.1862291463259336</v>
      </c>
      <c r="AE37" s="44">
        <f t="shared" ref="AE37" si="57">AVERAGE(AD37:AD40)</f>
        <v>9.4444652714329429</v>
      </c>
      <c r="AF37" s="56">
        <f>_xlfn.STDEV.P(AB37:AB40)</f>
        <v>0.9552584728752741</v>
      </c>
      <c r="AH37" s="17">
        <v>9</v>
      </c>
      <c r="AI37" s="16">
        <v>1</v>
      </c>
      <c r="AJ37" s="15">
        <v>44.61</v>
      </c>
      <c r="AL37" s="17">
        <v>9</v>
      </c>
      <c r="AM37" s="16">
        <v>1</v>
      </c>
      <c r="AN37" s="15">
        <v>94.25</v>
      </c>
    </row>
    <row r="38" spans="1:40" x14ac:dyDescent="0.25">
      <c r="A38" s="14"/>
      <c r="B38" s="13">
        <v>2</v>
      </c>
      <c r="C38" s="10">
        <v>18</v>
      </c>
      <c r="D38" s="1">
        <v>73.650000000000006</v>
      </c>
      <c r="E38" s="1">
        <v>48.07</v>
      </c>
      <c r="F38" s="1">
        <f t="shared" si="0"/>
        <v>27.340000000000003</v>
      </c>
      <c r="G38" s="44"/>
      <c r="H38" s="1">
        <f t="shared" si="1"/>
        <v>1.759999999999998</v>
      </c>
      <c r="I38" s="44"/>
      <c r="J38" s="8">
        <f t="shared" si="2"/>
        <v>6.4374542794440295</v>
      </c>
      <c r="K38" s="44"/>
      <c r="L38" s="57"/>
      <c r="M38" s="10">
        <v>18</v>
      </c>
      <c r="N38" s="34">
        <v>118.48</v>
      </c>
      <c r="O38" s="1">
        <v>52.35</v>
      </c>
      <c r="P38" s="1">
        <f t="shared" si="23"/>
        <v>72.17</v>
      </c>
      <c r="Q38" s="44"/>
      <c r="R38" s="1">
        <f t="shared" si="4"/>
        <v>6.0399999999999991</v>
      </c>
      <c r="S38" s="44"/>
      <c r="T38" s="8">
        <f t="shared" si="5"/>
        <v>8.369128446723014</v>
      </c>
      <c r="U38" s="44"/>
      <c r="V38" s="57"/>
      <c r="W38" s="10">
        <v>46</v>
      </c>
      <c r="X38" s="1">
        <v>325.12</v>
      </c>
      <c r="Y38" s="1">
        <v>116.18</v>
      </c>
      <c r="Z38" s="1">
        <f t="shared" si="6"/>
        <v>231.27</v>
      </c>
      <c r="AA38" s="44"/>
      <c r="AB38" s="1">
        <f t="shared" si="7"/>
        <v>22.330000000000013</v>
      </c>
      <c r="AC38" s="44"/>
      <c r="AD38" s="8">
        <f t="shared" si="8"/>
        <v>9.6553811562243315</v>
      </c>
      <c r="AE38" s="44"/>
      <c r="AF38" s="57"/>
      <c r="AH38" s="14"/>
      <c r="AI38" s="13">
        <v>2</v>
      </c>
      <c r="AJ38" s="12">
        <v>46.31</v>
      </c>
      <c r="AL38" s="14"/>
      <c r="AM38" s="13">
        <v>2</v>
      </c>
      <c r="AN38" s="12">
        <v>93.85</v>
      </c>
    </row>
    <row r="39" spans="1:40" x14ac:dyDescent="0.25">
      <c r="A39" s="14"/>
      <c r="B39" s="13">
        <v>3</v>
      </c>
      <c r="C39" s="10">
        <v>18</v>
      </c>
      <c r="D39" s="1">
        <v>73.98</v>
      </c>
      <c r="E39" s="1">
        <v>46.48</v>
      </c>
      <c r="F39" s="1">
        <f t="shared" si="0"/>
        <v>29.450000000000003</v>
      </c>
      <c r="G39" s="44"/>
      <c r="H39" s="1">
        <f t="shared" si="1"/>
        <v>1.9499999999999957</v>
      </c>
      <c r="I39" s="44"/>
      <c r="J39" s="8">
        <f t="shared" si="2"/>
        <v>6.6213921901527861</v>
      </c>
      <c r="K39" s="44"/>
      <c r="L39" s="57"/>
      <c r="M39" s="10">
        <v>18</v>
      </c>
      <c r="N39" s="34">
        <v>121.83</v>
      </c>
      <c r="O39" s="1">
        <v>51.81</v>
      </c>
      <c r="P39" s="1">
        <f t="shared" si="23"/>
        <v>77.3</v>
      </c>
      <c r="Q39" s="44"/>
      <c r="R39" s="1">
        <f t="shared" si="4"/>
        <v>7.2800000000000011</v>
      </c>
      <c r="S39" s="44"/>
      <c r="T39" s="8">
        <f t="shared" si="5"/>
        <v>9.4178525226390715</v>
      </c>
      <c r="U39" s="44"/>
      <c r="V39" s="57"/>
      <c r="W39" s="10">
        <v>48</v>
      </c>
      <c r="X39" s="1">
        <v>336.22</v>
      </c>
      <c r="Y39" s="1">
        <v>116.4</v>
      </c>
      <c r="Z39" s="1">
        <f t="shared" si="6"/>
        <v>242.29000000000002</v>
      </c>
      <c r="AA39" s="44"/>
      <c r="AB39" s="1">
        <f t="shared" si="7"/>
        <v>22.47</v>
      </c>
      <c r="AC39" s="44"/>
      <c r="AD39" s="8">
        <f t="shared" si="8"/>
        <v>9.274010483305128</v>
      </c>
      <c r="AE39" s="44"/>
      <c r="AF39" s="57"/>
      <c r="AH39" s="14"/>
      <c r="AI39" s="13">
        <v>3</v>
      </c>
      <c r="AJ39" s="12">
        <v>44.53</v>
      </c>
      <c r="AL39" s="14"/>
      <c r="AM39" s="13">
        <v>3</v>
      </c>
      <c r="AN39" s="12">
        <v>93.93</v>
      </c>
    </row>
    <row r="40" spans="1:40" ht="15.75" thickBot="1" x14ac:dyDescent="0.3">
      <c r="A40" s="6"/>
      <c r="B40" s="5">
        <v>4</v>
      </c>
      <c r="C40" s="10">
        <v>18</v>
      </c>
      <c r="D40" s="1">
        <v>71.05</v>
      </c>
      <c r="E40" s="1">
        <v>46.32</v>
      </c>
      <c r="F40" s="1">
        <f t="shared" si="0"/>
        <v>26.36</v>
      </c>
      <c r="G40" s="44"/>
      <c r="H40" s="1">
        <f t="shared" si="1"/>
        <v>1.6300000000000026</v>
      </c>
      <c r="I40" s="44"/>
      <c r="J40" s="8">
        <f t="shared" si="2"/>
        <v>6.1836115326251999</v>
      </c>
      <c r="K40" s="44"/>
      <c r="L40" s="58"/>
      <c r="M40" s="10">
        <v>18</v>
      </c>
      <c r="N40" s="34">
        <v>123.84</v>
      </c>
      <c r="O40" s="1">
        <v>51.1</v>
      </c>
      <c r="P40" s="1">
        <f t="shared" si="23"/>
        <v>79.150000000000006</v>
      </c>
      <c r="Q40" s="44"/>
      <c r="R40" s="1">
        <f t="shared" si="4"/>
        <v>6.4100000000000037</v>
      </c>
      <c r="S40" s="44"/>
      <c r="T40" s="8">
        <f t="shared" si="5"/>
        <v>8.0985470625394846</v>
      </c>
      <c r="U40" s="44"/>
      <c r="V40" s="58"/>
      <c r="W40" s="10">
        <v>48</v>
      </c>
      <c r="X40" s="1">
        <v>344.71</v>
      </c>
      <c r="Y40" s="1">
        <v>118.17</v>
      </c>
      <c r="Z40" s="1">
        <f t="shared" si="6"/>
        <v>250.76999999999998</v>
      </c>
      <c r="AA40" s="44"/>
      <c r="AB40" s="1">
        <f t="shared" si="7"/>
        <v>24.230000000000004</v>
      </c>
      <c r="AC40" s="44"/>
      <c r="AD40" s="8">
        <f t="shared" si="8"/>
        <v>9.6622402998763821</v>
      </c>
      <c r="AE40" s="44"/>
      <c r="AF40" s="58"/>
      <c r="AH40" s="6"/>
      <c r="AI40" s="5">
        <v>4</v>
      </c>
      <c r="AJ40" s="4">
        <v>44.69</v>
      </c>
      <c r="AL40" s="6"/>
      <c r="AM40" s="5">
        <v>4</v>
      </c>
      <c r="AN40" s="4">
        <v>93.94</v>
      </c>
    </row>
    <row r="41" spans="1:40" x14ac:dyDescent="0.25">
      <c r="A41" s="17" t="s">
        <v>26</v>
      </c>
      <c r="B41" s="16">
        <v>1</v>
      </c>
      <c r="C41" s="10">
        <v>18</v>
      </c>
      <c r="D41" s="1">
        <v>76.569999999999993</v>
      </c>
      <c r="E41" s="1">
        <v>46.57</v>
      </c>
      <c r="F41" s="1">
        <f t="shared" si="0"/>
        <v>32.009999999999991</v>
      </c>
      <c r="G41" s="44">
        <f t="shared" ref="G41" si="58">AVERAGE(F41:F44)</f>
        <v>30.682499999999997</v>
      </c>
      <c r="H41" s="1">
        <f t="shared" si="1"/>
        <v>2.009999999999998</v>
      </c>
      <c r="I41" s="44">
        <f>AVERAGE(H41:H44)</f>
        <v>1.8900000000000006</v>
      </c>
      <c r="J41" s="8">
        <f t="shared" si="2"/>
        <v>6.2792877225866874</v>
      </c>
      <c r="K41" s="44">
        <f t="shared" ref="K41" si="59">AVERAGE(J41:J44)</f>
        <v>6.1587776316546679</v>
      </c>
      <c r="L41" s="56">
        <f>_xlfn.STDEV.P(H41:H44)</f>
        <v>0.21213203435596409</v>
      </c>
      <c r="M41" s="10">
        <v>18</v>
      </c>
      <c r="N41" s="35">
        <v>135.38</v>
      </c>
      <c r="O41" s="1">
        <v>51.27</v>
      </c>
      <c r="P41" s="1">
        <f t="shared" si="23"/>
        <v>90.82</v>
      </c>
      <c r="Q41" s="44">
        <f t="shared" ref="Q41" si="60">AVERAGE(P41:P44)</f>
        <v>91.85499999999999</v>
      </c>
      <c r="R41" s="1">
        <f t="shared" si="4"/>
        <v>6.7100000000000009</v>
      </c>
      <c r="S41" s="44">
        <f>AVERAGE(R41:R44)</f>
        <v>7.3725000000000005</v>
      </c>
      <c r="T41" s="8">
        <f t="shared" si="5"/>
        <v>7.388240475666155</v>
      </c>
      <c r="U41" s="44">
        <f t="shared" ref="U41" si="61">AVERAGE(T41:T44)</f>
        <v>8.0450510602119909</v>
      </c>
      <c r="V41" s="56">
        <f>_xlfn.STDEV.P(R41:R44)</f>
        <v>0.61075260949094612</v>
      </c>
      <c r="W41" s="10">
        <v>48</v>
      </c>
      <c r="X41" s="1">
        <v>351.2</v>
      </c>
      <c r="Y41" s="1">
        <v>115.52500000000001</v>
      </c>
      <c r="Z41" s="1">
        <f t="shared" si="6"/>
        <v>257.41999999999996</v>
      </c>
      <c r="AA41" s="44">
        <f t="shared" ref="AA41" si="62">AVERAGE(Z41:Z44)</f>
        <v>272.04750000000001</v>
      </c>
      <c r="AB41" s="1">
        <f t="shared" si="7"/>
        <v>21.745000000000005</v>
      </c>
      <c r="AC41" s="44">
        <f>AVERAGE(AB41:AB44)</f>
        <v>23.601250000000004</v>
      </c>
      <c r="AD41" s="8">
        <f t="shared" si="8"/>
        <v>8.4472845932716982</v>
      </c>
      <c r="AE41" s="44">
        <f t="shared" ref="AE41" si="63">AVERAGE(AD41:AD44)</f>
        <v>8.6642874248654138</v>
      </c>
      <c r="AF41" s="56">
        <f>_xlfn.STDEV.P(AB41:AB44)</f>
        <v>1.8060743859265553</v>
      </c>
      <c r="AH41" s="17">
        <v>10</v>
      </c>
      <c r="AI41" s="16">
        <v>1</v>
      </c>
      <c r="AJ41" s="15">
        <v>44.56</v>
      </c>
      <c r="AL41" s="17">
        <v>10</v>
      </c>
      <c r="AM41" s="16">
        <v>1</v>
      </c>
      <c r="AN41" s="15">
        <v>93.78</v>
      </c>
    </row>
    <row r="42" spans="1:40" x14ac:dyDescent="0.25">
      <c r="A42" s="14"/>
      <c r="B42" s="13">
        <v>2</v>
      </c>
      <c r="C42" s="10">
        <v>18</v>
      </c>
      <c r="D42" s="1">
        <v>69.459999999999994</v>
      </c>
      <c r="E42" s="1">
        <v>46.07</v>
      </c>
      <c r="F42" s="1">
        <f t="shared" si="0"/>
        <v>24.919999999999995</v>
      </c>
      <c r="G42" s="44"/>
      <c r="H42" s="1">
        <f t="shared" si="1"/>
        <v>1.5300000000000011</v>
      </c>
      <c r="I42" s="44"/>
      <c r="J42" s="8">
        <f t="shared" si="2"/>
        <v>6.1396468699839541</v>
      </c>
      <c r="K42" s="44"/>
      <c r="L42" s="57"/>
      <c r="M42" s="10">
        <v>18</v>
      </c>
      <c r="N42" s="34">
        <v>123.38</v>
      </c>
      <c r="O42" s="1">
        <v>51.36</v>
      </c>
      <c r="P42" s="1">
        <f t="shared" si="23"/>
        <v>78.84</v>
      </c>
      <c r="Q42" s="44"/>
      <c r="R42" s="1">
        <f t="shared" si="4"/>
        <v>6.82</v>
      </c>
      <c r="S42" s="44"/>
      <c r="T42" s="8">
        <f t="shared" si="5"/>
        <v>8.6504312531709786</v>
      </c>
      <c r="U42" s="44"/>
      <c r="V42" s="57"/>
      <c r="W42" s="10">
        <v>48</v>
      </c>
      <c r="X42" s="1">
        <v>358.46</v>
      </c>
      <c r="Y42" s="1">
        <v>116.15</v>
      </c>
      <c r="Z42" s="1">
        <f t="shared" si="6"/>
        <v>264.44</v>
      </c>
      <c r="AA42" s="44"/>
      <c r="AB42" s="1">
        <f t="shared" si="7"/>
        <v>22.13000000000001</v>
      </c>
      <c r="AC42" s="44"/>
      <c r="AD42" s="8">
        <f t="shared" si="8"/>
        <v>8.3686280441688137</v>
      </c>
      <c r="AE42" s="44"/>
      <c r="AF42" s="57"/>
      <c r="AH42" s="14"/>
      <c r="AI42" s="13">
        <v>2</v>
      </c>
      <c r="AJ42" s="12">
        <v>44.54</v>
      </c>
      <c r="AL42" s="14"/>
      <c r="AM42" s="13">
        <v>2</v>
      </c>
      <c r="AN42" s="12">
        <v>94.02</v>
      </c>
    </row>
    <row r="43" spans="1:40" x14ac:dyDescent="0.25">
      <c r="A43" s="14"/>
      <c r="B43" s="13">
        <v>3</v>
      </c>
      <c r="C43" s="10">
        <v>18</v>
      </c>
      <c r="D43" s="1">
        <v>78.13</v>
      </c>
      <c r="E43" s="1">
        <v>46.74</v>
      </c>
      <c r="F43" s="1">
        <f t="shared" si="0"/>
        <v>33.459999999999994</v>
      </c>
      <c r="G43" s="44"/>
      <c r="H43" s="1">
        <f t="shared" si="1"/>
        <v>2.0700000000000003</v>
      </c>
      <c r="I43" s="44"/>
      <c r="J43" s="8">
        <f t="shared" si="2"/>
        <v>6.1864913329348488</v>
      </c>
      <c r="K43" s="44"/>
      <c r="L43" s="57"/>
      <c r="M43" s="10">
        <v>18</v>
      </c>
      <c r="N43" s="34">
        <v>143.91999999999999</v>
      </c>
      <c r="O43" s="1">
        <v>52.58</v>
      </c>
      <c r="P43" s="1">
        <f t="shared" si="23"/>
        <v>99.249999999999986</v>
      </c>
      <c r="Q43" s="44"/>
      <c r="R43" s="1">
        <f t="shared" si="4"/>
        <v>7.9099999999999966</v>
      </c>
      <c r="S43" s="44"/>
      <c r="T43" s="8">
        <f t="shared" si="5"/>
        <v>7.969773299748109</v>
      </c>
      <c r="U43" s="44"/>
      <c r="V43" s="57"/>
      <c r="W43" s="10">
        <v>48</v>
      </c>
      <c r="X43" s="1">
        <v>367.81</v>
      </c>
      <c r="Y43" s="1">
        <v>118.17</v>
      </c>
      <c r="Z43" s="1">
        <f t="shared" si="6"/>
        <v>273.93</v>
      </c>
      <c r="AA43" s="44"/>
      <c r="AB43" s="1">
        <f t="shared" si="7"/>
        <v>24.290000000000006</v>
      </c>
      <c r="AC43" s="44"/>
      <c r="AD43" s="8">
        <f t="shared" si="8"/>
        <v>8.8672288540868127</v>
      </c>
      <c r="AE43" s="44"/>
      <c r="AF43" s="57"/>
      <c r="AH43" s="14"/>
      <c r="AI43" s="13">
        <v>3</v>
      </c>
      <c r="AJ43" s="12">
        <v>44.67</v>
      </c>
      <c r="AL43" s="14"/>
      <c r="AM43" s="13">
        <v>3</v>
      </c>
      <c r="AN43" s="12">
        <v>93.88</v>
      </c>
    </row>
    <row r="44" spans="1:40" ht="15.75" thickBot="1" x14ac:dyDescent="0.3">
      <c r="A44" s="6"/>
      <c r="B44" s="5">
        <v>4</v>
      </c>
      <c r="C44" s="10">
        <v>18</v>
      </c>
      <c r="D44" s="1">
        <v>77</v>
      </c>
      <c r="E44" s="1">
        <v>46.61</v>
      </c>
      <c r="F44" s="1">
        <f t="shared" si="0"/>
        <v>32.340000000000003</v>
      </c>
      <c r="G44" s="44"/>
      <c r="H44" s="1">
        <f t="shared" si="1"/>
        <v>1.9500000000000028</v>
      </c>
      <c r="I44" s="44"/>
      <c r="J44" s="8">
        <f t="shared" si="2"/>
        <v>6.0296846011131811</v>
      </c>
      <c r="K44" s="44"/>
      <c r="L44" s="58"/>
      <c r="M44" s="10">
        <v>18</v>
      </c>
      <c r="N44" s="34">
        <v>143.16999999999999</v>
      </c>
      <c r="O44" s="1">
        <v>52.71</v>
      </c>
      <c r="P44" s="1">
        <f t="shared" si="23"/>
        <v>98.509999999999991</v>
      </c>
      <c r="Q44" s="44"/>
      <c r="R44" s="1">
        <f t="shared" si="4"/>
        <v>8.0500000000000043</v>
      </c>
      <c r="S44" s="44"/>
      <c r="T44" s="8">
        <f t="shared" si="5"/>
        <v>8.1717592122627192</v>
      </c>
      <c r="U44" s="44"/>
      <c r="V44" s="58"/>
      <c r="W44" s="10">
        <v>48</v>
      </c>
      <c r="X44" s="1">
        <v>386.26</v>
      </c>
      <c r="Y44" s="1">
        <v>120.1</v>
      </c>
      <c r="Z44" s="1">
        <f t="shared" si="6"/>
        <v>292.39999999999998</v>
      </c>
      <c r="AA44" s="44"/>
      <c r="AB44" s="1">
        <f t="shared" si="7"/>
        <v>26.239999999999995</v>
      </c>
      <c r="AC44" s="44"/>
      <c r="AD44" s="8">
        <f t="shared" si="8"/>
        <v>8.974008207934336</v>
      </c>
      <c r="AE44" s="44"/>
      <c r="AF44" s="58"/>
      <c r="AH44" s="6"/>
      <c r="AI44" s="5">
        <v>4</v>
      </c>
      <c r="AJ44" s="4">
        <v>44.66</v>
      </c>
      <c r="AL44" s="6"/>
      <c r="AM44" s="5">
        <v>4</v>
      </c>
      <c r="AN44" s="4">
        <v>93.86</v>
      </c>
    </row>
    <row r="45" spans="1:40" x14ac:dyDescent="0.25">
      <c r="A45" s="17" t="s">
        <v>27</v>
      </c>
      <c r="B45" s="16">
        <v>1</v>
      </c>
      <c r="C45" s="10">
        <v>18</v>
      </c>
      <c r="D45" s="1">
        <v>74.430000000000007</v>
      </c>
      <c r="E45" s="1">
        <v>46.58</v>
      </c>
      <c r="F45" s="1">
        <f t="shared" si="0"/>
        <v>29.830000000000005</v>
      </c>
      <c r="G45" s="44">
        <f t="shared" ref="G45" si="64">AVERAGE(F45:F48)</f>
        <v>29.620000000000005</v>
      </c>
      <c r="H45" s="1">
        <f t="shared" si="1"/>
        <v>1.9799999999999969</v>
      </c>
      <c r="I45" s="44">
        <f>AVERAGE(H45:H48)</f>
        <v>1.9449999999999985</v>
      </c>
      <c r="J45" s="8">
        <f t="shared" si="2"/>
        <v>6.6376131411330759</v>
      </c>
      <c r="K45" s="44">
        <f t="shared" ref="K45" si="65">AVERAGE(J45:J48)</f>
        <v>6.565700595506696</v>
      </c>
      <c r="L45" s="56">
        <f>_xlfn.STDEV.P(H45:H48)</f>
        <v>8.616843969807092E-2</v>
      </c>
      <c r="M45" s="10">
        <v>18</v>
      </c>
      <c r="N45" s="34">
        <v>149.94999999999999</v>
      </c>
      <c r="O45" s="1">
        <v>53.03</v>
      </c>
      <c r="P45" s="1">
        <f t="shared" si="23"/>
        <v>105.35</v>
      </c>
      <c r="Q45" s="44">
        <f t="shared" ref="Q45" si="66">AVERAGE(P45:P48)</f>
        <v>97.992499999999993</v>
      </c>
      <c r="R45" s="1">
        <f t="shared" si="4"/>
        <v>8.43</v>
      </c>
      <c r="S45" s="44">
        <f>AVERAGE(R45:R48)</f>
        <v>8.0124999999999993</v>
      </c>
      <c r="T45" s="8">
        <f t="shared" si="5"/>
        <v>8.0018984337921211</v>
      </c>
      <c r="U45" s="44">
        <f t="shared" ref="U45" si="67">AVERAGE(T45:T48)</f>
        <v>8.1947308287473799</v>
      </c>
      <c r="V45" s="56">
        <f>_xlfn.STDEV.P(R45:R48)</f>
        <v>0.60615076507416743</v>
      </c>
      <c r="W45" s="10">
        <v>48</v>
      </c>
      <c r="X45" s="1">
        <v>413.06</v>
      </c>
      <c r="Y45" s="1">
        <v>119.42</v>
      </c>
      <c r="Z45" s="1">
        <f t="shared" si="6"/>
        <v>319.31</v>
      </c>
      <c r="AA45" s="44">
        <f t="shared" ref="AA45" si="68">AVERAGE(Z45:Z48)</f>
        <v>304.96250000000003</v>
      </c>
      <c r="AB45" s="1">
        <f t="shared" si="7"/>
        <v>25.67</v>
      </c>
      <c r="AC45" s="44">
        <f>AVERAGE(AB45:AB48)</f>
        <v>25.7775</v>
      </c>
      <c r="AD45" s="8">
        <f t="shared" si="8"/>
        <v>8.0392095455826631</v>
      </c>
      <c r="AE45" s="44">
        <f t="shared" ref="AE45" si="69">AVERAGE(AD45:AD48)</f>
        <v>8.4787517366350933</v>
      </c>
      <c r="AF45" s="56">
        <f>_xlfn.STDEV.P(AB45:AB48)</f>
        <v>1.0083991025382741</v>
      </c>
      <c r="AH45" s="17">
        <v>11</v>
      </c>
      <c r="AI45" s="16">
        <v>1</v>
      </c>
      <c r="AJ45" s="15">
        <v>44.6</v>
      </c>
      <c r="AL45" s="17">
        <v>11</v>
      </c>
      <c r="AM45" s="16">
        <v>1</v>
      </c>
      <c r="AN45" s="15">
        <v>93.75</v>
      </c>
    </row>
    <row r="46" spans="1:40" x14ac:dyDescent="0.25">
      <c r="A46" s="14"/>
      <c r="B46" s="13">
        <v>2</v>
      </c>
      <c r="C46" s="10">
        <v>18</v>
      </c>
      <c r="D46" s="1">
        <v>76.17</v>
      </c>
      <c r="E46" s="1">
        <v>46.8</v>
      </c>
      <c r="F46" s="1">
        <f t="shared" si="0"/>
        <v>31.440000000000005</v>
      </c>
      <c r="G46" s="44"/>
      <c r="H46" s="1">
        <f t="shared" si="1"/>
        <v>2.0700000000000003</v>
      </c>
      <c r="I46" s="44"/>
      <c r="J46" s="8">
        <f t="shared" si="2"/>
        <v>6.5839694656488543</v>
      </c>
      <c r="K46" s="44"/>
      <c r="L46" s="57"/>
      <c r="M46" s="10">
        <v>18</v>
      </c>
      <c r="N46" s="34">
        <v>139.05000000000001</v>
      </c>
      <c r="O46" s="1">
        <v>52.28</v>
      </c>
      <c r="P46" s="1">
        <f t="shared" si="23"/>
        <v>94.320000000000022</v>
      </c>
      <c r="Q46" s="44"/>
      <c r="R46" s="1">
        <f t="shared" si="4"/>
        <v>7.5500000000000043</v>
      </c>
      <c r="S46" s="44"/>
      <c r="T46" s="8">
        <f t="shared" si="5"/>
        <v>8.0046649703138293</v>
      </c>
      <c r="U46" s="44"/>
      <c r="V46" s="57"/>
      <c r="W46" s="10">
        <v>48</v>
      </c>
      <c r="X46" s="1">
        <v>377.7</v>
      </c>
      <c r="Y46" s="1">
        <v>118.5</v>
      </c>
      <c r="Z46" s="1">
        <f t="shared" si="6"/>
        <v>283.37</v>
      </c>
      <c r="AA46" s="44"/>
      <c r="AB46" s="1">
        <f t="shared" si="7"/>
        <v>24.17</v>
      </c>
      <c r="AC46" s="44"/>
      <c r="AD46" s="8">
        <f t="shared" si="8"/>
        <v>8.5294844196633388</v>
      </c>
      <c r="AE46" s="44"/>
      <c r="AF46" s="57"/>
      <c r="AH46" s="14"/>
      <c r="AI46" s="13">
        <v>2</v>
      </c>
      <c r="AJ46" s="12">
        <v>44.73</v>
      </c>
      <c r="AL46" s="14"/>
      <c r="AM46" s="13">
        <v>2</v>
      </c>
      <c r="AN46" s="12">
        <v>94.33</v>
      </c>
    </row>
    <row r="47" spans="1:40" x14ac:dyDescent="0.25">
      <c r="A47" s="14"/>
      <c r="B47" s="13">
        <v>3</v>
      </c>
      <c r="C47" s="10">
        <v>18</v>
      </c>
      <c r="D47" s="1">
        <v>72.89</v>
      </c>
      <c r="E47" s="1">
        <v>46.43</v>
      </c>
      <c r="F47" s="1">
        <f t="shared" si="0"/>
        <v>28.33</v>
      </c>
      <c r="G47" s="44"/>
      <c r="H47" s="1">
        <f t="shared" si="1"/>
        <v>1.8699999999999974</v>
      </c>
      <c r="I47" s="44"/>
      <c r="J47" s="8">
        <f t="shared" si="2"/>
        <v>6.6007765619484564</v>
      </c>
      <c r="K47" s="44"/>
      <c r="L47" s="57"/>
      <c r="M47" s="10">
        <v>18</v>
      </c>
      <c r="N47" s="34">
        <v>152.28</v>
      </c>
      <c r="O47" s="1">
        <v>53.33</v>
      </c>
      <c r="P47" s="1">
        <f t="shared" si="23"/>
        <v>107.72</v>
      </c>
      <c r="Q47" s="44"/>
      <c r="R47" s="1">
        <f t="shared" si="4"/>
        <v>8.769999999999996</v>
      </c>
      <c r="S47" s="44"/>
      <c r="T47" s="8">
        <f t="shared" si="5"/>
        <v>8.1414779056813931</v>
      </c>
      <c r="U47" s="44"/>
      <c r="V47" s="57"/>
      <c r="W47" s="10">
        <v>46</v>
      </c>
      <c r="X47" s="1">
        <v>423.66</v>
      </c>
      <c r="Y47" s="1">
        <v>120.4</v>
      </c>
      <c r="Z47" s="1">
        <f t="shared" si="6"/>
        <v>329.87</v>
      </c>
      <c r="AA47" s="44"/>
      <c r="AB47" s="1">
        <f t="shared" si="7"/>
        <v>26.61</v>
      </c>
      <c r="AC47" s="44"/>
      <c r="AD47" s="8">
        <f t="shared" si="8"/>
        <v>8.0668141995331482</v>
      </c>
      <c r="AE47" s="44"/>
      <c r="AF47" s="57"/>
      <c r="AH47" s="14"/>
      <c r="AI47" s="13">
        <v>3</v>
      </c>
      <c r="AJ47" s="12">
        <v>44.56</v>
      </c>
      <c r="AL47" s="14"/>
      <c r="AM47" s="13">
        <v>3</v>
      </c>
      <c r="AN47" s="12">
        <v>93.79</v>
      </c>
    </row>
    <row r="48" spans="1:40" ht="15.75" thickBot="1" x14ac:dyDescent="0.3">
      <c r="A48" s="6"/>
      <c r="B48" s="5">
        <v>4</v>
      </c>
      <c r="C48" s="10">
        <v>18</v>
      </c>
      <c r="D48" s="1">
        <v>73.56</v>
      </c>
      <c r="E48" s="1">
        <v>46.54</v>
      </c>
      <c r="F48" s="1">
        <f t="shared" si="0"/>
        <v>28.880000000000003</v>
      </c>
      <c r="G48" s="44"/>
      <c r="H48" s="1">
        <f t="shared" si="1"/>
        <v>1.8599999999999994</v>
      </c>
      <c r="I48" s="44"/>
      <c r="J48" s="8">
        <f t="shared" si="2"/>
        <v>6.4404432132963967</v>
      </c>
      <c r="K48" s="44"/>
      <c r="L48" s="58"/>
      <c r="M48" s="10">
        <v>18</v>
      </c>
      <c r="N48" s="34">
        <v>129.26</v>
      </c>
      <c r="O48" s="1">
        <v>51.98</v>
      </c>
      <c r="P48" s="1">
        <f t="shared" si="23"/>
        <v>84.579999999999984</v>
      </c>
      <c r="Q48" s="44"/>
      <c r="R48" s="1">
        <f t="shared" si="4"/>
        <v>7.2999999999999972</v>
      </c>
      <c r="S48" s="44"/>
      <c r="T48" s="8">
        <f t="shared" si="5"/>
        <v>8.6308820052021744</v>
      </c>
      <c r="U48" s="44"/>
      <c r="V48" s="58"/>
      <c r="W48" s="10">
        <v>46</v>
      </c>
      <c r="X48" s="1">
        <v>381.72</v>
      </c>
      <c r="Y48" s="1">
        <v>121.08</v>
      </c>
      <c r="Z48" s="1">
        <f t="shared" si="6"/>
        <v>287.3</v>
      </c>
      <c r="AA48" s="44"/>
      <c r="AB48" s="1">
        <f t="shared" si="7"/>
        <v>26.659999999999997</v>
      </c>
      <c r="AC48" s="44"/>
      <c r="AD48" s="8">
        <f t="shared" si="8"/>
        <v>9.2794987817612231</v>
      </c>
      <c r="AE48" s="44"/>
      <c r="AF48" s="58"/>
      <c r="AH48" s="6"/>
      <c r="AI48" s="5">
        <v>4</v>
      </c>
      <c r="AJ48" s="4">
        <v>44.68</v>
      </c>
      <c r="AL48" s="6"/>
      <c r="AM48" s="5">
        <v>4</v>
      </c>
      <c r="AN48" s="4">
        <v>94.42</v>
      </c>
    </row>
    <row r="49" spans="1:40" x14ac:dyDescent="0.25">
      <c r="A49" s="17" t="s">
        <v>28</v>
      </c>
      <c r="B49" s="16">
        <v>1</v>
      </c>
      <c r="C49" s="10">
        <v>18</v>
      </c>
      <c r="D49" s="1">
        <v>73.44</v>
      </c>
      <c r="E49" s="1">
        <v>46.42</v>
      </c>
      <c r="F49" s="1">
        <f t="shared" si="0"/>
        <v>28.839999999999996</v>
      </c>
      <c r="G49" s="44">
        <f t="shared" ref="G49" si="70">AVERAGE(F49:F52)</f>
        <v>28.307499999999994</v>
      </c>
      <c r="H49" s="1">
        <f t="shared" si="1"/>
        <v>1.8200000000000003</v>
      </c>
      <c r="I49" s="44">
        <f>AVERAGE(H49:H52)</f>
        <v>1.8000000000000007</v>
      </c>
      <c r="J49" s="8">
        <f t="shared" si="2"/>
        <v>6.3106796116504871</v>
      </c>
      <c r="K49" s="44">
        <f t="shared" ref="K49" si="71">AVERAGE(J49:J52)</f>
        <v>6.3590681078438003</v>
      </c>
      <c r="L49" s="56">
        <f>_xlfn.STDEV.P(H49:H52)</f>
        <v>3.0822070014846242E-2</v>
      </c>
      <c r="M49" s="10">
        <v>18</v>
      </c>
      <c r="N49" s="34">
        <v>162.9</v>
      </c>
      <c r="O49" s="1">
        <v>52.66</v>
      </c>
      <c r="P49" s="1">
        <f t="shared" si="23"/>
        <v>118.30000000000001</v>
      </c>
      <c r="Q49" s="44">
        <f t="shared" ref="Q49" si="72">AVERAGE(P49:P52)</f>
        <v>116.03749999999999</v>
      </c>
      <c r="R49" s="1">
        <f t="shared" si="4"/>
        <v>8.0599999999999952</v>
      </c>
      <c r="S49" s="44">
        <f>AVERAGE(R49:R52)</f>
        <v>8.5224999999999991</v>
      </c>
      <c r="T49" s="8">
        <f t="shared" si="5"/>
        <v>6.8131868131868085</v>
      </c>
      <c r="U49" s="44">
        <f t="shared" ref="U49" si="73">AVERAGE(T49:T52)</f>
        <v>7.3637914376234859</v>
      </c>
      <c r="V49" s="56">
        <f>_xlfn.STDEV.P(R49:R52)</f>
        <v>0.61912741015077022</v>
      </c>
      <c r="W49" s="10">
        <v>48</v>
      </c>
      <c r="X49" s="1">
        <v>440.3</v>
      </c>
      <c r="Y49" s="1">
        <v>120.51</v>
      </c>
      <c r="Z49" s="1">
        <f t="shared" si="6"/>
        <v>346.03000000000003</v>
      </c>
      <c r="AA49" s="44">
        <f t="shared" ref="AA49" si="74">AVERAGE(Z49:Z52)</f>
        <v>365.17750000000001</v>
      </c>
      <c r="AB49" s="1">
        <f t="shared" si="7"/>
        <v>26.240000000000009</v>
      </c>
      <c r="AC49" s="44">
        <f>AVERAGE(AB49:AB52)</f>
        <v>28.202499999999997</v>
      </c>
      <c r="AD49" s="8">
        <f t="shared" si="8"/>
        <v>7.5831575296939588</v>
      </c>
      <c r="AE49" s="44">
        <f t="shared" ref="AE49" si="75">AVERAGE(AD49:AD52)</f>
        <v>7.7423820384234894</v>
      </c>
      <c r="AF49" s="56">
        <f>_xlfn.STDEV.P(AB49:AB52)</f>
        <v>2.6668180946588729</v>
      </c>
      <c r="AH49" s="17">
        <v>12</v>
      </c>
      <c r="AI49" s="16">
        <v>1</v>
      </c>
      <c r="AJ49" s="15">
        <v>44.6</v>
      </c>
      <c r="AL49" s="17">
        <v>12</v>
      </c>
      <c r="AM49" s="16">
        <v>1</v>
      </c>
      <c r="AN49" s="15">
        <v>94.27</v>
      </c>
    </row>
    <row r="50" spans="1:40" x14ac:dyDescent="0.25">
      <c r="A50" s="14"/>
      <c r="B50" s="13">
        <v>2</v>
      </c>
      <c r="C50" s="10">
        <v>18</v>
      </c>
      <c r="D50" s="1">
        <v>72.239999999999995</v>
      </c>
      <c r="E50" s="1">
        <v>46.38</v>
      </c>
      <c r="F50" s="1">
        <f t="shared" si="0"/>
        <v>27.629999999999995</v>
      </c>
      <c r="G50" s="44"/>
      <c r="H50" s="1">
        <f t="shared" si="1"/>
        <v>1.7700000000000031</v>
      </c>
      <c r="I50" s="44"/>
      <c r="J50" s="8">
        <f t="shared" si="2"/>
        <v>6.4060803474484382</v>
      </c>
      <c r="K50" s="44"/>
      <c r="L50" s="57"/>
      <c r="M50" s="10">
        <v>18</v>
      </c>
      <c r="N50" s="34">
        <v>145.69</v>
      </c>
      <c r="O50" s="1">
        <v>52.39</v>
      </c>
      <c r="P50" s="1">
        <f t="shared" si="23"/>
        <v>101.08</v>
      </c>
      <c r="Q50" s="44"/>
      <c r="R50" s="1">
        <f t="shared" si="4"/>
        <v>7.7800000000000011</v>
      </c>
      <c r="S50" s="44"/>
      <c r="T50" s="8">
        <f t="shared" si="5"/>
        <v>7.6968737633557591</v>
      </c>
      <c r="U50" s="44"/>
      <c r="V50" s="57"/>
      <c r="W50" s="10">
        <v>48</v>
      </c>
      <c r="X50" s="1">
        <v>492.5</v>
      </c>
      <c r="Y50" s="1">
        <v>120.78</v>
      </c>
      <c r="Z50" s="1">
        <f t="shared" si="6"/>
        <v>398.38</v>
      </c>
      <c r="AA50" s="44"/>
      <c r="AB50" s="1">
        <f t="shared" si="7"/>
        <v>26.659999999999997</v>
      </c>
      <c r="AC50" s="44"/>
      <c r="AD50" s="8">
        <f t="shared" si="8"/>
        <v>6.6921030172197389</v>
      </c>
      <c r="AE50" s="44"/>
      <c r="AF50" s="57"/>
      <c r="AH50" s="14"/>
      <c r="AI50" s="13">
        <v>2</v>
      </c>
      <c r="AJ50" s="12">
        <v>44.61</v>
      </c>
      <c r="AL50" s="14"/>
      <c r="AM50" s="13">
        <v>2</v>
      </c>
      <c r="AN50" s="12">
        <v>94.12</v>
      </c>
    </row>
    <row r="51" spans="1:40" x14ac:dyDescent="0.25">
      <c r="A51" s="14"/>
      <c r="B51" s="13">
        <v>3</v>
      </c>
      <c r="C51" s="10">
        <v>18</v>
      </c>
      <c r="D51" s="1">
        <v>72.489999999999995</v>
      </c>
      <c r="E51" s="1">
        <v>46.33</v>
      </c>
      <c r="F51" s="1">
        <f t="shared" si="0"/>
        <v>27.929999999999993</v>
      </c>
      <c r="G51" s="44"/>
      <c r="H51" s="1">
        <f t="shared" si="1"/>
        <v>1.769999999999996</v>
      </c>
      <c r="I51" s="44"/>
      <c r="J51" s="8">
        <f t="shared" si="2"/>
        <v>6.3372717508055727</v>
      </c>
      <c r="K51" s="44"/>
      <c r="L51" s="57"/>
      <c r="M51" s="10">
        <v>18</v>
      </c>
      <c r="N51" s="1">
        <v>173.76</v>
      </c>
      <c r="O51" s="1">
        <v>53.83</v>
      </c>
      <c r="P51" s="1">
        <f t="shared" si="23"/>
        <v>129.19999999999999</v>
      </c>
      <c r="Q51" s="44"/>
      <c r="R51" s="1">
        <f t="shared" si="4"/>
        <v>9.269999999999996</v>
      </c>
      <c r="S51" s="44"/>
      <c r="T51" s="8">
        <f t="shared" si="5"/>
        <v>7.1749226006191922</v>
      </c>
      <c r="U51" s="44"/>
      <c r="V51" s="57"/>
      <c r="W51" s="10">
        <v>48</v>
      </c>
      <c r="X51" s="1">
        <v>440.78</v>
      </c>
      <c r="Y51" s="1">
        <v>121.07</v>
      </c>
      <c r="Z51" s="1">
        <f t="shared" si="6"/>
        <v>346.83</v>
      </c>
      <c r="AA51" s="44"/>
      <c r="AB51" s="1">
        <f t="shared" si="7"/>
        <v>27.11999999999999</v>
      </c>
      <c r="AC51" s="44"/>
      <c r="AD51" s="8">
        <f t="shared" si="8"/>
        <v>7.8193927860911652</v>
      </c>
      <c r="AE51" s="44"/>
      <c r="AF51" s="57"/>
      <c r="AH51" s="14"/>
      <c r="AI51" s="13">
        <v>3</v>
      </c>
      <c r="AJ51" s="12">
        <v>44.56</v>
      </c>
      <c r="AL51" s="14"/>
      <c r="AM51" s="13">
        <v>3</v>
      </c>
      <c r="AN51" s="12">
        <v>93.95</v>
      </c>
    </row>
    <row r="52" spans="1:40" ht="15.75" thickBot="1" x14ac:dyDescent="0.3">
      <c r="A52" s="6"/>
      <c r="B52" s="5">
        <v>4</v>
      </c>
      <c r="C52" s="7">
        <v>18</v>
      </c>
      <c r="D52" s="9">
        <v>73.41</v>
      </c>
      <c r="E52" s="9">
        <v>46.42</v>
      </c>
      <c r="F52" s="9">
        <f t="shared" si="0"/>
        <v>28.83</v>
      </c>
      <c r="G52" s="44"/>
      <c r="H52" s="9">
        <f t="shared" si="1"/>
        <v>1.8400000000000034</v>
      </c>
      <c r="I52" s="52"/>
      <c r="J52" s="11">
        <f t="shared" si="2"/>
        <v>6.3822407214707022</v>
      </c>
      <c r="K52" s="44"/>
      <c r="L52" s="64"/>
      <c r="M52" s="7">
        <v>18</v>
      </c>
      <c r="N52" s="9">
        <v>160.15</v>
      </c>
      <c r="O52" s="9">
        <v>53.56</v>
      </c>
      <c r="P52" s="1">
        <f t="shared" si="23"/>
        <v>115.57000000000001</v>
      </c>
      <c r="Q52" s="44"/>
      <c r="R52" s="1">
        <f t="shared" si="4"/>
        <v>8.980000000000004</v>
      </c>
      <c r="S52" s="44"/>
      <c r="T52" s="8">
        <f t="shared" si="5"/>
        <v>7.7701825733321828</v>
      </c>
      <c r="U52" s="44"/>
      <c r="V52" s="58"/>
      <c r="W52" s="7">
        <v>48</v>
      </c>
      <c r="X52" s="9">
        <v>463.42</v>
      </c>
      <c r="Y52" s="9">
        <v>126.74</v>
      </c>
      <c r="Z52" s="1">
        <f t="shared" si="6"/>
        <v>369.47</v>
      </c>
      <c r="AA52" s="44"/>
      <c r="AB52" s="1">
        <f t="shared" si="7"/>
        <v>32.789999999999992</v>
      </c>
      <c r="AC52" s="44"/>
      <c r="AD52" s="8">
        <f t="shared" si="8"/>
        <v>8.8748748206890937</v>
      </c>
      <c r="AE52" s="44"/>
      <c r="AF52" s="58"/>
      <c r="AH52" s="6"/>
      <c r="AI52" s="5">
        <v>4</v>
      </c>
      <c r="AJ52" s="4">
        <v>44.58</v>
      </c>
      <c r="AL52" s="6"/>
      <c r="AM52" s="5">
        <v>4</v>
      </c>
      <c r="AN52" s="4">
        <v>93.95</v>
      </c>
    </row>
    <row r="55" spans="1:40" ht="15.75" x14ac:dyDescent="0.25">
      <c r="A55" s="33"/>
    </row>
    <row r="56" spans="1:40" x14ac:dyDescent="0.25">
      <c r="A56" s="45" t="s">
        <v>13</v>
      </c>
      <c r="B56" s="45"/>
      <c r="C56" s="45"/>
      <c r="D56" s="45"/>
      <c r="E56" s="36"/>
      <c r="F56" s="45" t="s">
        <v>16</v>
      </c>
      <c r="G56" s="45"/>
      <c r="H56" s="45"/>
      <c r="I56" s="45"/>
      <c r="J56" s="37"/>
    </row>
    <row r="57" spans="1:40" x14ac:dyDescent="0.25">
      <c r="A57" s="2"/>
      <c r="B57" s="3">
        <v>44659</v>
      </c>
      <c r="C57" s="3">
        <v>44671</v>
      </c>
      <c r="D57" s="3">
        <v>44676</v>
      </c>
      <c r="F57" s="2"/>
      <c r="G57" s="3">
        <v>44659</v>
      </c>
      <c r="H57" s="3">
        <v>44671</v>
      </c>
      <c r="I57" s="3">
        <v>44676</v>
      </c>
    </row>
    <row r="58" spans="1:40" x14ac:dyDescent="0.25">
      <c r="A58" s="2">
        <v>1</v>
      </c>
      <c r="B58" s="40">
        <v>36.512500000000003</v>
      </c>
      <c r="C58" s="40">
        <v>67.717500000000001</v>
      </c>
      <c r="D58" s="40">
        <v>205.22000000000003</v>
      </c>
      <c r="F58" s="2">
        <v>1</v>
      </c>
      <c r="G58" s="41">
        <v>5.8598766685005463</v>
      </c>
      <c r="H58" s="41">
        <v>9.0762580655147289</v>
      </c>
      <c r="I58" s="41">
        <v>10.391948500169569</v>
      </c>
      <c r="J58" s="38"/>
    </row>
    <row r="59" spans="1:40" x14ac:dyDescent="0.25">
      <c r="A59" s="2">
        <v>2</v>
      </c>
      <c r="B59" s="40">
        <v>38.792500000000004</v>
      </c>
      <c r="C59" s="40">
        <v>75.97</v>
      </c>
      <c r="D59" s="40">
        <v>226</v>
      </c>
      <c r="F59" s="2">
        <v>2</v>
      </c>
      <c r="G59" s="41">
        <v>5.6944218349393072</v>
      </c>
      <c r="H59" s="41">
        <v>9.3736987914924974</v>
      </c>
      <c r="I59" s="41">
        <v>10.156374357790359</v>
      </c>
      <c r="J59" s="38"/>
    </row>
    <row r="60" spans="1:40" x14ac:dyDescent="0.25">
      <c r="A60" s="2">
        <v>3</v>
      </c>
      <c r="B60" s="40">
        <v>40.132500000000007</v>
      </c>
      <c r="C60" s="40">
        <v>88.094999999999999</v>
      </c>
      <c r="D60" s="40">
        <v>289.09750000000003</v>
      </c>
      <c r="F60" s="2">
        <v>3</v>
      </c>
      <c r="G60" s="41">
        <v>5.5139118796094904</v>
      </c>
      <c r="H60" s="41">
        <v>8.6858314921573463</v>
      </c>
      <c r="I60" s="41">
        <v>9.8060279120393883</v>
      </c>
      <c r="J60" s="38"/>
    </row>
    <row r="61" spans="1:40" x14ac:dyDescent="0.25">
      <c r="A61" s="2">
        <v>4</v>
      </c>
      <c r="B61" s="40">
        <v>45.844999999999999</v>
      </c>
      <c r="C61" s="40">
        <v>96.410000000000025</v>
      </c>
      <c r="D61" s="40">
        <v>330.10249999999996</v>
      </c>
      <c r="F61" s="2">
        <v>4</v>
      </c>
      <c r="G61" s="41">
        <v>5.4488477812442992</v>
      </c>
      <c r="H61" s="41">
        <v>8.4976618292597657</v>
      </c>
      <c r="I61" s="41">
        <v>8.9583156295033426</v>
      </c>
      <c r="J61" s="38"/>
    </row>
    <row r="62" spans="1:40" x14ac:dyDescent="0.25">
      <c r="A62" s="2">
        <v>5</v>
      </c>
      <c r="B62" s="40">
        <v>41.03</v>
      </c>
      <c r="C62" s="40">
        <v>106.62</v>
      </c>
      <c r="D62" s="40">
        <v>329.30499999999995</v>
      </c>
      <c r="F62" s="2">
        <v>5</v>
      </c>
      <c r="G62" s="41">
        <v>5.6349242095575072</v>
      </c>
      <c r="H62" s="41">
        <v>8.4304638304888737</v>
      </c>
      <c r="I62" s="41">
        <v>9.2562865946154762</v>
      </c>
      <c r="J62" s="38"/>
    </row>
    <row r="63" spans="1:40" x14ac:dyDescent="0.25">
      <c r="A63" s="2">
        <v>6</v>
      </c>
      <c r="B63" s="40">
        <v>42.35</v>
      </c>
      <c r="C63" s="40">
        <v>120.36750000000001</v>
      </c>
      <c r="D63" s="40">
        <v>388.005</v>
      </c>
      <c r="F63" s="2">
        <v>6</v>
      </c>
      <c r="G63" s="41">
        <v>5.6079680517791566</v>
      </c>
      <c r="H63" s="41">
        <v>7.5364533695788243</v>
      </c>
      <c r="I63" s="41">
        <v>8.4235605069043231</v>
      </c>
      <c r="J63" s="38"/>
    </row>
    <row r="64" spans="1:40" x14ac:dyDescent="0.25">
      <c r="A64" s="2">
        <v>7</v>
      </c>
      <c r="B64" s="40">
        <v>25.5625</v>
      </c>
      <c r="C64" s="40">
        <v>61.287500000000001</v>
      </c>
      <c r="D64" s="40">
        <v>180.72250000000003</v>
      </c>
      <c r="F64" s="2">
        <v>7</v>
      </c>
      <c r="G64" s="41">
        <v>6.429406165493754</v>
      </c>
      <c r="H64" s="41">
        <v>10.057815668030623</v>
      </c>
      <c r="I64" s="41">
        <v>11.860317359881265</v>
      </c>
      <c r="J64" s="38"/>
    </row>
    <row r="65" spans="1:10" x14ac:dyDescent="0.25">
      <c r="A65" s="2">
        <v>8</v>
      </c>
      <c r="B65" s="40">
        <v>28.68</v>
      </c>
      <c r="C65" s="40">
        <v>66.372500000000002</v>
      </c>
      <c r="D65" s="40">
        <v>186.11750000000001</v>
      </c>
      <c r="F65" s="2">
        <v>8</v>
      </c>
      <c r="G65" s="41">
        <v>6.7214252923708866</v>
      </c>
      <c r="H65" s="41">
        <v>9.4660239873312459</v>
      </c>
      <c r="I65" s="41">
        <v>10.616407577266296</v>
      </c>
      <c r="J65" s="38"/>
    </row>
    <row r="66" spans="1:10" x14ac:dyDescent="0.25">
      <c r="A66" s="2">
        <v>9</v>
      </c>
      <c r="B66" s="40">
        <v>27.73</v>
      </c>
      <c r="C66" s="40">
        <v>79.664999999999992</v>
      </c>
      <c r="D66" s="40">
        <v>239.97500000000002</v>
      </c>
      <c r="F66" s="2">
        <v>9</v>
      </c>
      <c r="G66" s="41">
        <v>6.4400707483048762</v>
      </c>
      <c r="H66" s="41">
        <v>8.6926170146390973</v>
      </c>
      <c r="I66" s="41">
        <v>9.4444652714329429</v>
      </c>
      <c r="J66" s="38"/>
    </row>
    <row r="67" spans="1:10" x14ac:dyDescent="0.25">
      <c r="A67" s="2">
        <v>10</v>
      </c>
      <c r="B67" s="40">
        <v>30.682499999999997</v>
      </c>
      <c r="C67" s="40">
        <v>91.85499999999999</v>
      </c>
      <c r="D67" s="40">
        <v>272.04750000000001</v>
      </c>
      <c r="F67" s="2">
        <v>10</v>
      </c>
      <c r="G67" s="41">
        <v>6.1587776316546679</v>
      </c>
      <c r="H67" s="41">
        <v>8.0450510602119909</v>
      </c>
      <c r="I67" s="41">
        <v>8.6642874248654138</v>
      </c>
      <c r="J67" s="38"/>
    </row>
    <row r="68" spans="1:10" x14ac:dyDescent="0.25">
      <c r="A68" s="2">
        <v>11</v>
      </c>
      <c r="B68" s="40">
        <v>29.620000000000005</v>
      </c>
      <c r="C68" s="40">
        <v>97.992499999999993</v>
      </c>
      <c r="D68" s="40">
        <v>304.96250000000003</v>
      </c>
      <c r="F68" s="2">
        <v>11</v>
      </c>
      <c r="G68" s="41">
        <v>6.565700595506696</v>
      </c>
      <c r="H68" s="41">
        <v>8.1947308287473799</v>
      </c>
      <c r="I68" s="41">
        <v>8.4787517366350933</v>
      </c>
      <c r="J68" s="38"/>
    </row>
    <row r="69" spans="1:10" x14ac:dyDescent="0.25">
      <c r="A69" s="2">
        <v>12</v>
      </c>
      <c r="B69" s="40">
        <v>28.307499999999994</v>
      </c>
      <c r="C69" s="40">
        <v>116.03749999999999</v>
      </c>
      <c r="D69" s="40">
        <v>365.17750000000001</v>
      </c>
      <c r="F69" s="2">
        <v>12</v>
      </c>
      <c r="G69" s="41">
        <v>6.3590681078438003</v>
      </c>
      <c r="H69" s="41">
        <v>7.3637914376234859</v>
      </c>
      <c r="I69" s="41">
        <v>7.7423820384234894</v>
      </c>
      <c r="J69" s="38"/>
    </row>
  </sheetData>
  <mergeCells count="152">
    <mergeCell ref="AF45:AF48"/>
    <mergeCell ref="AF49:AF52"/>
    <mergeCell ref="M3:V3"/>
    <mergeCell ref="W3:AF3"/>
    <mergeCell ref="AF41:AF44"/>
    <mergeCell ref="V41:V44"/>
    <mergeCell ref="V45:V48"/>
    <mergeCell ref="V49:V52"/>
    <mergeCell ref="L41:L44"/>
    <mergeCell ref="L45:L48"/>
    <mergeCell ref="L49:L52"/>
    <mergeCell ref="AC37:AC40"/>
    <mergeCell ref="AC41:AC44"/>
    <mergeCell ref="AC45:AC48"/>
    <mergeCell ref="AC49:AC52"/>
    <mergeCell ref="AF33:AF36"/>
    <mergeCell ref="AF37:AF40"/>
    <mergeCell ref="V29:V32"/>
    <mergeCell ref="V33:V36"/>
    <mergeCell ref="V37:V40"/>
    <mergeCell ref="AC33:AC36"/>
    <mergeCell ref="S33:S36"/>
    <mergeCell ref="V5:V8"/>
    <mergeCell ref="V9:V12"/>
    <mergeCell ref="V13:V16"/>
    <mergeCell ref="V17:V20"/>
    <mergeCell ref="V21:V24"/>
    <mergeCell ref="V25:V28"/>
    <mergeCell ref="S25:S28"/>
    <mergeCell ref="S29:S32"/>
    <mergeCell ref="U33:U36"/>
    <mergeCell ref="C2:AF2"/>
    <mergeCell ref="AF25:AF28"/>
    <mergeCell ref="AF29:AF32"/>
    <mergeCell ref="AF5:AF8"/>
    <mergeCell ref="AF9:AF12"/>
    <mergeCell ref="AF13:AF16"/>
    <mergeCell ref="AF17:AF20"/>
    <mergeCell ref="AF21:AF24"/>
    <mergeCell ref="G5:G8"/>
    <mergeCell ref="G9:G12"/>
    <mergeCell ref="G13:G16"/>
    <mergeCell ref="G17:G20"/>
    <mergeCell ref="G21:G24"/>
    <mergeCell ref="G25:G28"/>
    <mergeCell ref="G29:G32"/>
    <mergeCell ref="Q5:Q8"/>
    <mergeCell ref="I9:I12"/>
    <mergeCell ref="I13:I16"/>
    <mergeCell ref="L9:L12"/>
    <mergeCell ref="L13:L16"/>
    <mergeCell ref="S41:S44"/>
    <mergeCell ref="S45:S48"/>
    <mergeCell ref="S49:S52"/>
    <mergeCell ref="AC5:AC8"/>
    <mergeCell ref="AC9:AC12"/>
    <mergeCell ref="AC13:AC16"/>
    <mergeCell ref="AC17:AC20"/>
    <mergeCell ref="AC21:AC24"/>
    <mergeCell ref="AC25:AC28"/>
    <mergeCell ref="AC29:AC32"/>
    <mergeCell ref="S5:S8"/>
    <mergeCell ref="S9:S12"/>
    <mergeCell ref="S13:S16"/>
    <mergeCell ref="S17:S20"/>
    <mergeCell ref="S37:S40"/>
    <mergeCell ref="S21:S24"/>
    <mergeCell ref="L37:L40"/>
    <mergeCell ref="G33:G36"/>
    <mergeCell ref="G37:G40"/>
    <mergeCell ref="G41:G44"/>
    <mergeCell ref="G45:G48"/>
    <mergeCell ref="G49:G52"/>
    <mergeCell ref="A4:B4"/>
    <mergeCell ref="A2:B3"/>
    <mergeCell ref="I49:I52"/>
    <mergeCell ref="I25:I28"/>
    <mergeCell ref="I29:I32"/>
    <mergeCell ref="I33:I36"/>
    <mergeCell ref="I37:I40"/>
    <mergeCell ref="I41:I44"/>
    <mergeCell ref="C3:L3"/>
    <mergeCell ref="L5:L8"/>
    <mergeCell ref="I45:I48"/>
    <mergeCell ref="I17:I20"/>
    <mergeCell ref="I21:I24"/>
    <mergeCell ref="L21:L24"/>
    <mergeCell ref="L25:L28"/>
    <mergeCell ref="L29:L32"/>
    <mergeCell ref="L33:L36"/>
    <mergeCell ref="L17:L20"/>
    <mergeCell ref="I5:I8"/>
    <mergeCell ref="U5:U8"/>
    <mergeCell ref="U25:U28"/>
    <mergeCell ref="U29:U32"/>
    <mergeCell ref="Q29:Q32"/>
    <mergeCell ref="Q33:Q36"/>
    <mergeCell ref="Q37:Q40"/>
    <mergeCell ref="Q41:Q44"/>
    <mergeCell ref="Q45:Q48"/>
    <mergeCell ref="Q9:Q12"/>
    <mergeCell ref="Q13:Q16"/>
    <mergeCell ref="Q17:Q20"/>
    <mergeCell ref="Q21:Q24"/>
    <mergeCell ref="Q25:Q28"/>
    <mergeCell ref="AE5:AE8"/>
    <mergeCell ref="U9:U12"/>
    <mergeCell ref="U13:U16"/>
    <mergeCell ref="U17:U20"/>
    <mergeCell ref="U21:U24"/>
    <mergeCell ref="A56:D56"/>
    <mergeCell ref="F56:I56"/>
    <mergeCell ref="K5:K8"/>
    <mergeCell ref="K9:K12"/>
    <mergeCell ref="K13:K16"/>
    <mergeCell ref="K17:K20"/>
    <mergeCell ref="K21:K24"/>
    <mergeCell ref="K25:K28"/>
    <mergeCell ref="K29:K32"/>
    <mergeCell ref="K33:K36"/>
    <mergeCell ref="K37:K40"/>
    <mergeCell ref="K41:K44"/>
    <mergeCell ref="K45:K48"/>
    <mergeCell ref="K49:K52"/>
    <mergeCell ref="Q49:Q52"/>
    <mergeCell ref="AA5:AA8"/>
    <mergeCell ref="AA9:AA12"/>
    <mergeCell ref="AA13:AA16"/>
    <mergeCell ref="AA17:AA20"/>
    <mergeCell ref="U37:U40"/>
    <mergeCell ref="U41:U44"/>
    <mergeCell ref="U45:U48"/>
    <mergeCell ref="U49:U52"/>
    <mergeCell ref="AE9:AE12"/>
    <mergeCell ref="AE13:AE16"/>
    <mergeCell ref="AE17:AE20"/>
    <mergeCell ref="AE21:AE24"/>
    <mergeCell ref="AE25:AE28"/>
    <mergeCell ref="AE29:AE32"/>
    <mergeCell ref="AE33:AE36"/>
    <mergeCell ref="AE37:AE40"/>
    <mergeCell ref="AE41:AE44"/>
    <mergeCell ref="AE45:AE48"/>
    <mergeCell ref="AE49:AE52"/>
    <mergeCell ref="AA21:AA24"/>
    <mergeCell ref="AA25:AA28"/>
    <mergeCell ref="AA29:AA32"/>
    <mergeCell ref="AA33:AA36"/>
    <mergeCell ref="AA37:AA40"/>
    <mergeCell ref="AA41:AA44"/>
    <mergeCell ref="AA45:AA48"/>
    <mergeCell ref="AA49:AA52"/>
  </mergeCells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448A-B9C2-46F4-A9F5-B03EA552501A}">
  <dimension ref="P15"/>
  <sheetViews>
    <sheetView workbookViewId="0">
      <selection activeCell="P15" sqref="P15"/>
    </sheetView>
  </sheetViews>
  <sheetFormatPr baseColWidth="10" defaultRowHeight="15" x14ac:dyDescent="0.25"/>
  <sheetData>
    <row r="15" spans="16:16" x14ac:dyDescent="0.25">
      <c r="P15" s="42" t="s">
        <v>15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2DA9-56CD-44A4-980E-2CD5A5D036BF}">
  <dimension ref="A2:AN69"/>
  <sheetViews>
    <sheetView zoomScale="90" zoomScaleNormal="90" workbookViewId="0">
      <selection activeCell="C8" sqref="C8"/>
    </sheetView>
  </sheetViews>
  <sheetFormatPr baseColWidth="10" defaultRowHeight="15" x14ac:dyDescent="0.25"/>
  <cols>
    <col min="1" max="32" width="7.7109375" customWidth="1"/>
  </cols>
  <sheetData>
    <row r="2" spans="1:40" ht="15.75" thickBot="1" x14ac:dyDescent="0.3">
      <c r="A2" s="48"/>
      <c r="B2" s="49"/>
      <c r="C2" s="46" t="s">
        <v>10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60"/>
    </row>
    <row r="3" spans="1:40" x14ac:dyDescent="0.25">
      <c r="A3" s="50"/>
      <c r="B3" s="51"/>
      <c r="C3" s="53">
        <v>44685</v>
      </c>
      <c r="D3" s="54"/>
      <c r="E3" s="54"/>
      <c r="F3" s="54"/>
      <c r="G3" s="54"/>
      <c r="H3" s="54"/>
      <c r="I3" s="54"/>
      <c r="J3" s="54"/>
      <c r="K3" s="54"/>
      <c r="L3" s="55"/>
      <c r="M3" s="61">
        <v>44692</v>
      </c>
      <c r="N3" s="62"/>
      <c r="O3" s="62"/>
      <c r="P3" s="62"/>
      <c r="Q3" s="62"/>
      <c r="R3" s="62"/>
      <c r="S3" s="62"/>
      <c r="T3" s="62"/>
      <c r="U3" s="62"/>
      <c r="V3" s="63"/>
      <c r="W3" s="61">
        <v>44700</v>
      </c>
      <c r="X3" s="62"/>
      <c r="Y3" s="62"/>
      <c r="Z3" s="62"/>
      <c r="AA3" s="62"/>
      <c r="AB3" s="62"/>
      <c r="AC3" s="62"/>
      <c r="AD3" s="62"/>
      <c r="AE3" s="62"/>
      <c r="AF3" s="63"/>
    </row>
    <row r="4" spans="1:40" ht="46.5" thickBot="1" x14ac:dyDescent="0.35">
      <c r="A4" s="65" t="s">
        <v>9</v>
      </c>
      <c r="B4" s="66"/>
      <c r="C4" s="14" t="s">
        <v>8</v>
      </c>
      <c r="D4" s="32" t="s">
        <v>7</v>
      </c>
      <c r="E4" s="32" t="s">
        <v>6</v>
      </c>
      <c r="F4" s="31" t="s">
        <v>5</v>
      </c>
      <c r="G4" s="32" t="s">
        <v>12</v>
      </c>
      <c r="H4" s="31" t="s">
        <v>4</v>
      </c>
      <c r="I4" s="32" t="s">
        <v>2</v>
      </c>
      <c r="J4" s="31" t="s">
        <v>3</v>
      </c>
      <c r="K4" s="39" t="s">
        <v>14</v>
      </c>
      <c r="L4" s="29" t="s">
        <v>1</v>
      </c>
      <c r="M4" s="14" t="s">
        <v>8</v>
      </c>
      <c r="N4" s="32" t="s">
        <v>7</v>
      </c>
      <c r="O4" s="32" t="s">
        <v>6</v>
      </c>
      <c r="P4" s="31" t="s">
        <v>5</v>
      </c>
      <c r="Q4" s="32" t="s">
        <v>12</v>
      </c>
      <c r="R4" s="31" t="s">
        <v>4</v>
      </c>
      <c r="S4" s="32" t="s">
        <v>2</v>
      </c>
      <c r="T4" s="31" t="s">
        <v>3</v>
      </c>
      <c r="U4" s="39" t="s">
        <v>14</v>
      </c>
      <c r="V4" s="29" t="s">
        <v>1</v>
      </c>
      <c r="W4" s="14" t="s">
        <v>8</v>
      </c>
      <c r="X4" s="32" t="s">
        <v>7</v>
      </c>
      <c r="Y4" s="32" t="s">
        <v>6</v>
      </c>
      <c r="Z4" s="31" t="s">
        <v>5</v>
      </c>
      <c r="AA4" s="32" t="s">
        <v>12</v>
      </c>
      <c r="AB4" s="31" t="s">
        <v>4</v>
      </c>
      <c r="AC4" s="30" t="s">
        <v>2</v>
      </c>
      <c r="AD4" s="31" t="s">
        <v>3</v>
      </c>
      <c r="AE4" s="39" t="s">
        <v>14</v>
      </c>
      <c r="AF4" s="29" t="s">
        <v>1</v>
      </c>
      <c r="AH4" s="28" t="s">
        <v>11</v>
      </c>
      <c r="AL4" s="28" t="s">
        <v>0</v>
      </c>
    </row>
    <row r="5" spans="1:40" x14ac:dyDescent="0.25">
      <c r="A5" s="17" t="s">
        <v>21</v>
      </c>
      <c r="B5" s="16">
        <v>1</v>
      </c>
      <c r="C5" s="10">
        <v>18</v>
      </c>
      <c r="D5" s="1">
        <v>66.959999999999994</v>
      </c>
      <c r="E5" s="1">
        <v>46.9</v>
      </c>
      <c r="F5" s="1">
        <f t="shared" ref="F5:F52" si="0">D5-AJ5</f>
        <v>22.229999999999997</v>
      </c>
      <c r="G5" s="44">
        <f>AVERAGE(F5:F8)</f>
        <v>21.147500000000001</v>
      </c>
      <c r="H5" s="1">
        <f t="shared" ref="H5:H52" si="1">E5-AJ5</f>
        <v>2.1700000000000017</v>
      </c>
      <c r="I5" s="44">
        <f>AVERAGE(H5:H8)</f>
        <v>2.16</v>
      </c>
      <c r="J5" s="8">
        <f t="shared" ref="J5:J52" si="2">100/F5*H5</f>
        <v>9.7615834457939812</v>
      </c>
      <c r="K5" s="44">
        <f>AVERAGE(J5:J8)</f>
        <v>10.240898145974572</v>
      </c>
      <c r="L5" s="56">
        <f>_xlfn.STDEV.P(H5:H8)</f>
        <v>0.12509996003196799</v>
      </c>
      <c r="M5" s="10">
        <v>18</v>
      </c>
      <c r="N5" s="1">
        <v>74.209999999999994</v>
      </c>
      <c r="O5" s="1">
        <v>48.55</v>
      </c>
      <c r="P5" s="1">
        <f t="shared" ref="P5:P52" si="3">N5-AJ5</f>
        <v>29.479999999999997</v>
      </c>
      <c r="Q5" s="44">
        <f>AVERAGE(P5:P8)</f>
        <v>27.667499999999997</v>
      </c>
      <c r="R5" s="1">
        <f t="shared" ref="R5:R52" si="4">O5-AJ5</f>
        <v>3.8200000000000003</v>
      </c>
      <c r="S5" s="44">
        <f>AVERAGE(R5:R8)</f>
        <v>3.7099999999999991</v>
      </c>
      <c r="T5" s="8">
        <f t="shared" ref="T5:T52" si="5">100/P5*R5</f>
        <v>12.957937584803259</v>
      </c>
      <c r="U5" s="44">
        <f>AVERAGE(T5:T8)</f>
        <v>13.426995971460133</v>
      </c>
      <c r="V5" s="56">
        <f>_xlfn.STDEV.P(R5:R8)</f>
        <v>0.13982131454109589</v>
      </c>
      <c r="W5" s="10">
        <v>48</v>
      </c>
      <c r="X5" s="1">
        <v>190.05</v>
      </c>
      <c r="Y5" s="1">
        <v>108.67</v>
      </c>
      <c r="Z5" s="1">
        <f t="shared" ref="Z5:Z52" si="6">X5-AN5</f>
        <v>95.51</v>
      </c>
      <c r="AA5" s="44">
        <f>AVERAGE(Z5:Z8)</f>
        <v>92.272499999999994</v>
      </c>
      <c r="AB5" s="1">
        <f t="shared" ref="AB5:AB52" si="7">Y5-AN5</f>
        <v>14.129999999999995</v>
      </c>
      <c r="AC5" s="44">
        <f>AVERAGE(AB5:AB8)</f>
        <v>13.2425</v>
      </c>
      <c r="AD5" s="8">
        <f t="shared" ref="AD5:AD52" si="8">100/Z5*AB5</f>
        <v>14.794262380902518</v>
      </c>
      <c r="AE5" s="44">
        <f>AVERAGE(AD5:AD8)</f>
        <v>14.346521646177699</v>
      </c>
      <c r="AF5" s="56">
        <f>_xlfn.STDEV.P(AB5:AB8)</f>
        <v>0.81019673536740411</v>
      </c>
      <c r="AH5" s="17">
        <v>1</v>
      </c>
      <c r="AI5" s="27">
        <v>1</v>
      </c>
      <c r="AJ5" s="26">
        <v>44.73</v>
      </c>
      <c r="AL5" s="17">
        <v>1</v>
      </c>
      <c r="AM5" s="27">
        <v>1</v>
      </c>
      <c r="AN5" s="26">
        <v>94.54</v>
      </c>
    </row>
    <row r="6" spans="1:40" x14ac:dyDescent="0.25">
      <c r="A6" s="14"/>
      <c r="B6" s="13">
        <v>2</v>
      </c>
      <c r="C6" s="10">
        <v>18</v>
      </c>
      <c r="D6" s="1">
        <v>64.8</v>
      </c>
      <c r="E6" s="1">
        <v>46.42</v>
      </c>
      <c r="F6" s="1">
        <f t="shared" si="0"/>
        <v>20.449999999999996</v>
      </c>
      <c r="G6" s="44"/>
      <c r="H6" s="34">
        <f t="shared" si="1"/>
        <v>2.0700000000000003</v>
      </c>
      <c r="I6" s="44"/>
      <c r="J6" s="43">
        <f t="shared" si="2"/>
        <v>10.12224938875306</v>
      </c>
      <c r="K6" s="44"/>
      <c r="L6" s="57"/>
      <c r="M6" s="10">
        <v>18</v>
      </c>
      <c r="N6" s="1">
        <v>72.64</v>
      </c>
      <c r="O6" s="1">
        <v>48.13</v>
      </c>
      <c r="P6" s="1">
        <f t="shared" si="3"/>
        <v>28.29</v>
      </c>
      <c r="Q6" s="44"/>
      <c r="R6" s="1">
        <f t="shared" si="4"/>
        <v>3.7800000000000011</v>
      </c>
      <c r="S6" s="44"/>
      <c r="T6" s="8">
        <f t="shared" si="5"/>
        <v>13.36161187698834</v>
      </c>
      <c r="U6" s="44"/>
      <c r="V6" s="57"/>
      <c r="W6" s="10">
        <v>48</v>
      </c>
      <c r="X6" s="1">
        <v>186.21</v>
      </c>
      <c r="Y6" s="1">
        <v>108.4</v>
      </c>
      <c r="Z6" s="1">
        <f t="shared" si="6"/>
        <v>91.570000000000007</v>
      </c>
      <c r="AA6" s="44"/>
      <c r="AB6" s="1">
        <f t="shared" si="7"/>
        <v>13.760000000000005</v>
      </c>
      <c r="AC6" s="44"/>
      <c r="AD6" s="8">
        <f t="shared" si="8"/>
        <v>15.026755487605115</v>
      </c>
      <c r="AE6" s="44"/>
      <c r="AF6" s="57"/>
      <c r="AH6" s="14"/>
      <c r="AI6" s="22">
        <v>2</v>
      </c>
      <c r="AJ6" s="21">
        <v>44.35</v>
      </c>
      <c r="AL6" s="14"/>
      <c r="AM6" s="22">
        <v>2</v>
      </c>
      <c r="AN6" s="21">
        <v>94.64</v>
      </c>
    </row>
    <row r="7" spans="1:40" x14ac:dyDescent="0.25">
      <c r="A7" s="14"/>
      <c r="B7" s="13">
        <v>3</v>
      </c>
      <c r="C7" s="10">
        <v>18</v>
      </c>
      <c r="D7" s="1">
        <v>64.64</v>
      </c>
      <c r="E7" s="1">
        <v>46.8</v>
      </c>
      <c r="F7" s="1">
        <f t="shared" si="0"/>
        <v>20.200000000000003</v>
      </c>
      <c r="G7" s="44"/>
      <c r="H7" s="1">
        <f t="shared" si="1"/>
        <v>2.3599999999999994</v>
      </c>
      <c r="I7" s="44"/>
      <c r="J7" s="8">
        <f t="shared" si="2"/>
        <v>11.683168316831678</v>
      </c>
      <c r="K7" s="44"/>
      <c r="L7" s="57"/>
      <c r="M7" s="10">
        <v>17</v>
      </c>
      <c r="N7" s="1">
        <v>69.5</v>
      </c>
      <c r="O7" s="1">
        <v>47.91</v>
      </c>
      <c r="P7" s="1">
        <f t="shared" si="3"/>
        <v>25.060000000000002</v>
      </c>
      <c r="Q7" s="44"/>
      <c r="R7" s="1">
        <f t="shared" si="4"/>
        <v>3.4699999999999989</v>
      </c>
      <c r="S7" s="44"/>
      <c r="T7" s="8">
        <f t="shared" si="5"/>
        <v>13.846767757382276</v>
      </c>
      <c r="U7" s="44"/>
      <c r="V7" s="57"/>
      <c r="W7" s="10">
        <v>48</v>
      </c>
      <c r="X7" s="1">
        <v>185.89</v>
      </c>
      <c r="Y7" s="1">
        <v>108.39</v>
      </c>
      <c r="Z7" s="1">
        <f t="shared" si="6"/>
        <v>90.579999999999984</v>
      </c>
      <c r="AA7" s="44"/>
      <c r="AB7" s="1">
        <f t="shared" si="7"/>
        <v>13.079999999999998</v>
      </c>
      <c r="AC7" s="44"/>
      <c r="AD7" s="8">
        <f t="shared" si="8"/>
        <v>14.44027379112387</v>
      </c>
      <c r="AE7" s="44"/>
      <c r="AF7" s="57"/>
      <c r="AH7" s="14"/>
      <c r="AI7" s="22">
        <v>3</v>
      </c>
      <c r="AJ7" s="21">
        <v>44.44</v>
      </c>
      <c r="AL7" s="14"/>
      <c r="AM7" s="22">
        <v>3</v>
      </c>
      <c r="AN7" s="21">
        <v>95.31</v>
      </c>
    </row>
    <row r="8" spans="1:40" ht="15.75" thickBot="1" x14ac:dyDescent="0.3">
      <c r="A8" s="6"/>
      <c r="B8" s="5">
        <v>4</v>
      </c>
      <c r="C8" s="10">
        <v>18</v>
      </c>
      <c r="D8" s="1">
        <v>66.42</v>
      </c>
      <c r="E8" s="1">
        <v>46.75</v>
      </c>
      <c r="F8" s="1">
        <f t="shared" si="0"/>
        <v>21.71</v>
      </c>
      <c r="G8" s="44"/>
      <c r="H8" s="1">
        <f t="shared" si="1"/>
        <v>2.0399999999999991</v>
      </c>
      <c r="I8" s="44"/>
      <c r="J8" s="8">
        <f t="shared" si="2"/>
        <v>9.3965914325195712</v>
      </c>
      <c r="K8" s="44"/>
      <c r="L8" s="58"/>
      <c r="M8" s="10">
        <v>18</v>
      </c>
      <c r="N8" s="1">
        <v>72.55</v>
      </c>
      <c r="O8" s="1">
        <v>48.48</v>
      </c>
      <c r="P8" s="1">
        <f t="shared" si="3"/>
        <v>27.839999999999996</v>
      </c>
      <c r="Q8" s="44"/>
      <c r="R8" s="1">
        <f t="shared" si="4"/>
        <v>3.769999999999996</v>
      </c>
      <c r="S8" s="44"/>
      <c r="T8" s="8">
        <f t="shared" si="5"/>
        <v>13.541666666666654</v>
      </c>
      <c r="U8" s="44"/>
      <c r="V8" s="58"/>
      <c r="W8" s="10">
        <v>47</v>
      </c>
      <c r="X8" s="1">
        <v>187.77</v>
      </c>
      <c r="Y8" s="1">
        <v>108.34</v>
      </c>
      <c r="Z8" s="1">
        <f t="shared" si="6"/>
        <v>91.43</v>
      </c>
      <c r="AA8" s="44"/>
      <c r="AB8" s="1">
        <f t="shared" si="7"/>
        <v>12</v>
      </c>
      <c r="AC8" s="44"/>
      <c r="AD8" s="8">
        <f t="shared" si="8"/>
        <v>13.124794925079293</v>
      </c>
      <c r="AE8" s="44"/>
      <c r="AF8" s="58"/>
      <c r="AH8" s="6"/>
      <c r="AI8" s="20">
        <v>4</v>
      </c>
      <c r="AJ8" s="19">
        <v>44.71</v>
      </c>
      <c r="AL8" s="6"/>
      <c r="AM8" s="20">
        <v>4</v>
      </c>
      <c r="AN8" s="19">
        <v>96.34</v>
      </c>
    </row>
    <row r="9" spans="1:40" x14ac:dyDescent="0.25">
      <c r="A9" s="17" t="s">
        <v>22</v>
      </c>
      <c r="B9" s="16">
        <v>1</v>
      </c>
      <c r="C9" s="10">
        <v>18</v>
      </c>
      <c r="D9" s="1">
        <v>64.17</v>
      </c>
      <c r="E9" s="1">
        <v>46.52</v>
      </c>
      <c r="F9" s="1">
        <f t="shared" si="0"/>
        <v>19.560000000000002</v>
      </c>
      <c r="G9" s="44">
        <f t="shared" ref="G9" si="9">AVERAGE(F9:F12)</f>
        <v>20.550000000000004</v>
      </c>
      <c r="H9" s="1">
        <f t="shared" si="1"/>
        <v>1.9100000000000037</v>
      </c>
      <c r="I9" s="44">
        <f>AVERAGE(H9:H12)</f>
        <v>2.0600000000000023</v>
      </c>
      <c r="J9" s="8">
        <f t="shared" si="2"/>
        <v>9.7648261758691373</v>
      </c>
      <c r="K9" s="44">
        <f t="shared" ref="K9" si="10">AVERAGE(J9:J12)</f>
        <v>10.018710876713374</v>
      </c>
      <c r="L9" s="56">
        <f>_xlfn.STDEV.P(H9:H12)</f>
        <v>0.14456832294800737</v>
      </c>
      <c r="M9" s="10">
        <v>18</v>
      </c>
      <c r="N9" s="1">
        <v>72.55</v>
      </c>
      <c r="O9" s="1">
        <v>48.22</v>
      </c>
      <c r="P9" s="1">
        <f t="shared" si="3"/>
        <v>27.939999999999998</v>
      </c>
      <c r="Q9" s="44">
        <f t="shared" ref="Q9" si="11">AVERAGE(P9:P12)</f>
        <v>27.840000000000003</v>
      </c>
      <c r="R9" s="1">
        <f t="shared" si="4"/>
        <v>3.6099999999999994</v>
      </c>
      <c r="S9" s="44">
        <f>AVERAGE(R9:R12)</f>
        <v>3.5725000000000016</v>
      </c>
      <c r="T9" s="8">
        <f t="shared" si="5"/>
        <v>12.920544022906228</v>
      </c>
      <c r="U9" s="44">
        <f t="shared" ref="U9" si="12">AVERAGE(T9:T12)</f>
        <v>12.835862514490888</v>
      </c>
      <c r="V9" s="56">
        <f>_xlfn.STDEV.P(R9:R12)</f>
        <v>4.7631397208145E-2</v>
      </c>
      <c r="W9" s="10">
        <v>48</v>
      </c>
      <c r="X9" s="1">
        <v>178.52</v>
      </c>
      <c r="Y9" s="1">
        <v>106.34</v>
      </c>
      <c r="Z9" s="1">
        <f t="shared" si="6"/>
        <v>83.720000000000013</v>
      </c>
      <c r="AA9" s="44">
        <f t="shared" ref="AA9" si="13">AVERAGE(Z9:Z12)</f>
        <v>82.93</v>
      </c>
      <c r="AB9" s="1">
        <f t="shared" si="7"/>
        <v>11.540000000000006</v>
      </c>
      <c r="AC9" s="44">
        <f>AVERAGE(AB9:AB12)</f>
        <v>12.047500000000003</v>
      </c>
      <c r="AD9" s="8">
        <f t="shared" si="8"/>
        <v>13.784042044911615</v>
      </c>
      <c r="AE9" s="44">
        <f t="shared" ref="AE9" si="14">AVERAGE(AD9:AD12)</f>
        <v>14.545128446406377</v>
      </c>
      <c r="AF9" s="56">
        <f>_xlfn.STDEV.P(AB9:AB12)</f>
        <v>0.33446786093733927</v>
      </c>
      <c r="AH9" s="17">
        <v>2</v>
      </c>
      <c r="AI9" s="27">
        <v>1</v>
      </c>
      <c r="AJ9" s="26">
        <v>44.61</v>
      </c>
      <c r="AL9" s="25">
        <v>2</v>
      </c>
      <c r="AM9" s="24">
        <v>1</v>
      </c>
      <c r="AN9" s="23">
        <v>94.8</v>
      </c>
    </row>
    <row r="10" spans="1:40" x14ac:dyDescent="0.25">
      <c r="A10" s="14"/>
      <c r="B10" s="13">
        <v>2</v>
      </c>
      <c r="C10" s="10">
        <v>18</v>
      </c>
      <c r="D10" s="1">
        <v>67.11</v>
      </c>
      <c r="E10" s="1">
        <v>48.27</v>
      </c>
      <c r="F10" s="1">
        <f t="shared" si="0"/>
        <v>20.810000000000002</v>
      </c>
      <c r="G10" s="44"/>
      <c r="H10" s="1">
        <f t="shared" si="1"/>
        <v>1.970000000000006</v>
      </c>
      <c r="I10" s="44"/>
      <c r="J10" s="8">
        <f t="shared" si="2"/>
        <v>9.4666025949063233</v>
      </c>
      <c r="K10" s="44"/>
      <c r="L10" s="57"/>
      <c r="M10" s="10">
        <v>18</v>
      </c>
      <c r="N10" s="1">
        <v>74.11</v>
      </c>
      <c r="O10" s="1">
        <v>49.86</v>
      </c>
      <c r="P10" s="1">
        <f t="shared" si="3"/>
        <v>27.810000000000002</v>
      </c>
      <c r="Q10" s="44"/>
      <c r="R10" s="1">
        <f t="shared" si="4"/>
        <v>3.5600000000000023</v>
      </c>
      <c r="S10" s="44"/>
      <c r="T10" s="8">
        <f t="shared" si="5"/>
        <v>12.801150665228343</v>
      </c>
      <c r="U10" s="44"/>
      <c r="V10" s="57"/>
      <c r="W10" s="10">
        <v>48</v>
      </c>
      <c r="X10" s="1">
        <v>176.48</v>
      </c>
      <c r="Y10" s="1">
        <v>106.29</v>
      </c>
      <c r="Z10" s="1">
        <f t="shared" si="6"/>
        <v>82.279999999999987</v>
      </c>
      <c r="AA10" s="44"/>
      <c r="AB10" s="1">
        <f t="shared" si="7"/>
        <v>12.090000000000003</v>
      </c>
      <c r="AC10" s="44"/>
      <c r="AD10" s="8">
        <f t="shared" si="8"/>
        <v>14.693728731161894</v>
      </c>
      <c r="AE10" s="44"/>
      <c r="AF10" s="57"/>
      <c r="AH10" s="14"/>
      <c r="AI10" s="22">
        <v>2</v>
      </c>
      <c r="AJ10" s="21">
        <v>46.3</v>
      </c>
      <c r="AL10" s="14"/>
      <c r="AM10" s="22">
        <v>2</v>
      </c>
      <c r="AN10" s="21">
        <v>94.2</v>
      </c>
    </row>
    <row r="11" spans="1:40" x14ac:dyDescent="0.25">
      <c r="A11" s="14"/>
      <c r="B11" s="13">
        <v>3</v>
      </c>
      <c r="C11" s="10">
        <v>18</v>
      </c>
      <c r="D11" s="1">
        <v>64.680000000000007</v>
      </c>
      <c r="E11" s="1">
        <v>46.83</v>
      </c>
      <c r="F11" s="1">
        <f t="shared" si="0"/>
        <v>19.920000000000009</v>
      </c>
      <c r="G11" s="44"/>
      <c r="H11" s="1">
        <f t="shared" si="1"/>
        <v>2.0700000000000003</v>
      </c>
      <c r="I11" s="44"/>
      <c r="J11" s="8">
        <f t="shared" si="2"/>
        <v>10.391566265060238</v>
      </c>
      <c r="K11" s="44"/>
      <c r="L11" s="57"/>
      <c r="M11" s="10">
        <v>18</v>
      </c>
      <c r="N11" s="1">
        <v>72.09</v>
      </c>
      <c r="O11" s="1">
        <v>48.38</v>
      </c>
      <c r="P11" s="1">
        <f t="shared" si="3"/>
        <v>27.330000000000005</v>
      </c>
      <c r="Q11" s="44"/>
      <c r="R11" s="1">
        <f t="shared" si="4"/>
        <v>3.6200000000000045</v>
      </c>
      <c r="S11" s="44"/>
      <c r="T11" s="8">
        <f t="shared" si="5"/>
        <v>13.245517746066607</v>
      </c>
      <c r="U11" s="44"/>
      <c r="V11" s="57"/>
      <c r="W11" s="10">
        <v>46</v>
      </c>
      <c r="X11" s="1">
        <v>172.11</v>
      </c>
      <c r="Y11" s="1">
        <v>105.86</v>
      </c>
      <c r="Z11" s="1">
        <f t="shared" si="6"/>
        <v>78.330000000000013</v>
      </c>
      <c r="AA11" s="44"/>
      <c r="AB11" s="1">
        <f t="shared" si="7"/>
        <v>12.079999999999998</v>
      </c>
      <c r="AC11" s="44"/>
      <c r="AD11" s="8">
        <f t="shared" si="8"/>
        <v>15.421932848206303</v>
      </c>
      <c r="AE11" s="44"/>
      <c r="AF11" s="57"/>
      <c r="AH11" s="14"/>
      <c r="AI11" s="22">
        <v>3</v>
      </c>
      <c r="AJ11" s="21">
        <v>44.76</v>
      </c>
      <c r="AL11" s="14"/>
      <c r="AM11" s="22">
        <v>3</v>
      </c>
      <c r="AN11" s="21">
        <v>93.78</v>
      </c>
    </row>
    <row r="12" spans="1:40" ht="15.75" thickBot="1" x14ac:dyDescent="0.3">
      <c r="A12" s="6"/>
      <c r="B12" s="5">
        <v>4</v>
      </c>
      <c r="C12" s="10">
        <v>18</v>
      </c>
      <c r="D12" s="1">
        <v>66.61</v>
      </c>
      <c r="E12" s="1">
        <v>46.99</v>
      </c>
      <c r="F12" s="1">
        <f t="shared" si="0"/>
        <v>21.909999999999997</v>
      </c>
      <c r="G12" s="44"/>
      <c r="H12" s="1">
        <f t="shared" si="1"/>
        <v>2.2899999999999991</v>
      </c>
      <c r="I12" s="44"/>
      <c r="J12" s="8">
        <f t="shared" si="2"/>
        <v>10.451848471017797</v>
      </c>
      <c r="K12" s="44"/>
      <c r="L12" s="58"/>
      <c r="M12" s="10">
        <v>18</v>
      </c>
      <c r="N12" s="1">
        <v>72.98</v>
      </c>
      <c r="O12" s="1">
        <v>48.2</v>
      </c>
      <c r="P12" s="1">
        <f t="shared" si="3"/>
        <v>28.28</v>
      </c>
      <c r="Q12" s="44"/>
      <c r="R12" s="1">
        <f t="shared" si="4"/>
        <v>3.5</v>
      </c>
      <c r="S12" s="44"/>
      <c r="T12" s="8">
        <f t="shared" si="5"/>
        <v>12.376237623762377</v>
      </c>
      <c r="U12" s="44"/>
      <c r="V12" s="58"/>
      <c r="W12" s="10">
        <v>48</v>
      </c>
      <c r="X12" s="1">
        <v>181.35</v>
      </c>
      <c r="Y12" s="1">
        <v>106.44</v>
      </c>
      <c r="Z12" s="1">
        <f t="shared" si="6"/>
        <v>87.39</v>
      </c>
      <c r="AA12" s="44"/>
      <c r="AB12" s="1">
        <f t="shared" si="7"/>
        <v>12.480000000000004</v>
      </c>
      <c r="AC12" s="44"/>
      <c r="AD12" s="8">
        <f t="shared" si="8"/>
        <v>14.280810161345697</v>
      </c>
      <c r="AE12" s="44"/>
      <c r="AF12" s="58"/>
      <c r="AH12" s="6"/>
      <c r="AI12" s="20">
        <v>4</v>
      </c>
      <c r="AJ12" s="19">
        <v>44.7</v>
      </c>
      <c r="AL12" s="6"/>
      <c r="AM12" s="20">
        <v>4</v>
      </c>
      <c r="AN12" s="19">
        <v>93.96</v>
      </c>
    </row>
    <row r="13" spans="1:40" x14ac:dyDescent="0.25">
      <c r="A13" s="17" t="s">
        <v>17</v>
      </c>
      <c r="B13" s="16">
        <v>1</v>
      </c>
      <c r="C13" s="10">
        <v>17</v>
      </c>
      <c r="D13" s="1">
        <v>80.59</v>
      </c>
      <c r="E13" s="1">
        <v>47.19</v>
      </c>
      <c r="F13" s="1">
        <f t="shared" si="0"/>
        <v>35.85</v>
      </c>
      <c r="G13" s="44">
        <f t="shared" ref="G13" si="15">AVERAGE(F13:F16)</f>
        <v>32.449999999999996</v>
      </c>
      <c r="H13" s="1">
        <f t="shared" si="1"/>
        <v>2.4499999999999957</v>
      </c>
      <c r="I13" s="44">
        <f>AVERAGE(H13:H16)</f>
        <v>2.4849999999999994</v>
      </c>
      <c r="J13" s="8">
        <f t="shared" si="2"/>
        <v>6.8340306834030562</v>
      </c>
      <c r="K13" s="44">
        <f t="shared" ref="K13" si="16">AVERAGE(J13:J16)</f>
        <v>7.7745563275600764</v>
      </c>
      <c r="L13" s="56">
        <f>_xlfn.STDEV.P(H13:H16)</f>
        <v>0.12519984025549274</v>
      </c>
      <c r="M13" s="10">
        <v>17</v>
      </c>
      <c r="N13" s="1">
        <v>110.98</v>
      </c>
      <c r="O13" s="1">
        <v>50.4</v>
      </c>
      <c r="P13" s="1">
        <f t="shared" si="3"/>
        <v>66.240000000000009</v>
      </c>
      <c r="Q13" s="44">
        <f t="shared" ref="Q13" si="17">AVERAGE(P13:P16)</f>
        <v>57.807500000000005</v>
      </c>
      <c r="R13" s="1">
        <f t="shared" si="4"/>
        <v>5.6599999999999966</v>
      </c>
      <c r="S13" s="44">
        <f>AVERAGE(R13:R16)</f>
        <v>5.6425000000000001</v>
      </c>
      <c r="T13" s="8">
        <f t="shared" si="5"/>
        <v>8.5446859903381576</v>
      </c>
      <c r="U13" s="44">
        <f t="shared" ref="U13" si="18">AVERAGE(T13:T16)</f>
        <v>9.826323495614032</v>
      </c>
      <c r="V13" s="56">
        <f>_xlfn.STDEV.P(R13:R16)</f>
        <v>0.27188002868912409</v>
      </c>
      <c r="W13" s="10">
        <v>47</v>
      </c>
      <c r="X13" s="34">
        <v>272.05</v>
      </c>
      <c r="Y13" s="1">
        <v>115.79</v>
      </c>
      <c r="Z13" s="1">
        <f t="shared" si="6"/>
        <v>178.31</v>
      </c>
      <c r="AA13" s="44">
        <f t="shared" ref="AA13" si="19">AVERAGE(Z13:Z16)</f>
        <v>171.51750000000001</v>
      </c>
      <c r="AB13" s="1">
        <f t="shared" si="7"/>
        <v>22.050000000000011</v>
      </c>
      <c r="AC13" s="44">
        <f>AVERAGE(AB13:AB16)</f>
        <v>21.67</v>
      </c>
      <c r="AD13" s="8">
        <f t="shared" si="8"/>
        <v>12.366103976221194</v>
      </c>
      <c r="AE13" s="44">
        <f t="shared" ref="AE13" si="20">AVERAGE(AD13:AD16)</f>
        <v>12.640750434232816</v>
      </c>
      <c r="AF13" s="56">
        <f>_xlfn.STDEV.P(AB13:AB16)</f>
        <v>0.43428101501216843</v>
      </c>
      <c r="AH13" s="17">
        <v>3</v>
      </c>
      <c r="AI13" s="16">
        <v>1</v>
      </c>
      <c r="AJ13" s="18">
        <v>44.74</v>
      </c>
      <c r="AL13" s="17">
        <v>3</v>
      </c>
      <c r="AM13" s="16">
        <v>1</v>
      </c>
      <c r="AN13" s="15">
        <v>93.74</v>
      </c>
    </row>
    <row r="14" spans="1:40" x14ac:dyDescent="0.25">
      <c r="A14" s="14"/>
      <c r="B14" s="13">
        <v>2</v>
      </c>
      <c r="C14" s="10">
        <v>18</v>
      </c>
      <c r="D14" s="1">
        <v>70.489999999999995</v>
      </c>
      <c r="E14" s="1">
        <v>47.1</v>
      </c>
      <c r="F14" s="1">
        <f t="shared" si="0"/>
        <v>25.839999999999996</v>
      </c>
      <c r="G14" s="44"/>
      <c r="H14" s="1">
        <f t="shared" si="1"/>
        <v>2.4500000000000028</v>
      </c>
      <c r="I14" s="44"/>
      <c r="J14" s="8">
        <f t="shared" si="2"/>
        <v>9.4814241486068234</v>
      </c>
      <c r="K14" s="44"/>
      <c r="L14" s="57"/>
      <c r="M14" s="10">
        <v>18</v>
      </c>
      <c r="N14" s="1">
        <v>97.48</v>
      </c>
      <c r="O14" s="1">
        <v>50.08</v>
      </c>
      <c r="P14" s="1">
        <f t="shared" si="3"/>
        <v>52.830000000000005</v>
      </c>
      <c r="Q14" s="44"/>
      <c r="R14" s="1">
        <f t="shared" si="4"/>
        <v>5.43</v>
      </c>
      <c r="S14" s="44"/>
      <c r="T14" s="8">
        <f t="shared" si="5"/>
        <v>10.278250993753547</v>
      </c>
      <c r="U14" s="44"/>
      <c r="V14" s="57"/>
      <c r="W14" s="10">
        <v>48</v>
      </c>
      <c r="X14" s="1">
        <v>257.66000000000003</v>
      </c>
      <c r="Y14" s="1">
        <v>115.39</v>
      </c>
      <c r="Z14" s="1">
        <f t="shared" si="6"/>
        <v>163.44000000000003</v>
      </c>
      <c r="AA14" s="44"/>
      <c r="AB14" s="1">
        <f t="shared" si="7"/>
        <v>21.17</v>
      </c>
      <c r="AC14" s="44"/>
      <c r="AD14" s="8">
        <f t="shared" si="8"/>
        <v>12.952765540871267</v>
      </c>
      <c r="AE14" s="44"/>
      <c r="AF14" s="57"/>
      <c r="AH14" s="14"/>
      <c r="AI14" s="13">
        <v>2</v>
      </c>
      <c r="AJ14" s="10">
        <v>44.65</v>
      </c>
      <c r="AL14" s="14"/>
      <c r="AM14" s="13">
        <v>2</v>
      </c>
      <c r="AN14" s="12">
        <v>94.22</v>
      </c>
    </row>
    <row r="15" spans="1:40" x14ac:dyDescent="0.25">
      <c r="A15" s="14"/>
      <c r="B15" s="13">
        <v>3</v>
      </c>
      <c r="C15" s="10">
        <v>17</v>
      </c>
      <c r="D15" s="1">
        <v>77.73</v>
      </c>
      <c r="E15" s="1">
        <v>47.23</v>
      </c>
      <c r="F15" s="1">
        <f t="shared" si="0"/>
        <v>32.85</v>
      </c>
      <c r="G15" s="44"/>
      <c r="H15" s="1">
        <f t="shared" si="1"/>
        <v>2.3499999999999943</v>
      </c>
      <c r="I15" s="44"/>
      <c r="J15" s="8">
        <f t="shared" si="2"/>
        <v>7.1537290715372732</v>
      </c>
      <c r="K15" s="44"/>
      <c r="L15" s="57"/>
      <c r="M15" s="10">
        <v>18</v>
      </c>
      <c r="N15" s="1">
        <v>100.49</v>
      </c>
      <c r="O15" s="1">
        <v>50.96</v>
      </c>
      <c r="P15" s="1">
        <f t="shared" si="3"/>
        <v>55.609999999999992</v>
      </c>
      <c r="Q15" s="44"/>
      <c r="R15" s="1">
        <f t="shared" si="4"/>
        <v>6.0799999999999983</v>
      </c>
      <c r="S15" s="44"/>
      <c r="T15" s="8">
        <f t="shared" si="5"/>
        <v>10.933285380327279</v>
      </c>
      <c r="U15" s="44"/>
      <c r="V15" s="57"/>
      <c r="W15" s="10">
        <v>48</v>
      </c>
      <c r="X15" s="1">
        <v>266.5</v>
      </c>
      <c r="Y15" s="1">
        <v>115.59</v>
      </c>
      <c r="Z15" s="1">
        <f t="shared" si="6"/>
        <v>172.22</v>
      </c>
      <c r="AA15" s="44"/>
      <c r="AB15" s="1">
        <f t="shared" si="7"/>
        <v>21.310000000000002</v>
      </c>
      <c r="AC15" s="44"/>
      <c r="AD15" s="8">
        <f t="shared" si="8"/>
        <v>12.373708047845779</v>
      </c>
      <c r="AE15" s="44"/>
      <c r="AF15" s="57"/>
      <c r="AH15" s="14"/>
      <c r="AI15" s="13">
        <v>3</v>
      </c>
      <c r="AJ15" s="10">
        <v>44.88</v>
      </c>
      <c r="AL15" s="14"/>
      <c r="AM15" s="13">
        <v>3</v>
      </c>
      <c r="AN15" s="12">
        <v>94.28</v>
      </c>
    </row>
    <row r="16" spans="1:40" ht="15.75" thickBot="1" x14ac:dyDescent="0.3">
      <c r="A16" s="6"/>
      <c r="B16" s="5">
        <v>4</v>
      </c>
      <c r="C16" s="10">
        <v>18</v>
      </c>
      <c r="D16" s="1">
        <f>35.26+AJ16</f>
        <v>79.949999999999989</v>
      </c>
      <c r="E16" s="1">
        <v>47.38</v>
      </c>
      <c r="F16" s="1">
        <f t="shared" si="0"/>
        <v>35.259999999999991</v>
      </c>
      <c r="G16" s="44"/>
      <c r="H16" s="1">
        <f t="shared" si="1"/>
        <v>2.6900000000000048</v>
      </c>
      <c r="I16" s="44"/>
      <c r="J16" s="8">
        <f t="shared" si="2"/>
        <v>7.629041406693152</v>
      </c>
      <c r="K16" s="44"/>
      <c r="L16" s="58"/>
      <c r="M16" s="10">
        <v>18</v>
      </c>
      <c r="N16" s="1">
        <v>101.24</v>
      </c>
      <c r="O16" s="1">
        <v>50.09</v>
      </c>
      <c r="P16" s="1">
        <f t="shared" si="3"/>
        <v>56.55</v>
      </c>
      <c r="Q16" s="44"/>
      <c r="R16" s="1">
        <f t="shared" si="4"/>
        <v>5.4000000000000057</v>
      </c>
      <c r="S16" s="44"/>
      <c r="T16" s="8">
        <f t="shared" si="5"/>
        <v>9.5490716180371447</v>
      </c>
      <c r="U16" s="44"/>
      <c r="V16" s="58"/>
      <c r="W16" s="10">
        <v>48</v>
      </c>
      <c r="X16" s="1">
        <v>265.55</v>
      </c>
      <c r="Y16" s="1">
        <v>115.6</v>
      </c>
      <c r="Z16" s="1">
        <f t="shared" si="6"/>
        <v>172.10000000000002</v>
      </c>
      <c r="AA16" s="44"/>
      <c r="AB16" s="1">
        <f t="shared" si="7"/>
        <v>22.149999999999991</v>
      </c>
      <c r="AC16" s="44"/>
      <c r="AD16" s="8">
        <f t="shared" si="8"/>
        <v>12.870424171993022</v>
      </c>
      <c r="AE16" s="44"/>
      <c r="AF16" s="58"/>
      <c r="AH16" s="6"/>
      <c r="AI16" s="5">
        <v>4</v>
      </c>
      <c r="AJ16" s="7">
        <v>44.69</v>
      </c>
      <c r="AL16" s="6"/>
      <c r="AM16" s="5">
        <v>4</v>
      </c>
      <c r="AN16" s="4">
        <v>93.45</v>
      </c>
    </row>
    <row r="17" spans="1:40" x14ac:dyDescent="0.25">
      <c r="A17" s="17" t="s">
        <v>18</v>
      </c>
      <c r="B17" s="16">
        <v>1</v>
      </c>
      <c r="C17" s="10">
        <v>18</v>
      </c>
      <c r="D17" s="1">
        <v>81.239999999999995</v>
      </c>
      <c r="E17" s="1">
        <v>47.18</v>
      </c>
      <c r="F17" s="1">
        <f t="shared" si="0"/>
        <v>36.629999999999995</v>
      </c>
      <c r="G17" s="44">
        <f t="shared" ref="G17" si="21">AVERAGE(F17:F20)</f>
        <v>39.989999999999995</v>
      </c>
      <c r="H17" s="1">
        <f t="shared" si="1"/>
        <v>2.5700000000000003</v>
      </c>
      <c r="I17" s="44">
        <f>AVERAGE(H17:H20)</f>
        <v>2.7575000000000021</v>
      </c>
      <c r="J17" s="8">
        <f t="shared" si="2"/>
        <v>7.0161070161070178</v>
      </c>
      <c r="K17" s="44">
        <f t="shared" ref="K17" si="22">AVERAGE(J17:J20)</f>
        <v>6.912726514530549</v>
      </c>
      <c r="L17" s="56">
        <f>_xlfn.STDEV.P(H17:H20)</f>
        <v>0.14720309100015636</v>
      </c>
      <c r="M17" s="10">
        <v>18</v>
      </c>
      <c r="N17" s="1">
        <v>101.07</v>
      </c>
      <c r="O17" s="1">
        <v>49.72</v>
      </c>
      <c r="P17" s="1">
        <f t="shared" si="3"/>
        <v>56.459999999999994</v>
      </c>
      <c r="Q17" s="44">
        <f t="shared" ref="Q17" si="23">AVERAGE(P17:P20)</f>
        <v>60.387499999999996</v>
      </c>
      <c r="R17" s="1">
        <f t="shared" si="4"/>
        <v>5.1099999999999994</v>
      </c>
      <c r="S17" s="44">
        <f>AVERAGE(R17:R20)</f>
        <v>5.4925000000000015</v>
      </c>
      <c r="T17" s="8">
        <f t="shared" si="5"/>
        <v>9.0506553312079348</v>
      </c>
      <c r="U17" s="44">
        <f t="shared" ref="U17" si="24">AVERAGE(T17:T20)</f>
        <v>9.0917608625935369</v>
      </c>
      <c r="V17" s="56">
        <f>_xlfn.STDEV.P(R17:R20)</f>
        <v>0.43303435198607698</v>
      </c>
      <c r="W17" s="10">
        <v>45</v>
      </c>
      <c r="X17" s="1">
        <v>268.87</v>
      </c>
      <c r="Y17" s="1">
        <v>113.66</v>
      </c>
      <c r="Z17" s="1">
        <f t="shared" si="6"/>
        <v>175.10000000000002</v>
      </c>
      <c r="AA17" s="44">
        <f t="shared" ref="AA17" si="25">AVERAGE(Z17:Z20)</f>
        <v>188.54</v>
      </c>
      <c r="AB17" s="1">
        <f t="shared" si="7"/>
        <v>19.89</v>
      </c>
      <c r="AC17" s="44">
        <f>AVERAGE(AB17:AB20)</f>
        <v>21.720000000000002</v>
      </c>
      <c r="AD17" s="8">
        <f t="shared" si="8"/>
        <v>11.359223300970873</v>
      </c>
      <c r="AE17" s="44">
        <f t="shared" ref="AE17" si="26">AVERAGE(AD17:AD20)</f>
        <v>11.514045691329809</v>
      </c>
      <c r="AF17" s="56">
        <f>_xlfn.STDEV.P(AB17:AB20)</f>
        <v>1.3772980795746452</v>
      </c>
      <c r="AH17" s="17">
        <v>4</v>
      </c>
      <c r="AI17" s="16">
        <v>1</v>
      </c>
      <c r="AJ17" s="18">
        <v>44.61</v>
      </c>
      <c r="AL17" s="17">
        <v>4</v>
      </c>
      <c r="AM17" s="16">
        <v>1</v>
      </c>
      <c r="AN17" s="15">
        <v>93.77</v>
      </c>
    </row>
    <row r="18" spans="1:40" x14ac:dyDescent="0.25">
      <c r="A18" s="14"/>
      <c r="B18" s="13">
        <v>2</v>
      </c>
      <c r="C18" s="10">
        <v>18</v>
      </c>
      <c r="D18" s="1">
        <v>84.77</v>
      </c>
      <c r="E18" s="1">
        <v>47.53</v>
      </c>
      <c r="F18" s="1">
        <f t="shared" si="0"/>
        <v>40.08</v>
      </c>
      <c r="G18" s="44"/>
      <c r="H18" s="1">
        <f t="shared" si="1"/>
        <v>2.8400000000000034</v>
      </c>
      <c r="I18" s="44"/>
      <c r="J18" s="8">
        <f t="shared" si="2"/>
        <v>7.0858283433133824</v>
      </c>
      <c r="K18" s="44"/>
      <c r="L18" s="57"/>
      <c r="M18" s="10">
        <v>18</v>
      </c>
      <c r="N18" s="1">
        <v>109.57</v>
      </c>
      <c r="O18" s="1">
        <v>50.36</v>
      </c>
      <c r="P18" s="1">
        <f t="shared" si="3"/>
        <v>64.88</v>
      </c>
      <c r="Q18" s="44"/>
      <c r="R18" s="1">
        <f t="shared" si="4"/>
        <v>5.6700000000000017</v>
      </c>
      <c r="S18" s="44"/>
      <c r="T18" s="8">
        <f t="shared" si="5"/>
        <v>8.7392108508014825</v>
      </c>
      <c r="U18" s="44"/>
      <c r="V18" s="57"/>
      <c r="W18" s="10">
        <v>48</v>
      </c>
      <c r="X18" s="1">
        <v>287.27999999999997</v>
      </c>
      <c r="Y18" s="1">
        <v>117.43</v>
      </c>
      <c r="Z18" s="1">
        <f t="shared" si="6"/>
        <v>193.14999999999998</v>
      </c>
      <c r="AA18" s="44"/>
      <c r="AB18" s="1">
        <f t="shared" si="7"/>
        <v>23.300000000000011</v>
      </c>
      <c r="AC18" s="44"/>
      <c r="AD18" s="8">
        <f t="shared" si="8"/>
        <v>12.063163344550876</v>
      </c>
      <c r="AE18" s="44"/>
      <c r="AF18" s="57"/>
      <c r="AH18" s="14"/>
      <c r="AI18" s="13">
        <v>2</v>
      </c>
      <c r="AJ18" s="10">
        <v>44.69</v>
      </c>
      <c r="AL18" s="14"/>
      <c r="AM18" s="13">
        <v>2</v>
      </c>
      <c r="AN18" s="12">
        <v>94.13</v>
      </c>
    </row>
    <row r="19" spans="1:40" x14ac:dyDescent="0.25">
      <c r="A19" s="14"/>
      <c r="B19" s="13">
        <v>3</v>
      </c>
      <c r="C19" s="10">
        <v>18</v>
      </c>
      <c r="D19" s="1">
        <v>84.18</v>
      </c>
      <c r="E19" s="1">
        <v>48.93</v>
      </c>
      <c r="F19" s="1">
        <f t="shared" si="0"/>
        <v>37.920000000000009</v>
      </c>
      <c r="G19" s="44"/>
      <c r="H19" s="1">
        <f t="shared" si="1"/>
        <v>2.6700000000000017</v>
      </c>
      <c r="I19" s="44"/>
      <c r="J19" s="8">
        <f t="shared" si="2"/>
        <v>7.0411392405063324</v>
      </c>
      <c r="K19" s="44"/>
      <c r="L19" s="57"/>
      <c r="M19" s="10">
        <v>18</v>
      </c>
      <c r="N19" s="1">
        <v>103.94</v>
      </c>
      <c r="O19" s="1">
        <v>51.33</v>
      </c>
      <c r="P19" s="1">
        <f t="shared" si="3"/>
        <v>57.68</v>
      </c>
      <c r="Q19" s="44"/>
      <c r="R19" s="1">
        <f t="shared" si="4"/>
        <v>5.07</v>
      </c>
      <c r="S19" s="44"/>
      <c r="T19" s="8">
        <f t="shared" si="5"/>
        <v>8.7898751733703193</v>
      </c>
      <c r="U19" s="44"/>
      <c r="V19" s="57"/>
      <c r="W19" s="10">
        <v>47</v>
      </c>
      <c r="X19" s="1">
        <v>281.93</v>
      </c>
      <c r="Y19" s="1">
        <v>115.48</v>
      </c>
      <c r="Z19" s="1">
        <f t="shared" si="6"/>
        <v>187.37</v>
      </c>
      <c r="AA19" s="44"/>
      <c r="AB19" s="1">
        <f t="shared" si="7"/>
        <v>20.92</v>
      </c>
      <c r="AC19" s="44"/>
      <c r="AD19" s="8">
        <f t="shared" si="8"/>
        <v>11.165074451619791</v>
      </c>
      <c r="AE19" s="44"/>
      <c r="AF19" s="57"/>
      <c r="AH19" s="14"/>
      <c r="AI19" s="13">
        <v>3</v>
      </c>
      <c r="AJ19" s="10">
        <v>46.26</v>
      </c>
      <c r="AL19" s="14"/>
      <c r="AM19" s="13">
        <v>3</v>
      </c>
      <c r="AN19" s="12">
        <v>94.56</v>
      </c>
    </row>
    <row r="20" spans="1:40" ht="15.75" thickBot="1" x14ac:dyDescent="0.3">
      <c r="A20" s="6"/>
      <c r="B20" s="5">
        <v>4</v>
      </c>
      <c r="C20" s="10">
        <v>18</v>
      </c>
      <c r="D20" s="1">
        <v>89.91</v>
      </c>
      <c r="E20" s="1">
        <v>47.53</v>
      </c>
      <c r="F20" s="1">
        <f t="shared" si="0"/>
        <v>45.33</v>
      </c>
      <c r="G20" s="44"/>
      <c r="H20" s="1">
        <f t="shared" si="1"/>
        <v>2.9500000000000028</v>
      </c>
      <c r="I20" s="44"/>
      <c r="J20" s="8">
        <f t="shared" si="2"/>
        <v>6.5078314581954615</v>
      </c>
      <c r="K20" s="44"/>
      <c r="L20" s="58"/>
      <c r="M20" s="10">
        <v>18</v>
      </c>
      <c r="N20" s="1">
        <v>107.11</v>
      </c>
      <c r="O20" s="1">
        <v>50.7</v>
      </c>
      <c r="P20" s="1">
        <f t="shared" si="3"/>
        <v>62.53</v>
      </c>
      <c r="Q20" s="44"/>
      <c r="R20" s="1">
        <f t="shared" si="4"/>
        <v>6.1200000000000045</v>
      </c>
      <c r="S20" s="44"/>
      <c r="T20" s="8">
        <f t="shared" si="5"/>
        <v>9.787302094994411</v>
      </c>
      <c r="U20" s="44"/>
      <c r="V20" s="58"/>
      <c r="W20" s="10">
        <v>48</v>
      </c>
      <c r="X20" s="1">
        <v>292.88</v>
      </c>
      <c r="Y20" s="1">
        <v>117.11</v>
      </c>
      <c r="Z20" s="1">
        <f t="shared" si="6"/>
        <v>198.54</v>
      </c>
      <c r="AA20" s="44"/>
      <c r="AB20" s="1">
        <f t="shared" si="7"/>
        <v>22.769999999999996</v>
      </c>
      <c r="AC20" s="44"/>
      <c r="AD20" s="8">
        <f t="shared" si="8"/>
        <v>11.468721668177697</v>
      </c>
      <c r="AE20" s="44"/>
      <c r="AF20" s="58"/>
      <c r="AH20" s="6"/>
      <c r="AI20" s="5">
        <v>4</v>
      </c>
      <c r="AJ20" s="7">
        <v>44.58</v>
      </c>
      <c r="AL20" s="6"/>
      <c r="AM20" s="5">
        <v>4</v>
      </c>
      <c r="AN20" s="4">
        <v>94.34</v>
      </c>
    </row>
    <row r="21" spans="1:40" x14ac:dyDescent="0.25">
      <c r="A21" s="17" t="s">
        <v>19</v>
      </c>
      <c r="B21" s="16">
        <v>1</v>
      </c>
      <c r="C21" s="10">
        <v>18</v>
      </c>
      <c r="D21" s="1">
        <v>83.67</v>
      </c>
      <c r="E21" s="1">
        <v>47.4</v>
      </c>
      <c r="F21" s="1">
        <f t="shared" si="0"/>
        <v>38.870000000000005</v>
      </c>
      <c r="G21" s="44">
        <f t="shared" ref="G21" si="27">AVERAGE(F21:F24)</f>
        <v>35.692499999999995</v>
      </c>
      <c r="H21" s="1">
        <f t="shared" si="1"/>
        <v>2.6000000000000014</v>
      </c>
      <c r="I21" s="44">
        <f>AVERAGE(H21:H24)</f>
        <v>2.4899999999999984</v>
      </c>
      <c r="J21" s="8">
        <f t="shared" si="2"/>
        <v>6.6889632107023438</v>
      </c>
      <c r="K21" s="44">
        <f t="shared" ref="K21" si="28">AVERAGE(J21:J24)</f>
        <v>6.9894056537741527</v>
      </c>
      <c r="L21" s="56">
        <f>_xlfn.STDEV.P(H21:H24)</f>
        <v>0.21931712199461237</v>
      </c>
      <c r="M21" s="10">
        <v>18</v>
      </c>
      <c r="N21" s="1">
        <v>114.13</v>
      </c>
      <c r="O21" s="1">
        <v>51.06</v>
      </c>
      <c r="P21" s="1">
        <f t="shared" si="3"/>
        <v>69.33</v>
      </c>
      <c r="Q21" s="44">
        <f t="shared" ref="Q21" si="29">AVERAGE(P21:P24)</f>
        <v>67.180000000000007</v>
      </c>
      <c r="R21" s="1">
        <f t="shared" si="4"/>
        <v>6.2600000000000051</v>
      </c>
      <c r="S21" s="44">
        <f>AVERAGE(R21:R24)</f>
        <v>5.8149999999999995</v>
      </c>
      <c r="T21" s="8">
        <f t="shared" si="5"/>
        <v>9.0292802538583654</v>
      </c>
      <c r="U21" s="44">
        <f t="shared" ref="U21" si="30">AVERAGE(T21:T24)</f>
        <v>8.6645782240705707</v>
      </c>
      <c r="V21" s="56">
        <f>_xlfn.STDEV.P(R21:R24)</f>
        <v>0.54664888182452098</v>
      </c>
      <c r="W21" s="10">
        <v>46</v>
      </c>
      <c r="X21" s="1">
        <v>315.3</v>
      </c>
      <c r="Y21" s="1">
        <v>117.47</v>
      </c>
      <c r="Z21" s="1">
        <f t="shared" si="6"/>
        <v>221</v>
      </c>
      <c r="AA21" s="44">
        <f t="shared" ref="AA21" si="31">AVERAGE(Z21:Z24)</f>
        <v>204.82499999999999</v>
      </c>
      <c r="AB21" s="1">
        <f t="shared" si="7"/>
        <v>23.17</v>
      </c>
      <c r="AC21" s="44">
        <f>AVERAGE(AB21:AB24)</f>
        <v>22.522500000000001</v>
      </c>
      <c r="AD21" s="8">
        <f t="shared" si="8"/>
        <v>10.484162895927602</v>
      </c>
      <c r="AE21" s="44">
        <f t="shared" ref="AE21" si="32">AVERAGE(AD21:AD24)</f>
        <v>11.004485625830869</v>
      </c>
      <c r="AF21" s="56">
        <f>_xlfn.STDEV.P(AB21:AB24)</f>
        <v>1.3558092601837437</v>
      </c>
      <c r="AH21" s="17">
        <v>5</v>
      </c>
      <c r="AI21" s="16">
        <v>1</v>
      </c>
      <c r="AJ21" s="18">
        <v>44.8</v>
      </c>
      <c r="AL21" s="17">
        <v>5</v>
      </c>
      <c r="AM21" s="16">
        <v>1</v>
      </c>
      <c r="AN21" s="15">
        <v>94.3</v>
      </c>
    </row>
    <row r="22" spans="1:40" x14ac:dyDescent="0.25">
      <c r="A22" s="14"/>
      <c r="B22" s="13">
        <v>2</v>
      </c>
      <c r="C22" s="10">
        <v>17</v>
      </c>
      <c r="D22" s="1">
        <v>77.02</v>
      </c>
      <c r="E22" s="1">
        <v>46.83</v>
      </c>
      <c r="F22" s="1">
        <f t="shared" si="0"/>
        <v>32.389999999999993</v>
      </c>
      <c r="G22" s="44"/>
      <c r="H22" s="1">
        <f t="shared" si="1"/>
        <v>2.1999999999999957</v>
      </c>
      <c r="I22" s="44"/>
      <c r="J22" s="8">
        <f t="shared" si="2"/>
        <v>6.7922198209323748</v>
      </c>
      <c r="K22" s="44"/>
      <c r="L22" s="57"/>
      <c r="M22" s="10">
        <v>18</v>
      </c>
      <c r="N22" s="1">
        <v>121.87</v>
      </c>
      <c r="O22" s="1">
        <v>51.05</v>
      </c>
      <c r="P22" s="1">
        <f t="shared" si="3"/>
        <v>77.240000000000009</v>
      </c>
      <c r="Q22" s="44"/>
      <c r="R22" s="1">
        <f t="shared" si="4"/>
        <v>6.4199999999999946</v>
      </c>
      <c r="S22" s="44"/>
      <c r="T22" s="8">
        <f t="shared" si="5"/>
        <v>8.31175556706369</v>
      </c>
      <c r="U22" s="44"/>
      <c r="V22" s="57"/>
      <c r="W22" s="10">
        <v>48</v>
      </c>
      <c r="X22" s="1">
        <v>300.14999999999998</v>
      </c>
      <c r="Y22" s="1">
        <v>117.52</v>
      </c>
      <c r="Z22" s="1">
        <f t="shared" si="6"/>
        <v>206.07</v>
      </c>
      <c r="AA22" s="44"/>
      <c r="AB22" s="1">
        <f t="shared" si="7"/>
        <v>23.439999999999998</v>
      </c>
      <c r="AC22" s="44"/>
      <c r="AD22" s="8">
        <f t="shared" si="8"/>
        <v>11.374775561702332</v>
      </c>
      <c r="AE22" s="44"/>
      <c r="AF22" s="57"/>
      <c r="AH22" s="14"/>
      <c r="AI22" s="13">
        <v>2</v>
      </c>
      <c r="AJ22" s="10">
        <v>44.63</v>
      </c>
      <c r="AL22" s="14"/>
      <c r="AM22" s="13">
        <v>2</v>
      </c>
      <c r="AN22" s="12">
        <v>94.08</v>
      </c>
    </row>
    <row r="23" spans="1:40" x14ac:dyDescent="0.25">
      <c r="A23" s="14"/>
      <c r="B23" s="13">
        <v>3</v>
      </c>
      <c r="C23" s="10">
        <v>17</v>
      </c>
      <c r="D23" s="1">
        <v>84.19</v>
      </c>
      <c r="E23" s="1">
        <v>47.41</v>
      </c>
      <c r="F23" s="1">
        <f t="shared" si="0"/>
        <v>39.559999999999995</v>
      </c>
      <c r="G23" s="44"/>
      <c r="H23" s="1">
        <f t="shared" si="1"/>
        <v>2.779999999999994</v>
      </c>
      <c r="I23" s="44"/>
      <c r="J23" s="8">
        <f t="shared" si="2"/>
        <v>7.0273003033366894</v>
      </c>
      <c r="K23" s="44"/>
      <c r="L23" s="57"/>
      <c r="M23" s="10">
        <v>18</v>
      </c>
      <c r="N23" s="1">
        <v>107.19</v>
      </c>
      <c r="O23" s="1">
        <v>50.12</v>
      </c>
      <c r="P23" s="1">
        <f t="shared" si="3"/>
        <v>62.559999999999995</v>
      </c>
      <c r="Q23" s="44"/>
      <c r="R23" s="1">
        <f t="shared" si="4"/>
        <v>5.4899999999999949</v>
      </c>
      <c r="S23" s="44"/>
      <c r="T23" s="8">
        <f t="shared" si="5"/>
        <v>8.7755754475703256</v>
      </c>
      <c r="U23" s="44"/>
      <c r="V23" s="57"/>
      <c r="W23" s="10">
        <v>48</v>
      </c>
      <c r="X23" s="1">
        <v>302.5</v>
      </c>
      <c r="Y23" s="1">
        <v>117.23</v>
      </c>
      <c r="Z23" s="1">
        <f t="shared" si="6"/>
        <v>208.57</v>
      </c>
      <c r="AA23" s="44"/>
      <c r="AB23" s="1">
        <f t="shared" si="7"/>
        <v>23.299999999999997</v>
      </c>
      <c r="AC23" s="44"/>
      <c r="AD23" s="8">
        <f t="shared" si="8"/>
        <v>11.171309392530086</v>
      </c>
      <c r="AE23" s="44"/>
      <c r="AF23" s="57"/>
      <c r="AH23" s="14"/>
      <c r="AI23" s="13">
        <v>3</v>
      </c>
      <c r="AJ23" s="10">
        <v>44.63</v>
      </c>
      <c r="AL23" s="14"/>
      <c r="AM23" s="13">
        <v>3</v>
      </c>
      <c r="AN23" s="12">
        <v>93.93</v>
      </c>
    </row>
    <row r="24" spans="1:40" ht="15.75" thickBot="1" x14ac:dyDescent="0.3">
      <c r="A24" s="6"/>
      <c r="B24" s="5">
        <v>4</v>
      </c>
      <c r="C24" s="10">
        <v>18</v>
      </c>
      <c r="D24" s="1">
        <v>76.64</v>
      </c>
      <c r="E24" s="1">
        <v>47.07</v>
      </c>
      <c r="F24" s="1">
        <f t="shared" si="0"/>
        <v>31.950000000000003</v>
      </c>
      <c r="G24" s="44"/>
      <c r="H24" s="1">
        <f t="shared" si="1"/>
        <v>2.3800000000000026</v>
      </c>
      <c r="I24" s="44"/>
      <c r="J24" s="8">
        <f t="shared" si="2"/>
        <v>7.4491392801252037</v>
      </c>
      <c r="K24" s="44"/>
      <c r="L24" s="58"/>
      <c r="M24" s="10">
        <v>18</v>
      </c>
      <c r="N24" s="1">
        <v>104.28</v>
      </c>
      <c r="O24" s="1">
        <v>49.78</v>
      </c>
      <c r="P24" s="1">
        <f t="shared" si="3"/>
        <v>59.59</v>
      </c>
      <c r="Q24" s="44"/>
      <c r="R24" s="1">
        <f t="shared" si="4"/>
        <v>5.0900000000000034</v>
      </c>
      <c r="S24" s="44"/>
      <c r="T24" s="8">
        <f t="shared" si="5"/>
        <v>8.5417016277899034</v>
      </c>
      <c r="U24" s="44"/>
      <c r="V24" s="58"/>
      <c r="W24" s="10">
        <v>47</v>
      </c>
      <c r="X24" s="1">
        <v>277.70999999999998</v>
      </c>
      <c r="Y24" s="1">
        <v>114.23</v>
      </c>
      <c r="Z24" s="1">
        <f t="shared" si="6"/>
        <v>183.65999999999997</v>
      </c>
      <c r="AA24" s="44"/>
      <c r="AB24" s="1">
        <f t="shared" si="7"/>
        <v>20.180000000000007</v>
      </c>
      <c r="AC24" s="44"/>
      <c r="AD24" s="8">
        <f t="shared" si="8"/>
        <v>10.987694653163461</v>
      </c>
      <c r="AE24" s="44"/>
      <c r="AF24" s="58"/>
      <c r="AH24" s="6"/>
      <c r="AI24" s="5">
        <v>4</v>
      </c>
      <c r="AJ24" s="7">
        <v>44.69</v>
      </c>
      <c r="AL24" s="6"/>
      <c r="AM24" s="5">
        <v>4</v>
      </c>
      <c r="AN24" s="4">
        <v>94.05</v>
      </c>
    </row>
    <row r="25" spans="1:40" x14ac:dyDescent="0.25">
      <c r="A25" s="17" t="s">
        <v>20</v>
      </c>
      <c r="B25" s="16">
        <v>1</v>
      </c>
      <c r="C25" s="10">
        <v>18</v>
      </c>
      <c r="D25" s="1">
        <v>93.98</v>
      </c>
      <c r="E25" s="1">
        <v>47.31</v>
      </c>
      <c r="F25" s="1">
        <f t="shared" si="0"/>
        <v>49.510000000000005</v>
      </c>
      <c r="G25" s="44">
        <f t="shared" ref="G25" si="33">AVERAGE(F25:F28)</f>
        <v>52.86</v>
      </c>
      <c r="H25" s="1">
        <f t="shared" si="1"/>
        <v>2.8400000000000034</v>
      </c>
      <c r="I25" s="44">
        <f>AVERAGE(H25:H28)</f>
        <v>3.1074999999999982</v>
      </c>
      <c r="J25" s="8">
        <f t="shared" si="2"/>
        <v>5.736214906079586</v>
      </c>
      <c r="K25" s="44">
        <f t="shared" ref="K25" si="34">AVERAGE(J25:J28)</f>
        <v>5.8756169287501585</v>
      </c>
      <c r="L25" s="56">
        <f>_xlfn.STDEV.P(H25:H28)</f>
        <v>0.17626329737071966</v>
      </c>
      <c r="M25" s="10">
        <v>18</v>
      </c>
      <c r="N25" s="1">
        <v>142.49</v>
      </c>
      <c r="O25" s="1">
        <v>51.6</v>
      </c>
      <c r="P25" s="1">
        <f t="shared" si="3"/>
        <v>98.02000000000001</v>
      </c>
      <c r="Q25" s="44">
        <f t="shared" ref="Q25" si="35">AVERAGE(P25:P28)</f>
        <v>98.324999999999989</v>
      </c>
      <c r="R25" s="1">
        <f t="shared" si="4"/>
        <v>7.1300000000000026</v>
      </c>
      <c r="S25" s="44">
        <f>AVERAGE(R25:R28)</f>
        <v>7.8099999999999987</v>
      </c>
      <c r="T25" s="8">
        <f t="shared" si="5"/>
        <v>7.2740257090389733</v>
      </c>
      <c r="U25" s="44">
        <f t="shared" ref="U25" si="36">AVERAGE(T25:T28)</f>
        <v>7.988022397650985</v>
      </c>
      <c r="V25" s="56">
        <f>_xlfn.STDEV.P(R25:R28)</f>
        <v>0.53310411741047103</v>
      </c>
      <c r="W25" s="10">
        <v>48</v>
      </c>
      <c r="X25" s="1">
        <v>415.05</v>
      </c>
      <c r="Y25" s="1">
        <v>124.45</v>
      </c>
      <c r="Z25" s="1">
        <f t="shared" si="6"/>
        <v>321.14999999999998</v>
      </c>
      <c r="AA25" s="44">
        <f t="shared" ref="AA25" si="37">AVERAGE(Z25:Z28)</f>
        <v>332.37249999999995</v>
      </c>
      <c r="AB25" s="1">
        <f t="shared" si="7"/>
        <v>30.549999999999997</v>
      </c>
      <c r="AC25" s="44">
        <f>AVERAGE(AB25:AB28)</f>
        <v>32.802499999999995</v>
      </c>
      <c r="AD25" s="8">
        <f t="shared" si="8"/>
        <v>9.5126887747158637</v>
      </c>
      <c r="AE25" s="44">
        <f t="shared" ref="AE25" si="38">AVERAGE(AD25:AD28)</f>
        <v>9.8819468569700994</v>
      </c>
      <c r="AF25" s="56">
        <f>_xlfn.STDEV.P(AB25:AB28)</f>
        <v>2.6502959740376126</v>
      </c>
      <c r="AH25" s="17">
        <v>6</v>
      </c>
      <c r="AI25" s="16">
        <v>1</v>
      </c>
      <c r="AJ25" s="18">
        <v>44.47</v>
      </c>
      <c r="AL25" s="17">
        <v>6</v>
      </c>
      <c r="AM25" s="16">
        <v>1</v>
      </c>
      <c r="AN25" s="15">
        <v>93.9</v>
      </c>
    </row>
    <row r="26" spans="1:40" x14ac:dyDescent="0.25">
      <c r="A26" s="14"/>
      <c r="B26" s="13">
        <v>2</v>
      </c>
      <c r="C26" s="10">
        <v>18</v>
      </c>
      <c r="D26" s="1">
        <v>98.02</v>
      </c>
      <c r="E26" s="1">
        <v>47.71</v>
      </c>
      <c r="F26" s="1">
        <f t="shared" si="0"/>
        <v>53.389999999999993</v>
      </c>
      <c r="G26" s="44"/>
      <c r="H26" s="1">
        <f t="shared" si="1"/>
        <v>3.0799999999999983</v>
      </c>
      <c r="I26" s="44"/>
      <c r="J26" s="8">
        <f t="shared" si="2"/>
        <v>5.768870575014045</v>
      </c>
      <c r="K26" s="44"/>
      <c r="L26" s="57"/>
      <c r="M26" s="10">
        <v>18</v>
      </c>
      <c r="N26" s="1">
        <v>153.72</v>
      </c>
      <c r="O26" s="1">
        <v>53.18</v>
      </c>
      <c r="P26" s="1">
        <f t="shared" si="3"/>
        <v>109.09</v>
      </c>
      <c r="Q26" s="44"/>
      <c r="R26" s="1">
        <f t="shared" si="4"/>
        <v>8.5499999999999972</v>
      </c>
      <c r="S26" s="44"/>
      <c r="T26" s="8">
        <f t="shared" si="5"/>
        <v>7.8375653130442728</v>
      </c>
      <c r="U26" s="44"/>
      <c r="V26" s="57"/>
      <c r="W26" s="10">
        <v>48</v>
      </c>
      <c r="X26" s="1">
        <v>445.45</v>
      </c>
      <c r="Y26" s="1">
        <v>126.74</v>
      </c>
      <c r="Z26" s="1">
        <f t="shared" si="6"/>
        <v>351.78999999999996</v>
      </c>
      <c r="AA26" s="44"/>
      <c r="AB26" s="1">
        <f t="shared" si="7"/>
        <v>33.08</v>
      </c>
      <c r="AC26" s="44"/>
      <c r="AD26" s="8">
        <f t="shared" si="8"/>
        <v>9.4033372182267829</v>
      </c>
      <c r="AE26" s="44"/>
      <c r="AF26" s="57"/>
      <c r="AH26" s="14"/>
      <c r="AI26" s="13">
        <v>2</v>
      </c>
      <c r="AJ26" s="10">
        <v>44.63</v>
      </c>
      <c r="AL26" s="14"/>
      <c r="AM26" s="13">
        <v>2</v>
      </c>
      <c r="AN26" s="12">
        <v>93.66</v>
      </c>
    </row>
    <row r="27" spans="1:40" x14ac:dyDescent="0.25">
      <c r="A27" s="14"/>
      <c r="B27" s="13">
        <v>3</v>
      </c>
      <c r="C27" s="10">
        <v>18</v>
      </c>
      <c r="D27" s="1">
        <v>100.26</v>
      </c>
      <c r="E27" s="1">
        <v>47.91</v>
      </c>
      <c r="F27" s="1">
        <f t="shared" si="0"/>
        <v>55.67</v>
      </c>
      <c r="G27" s="44"/>
      <c r="H27" s="1">
        <f t="shared" si="1"/>
        <v>3.3199999999999932</v>
      </c>
      <c r="I27" s="44"/>
      <c r="J27" s="8">
        <f t="shared" si="2"/>
        <v>5.96371474761989</v>
      </c>
      <c r="K27" s="44"/>
      <c r="L27" s="57"/>
      <c r="M27" s="10">
        <v>17</v>
      </c>
      <c r="N27" s="1">
        <v>147.37</v>
      </c>
      <c r="O27" s="1">
        <v>52.62</v>
      </c>
      <c r="P27" s="1">
        <f t="shared" si="3"/>
        <v>102.78</v>
      </c>
      <c r="Q27" s="44"/>
      <c r="R27" s="1">
        <f t="shared" si="4"/>
        <v>8.029999999999994</v>
      </c>
      <c r="S27" s="44"/>
      <c r="T27" s="8">
        <f t="shared" si="5"/>
        <v>7.8128040474800482</v>
      </c>
      <c r="U27" s="44"/>
      <c r="V27" s="57"/>
      <c r="W27" s="10">
        <v>48</v>
      </c>
      <c r="X27" s="1">
        <v>457.46</v>
      </c>
      <c r="Y27" s="1">
        <v>131.01</v>
      </c>
      <c r="Z27" s="1">
        <f t="shared" si="6"/>
        <v>363.47999999999996</v>
      </c>
      <c r="AA27" s="44"/>
      <c r="AB27" s="1">
        <f t="shared" si="7"/>
        <v>37.029999999999987</v>
      </c>
      <c r="AC27" s="44"/>
      <c r="AD27" s="8">
        <f t="shared" si="8"/>
        <v>10.187630681192909</v>
      </c>
      <c r="AE27" s="44"/>
      <c r="AF27" s="57"/>
      <c r="AH27" s="14"/>
      <c r="AI27" s="13">
        <v>3</v>
      </c>
      <c r="AJ27" s="10">
        <v>44.59</v>
      </c>
      <c r="AL27" s="14"/>
      <c r="AM27" s="13">
        <v>3</v>
      </c>
      <c r="AN27" s="12">
        <v>93.98</v>
      </c>
    </row>
    <row r="28" spans="1:40" ht="15.75" thickBot="1" x14ac:dyDescent="0.3">
      <c r="A28" s="6"/>
      <c r="B28" s="5">
        <v>4</v>
      </c>
      <c r="C28" s="10">
        <v>18</v>
      </c>
      <c r="D28" s="1">
        <v>97.59</v>
      </c>
      <c r="E28" s="1">
        <v>47.91</v>
      </c>
      <c r="F28" s="1">
        <f t="shared" si="0"/>
        <v>52.870000000000005</v>
      </c>
      <c r="G28" s="44"/>
      <c r="H28" s="1">
        <f t="shared" si="1"/>
        <v>3.1899999999999977</v>
      </c>
      <c r="I28" s="44"/>
      <c r="J28" s="8">
        <f t="shared" si="2"/>
        <v>6.0336674862871149</v>
      </c>
      <c r="K28" s="44"/>
      <c r="L28" s="58"/>
      <c r="M28" s="10">
        <v>18</v>
      </c>
      <c r="N28" s="1">
        <v>128.13</v>
      </c>
      <c r="O28" s="1">
        <v>52.25</v>
      </c>
      <c r="P28" s="1">
        <f t="shared" si="3"/>
        <v>83.41</v>
      </c>
      <c r="Q28" s="44"/>
      <c r="R28" s="1">
        <f t="shared" si="4"/>
        <v>7.5300000000000011</v>
      </c>
      <c r="S28" s="44"/>
      <c r="T28" s="8">
        <f t="shared" si="5"/>
        <v>9.0276945210406438</v>
      </c>
      <c r="U28" s="44"/>
      <c r="V28" s="58"/>
      <c r="W28" s="10">
        <v>48</v>
      </c>
      <c r="X28" s="1">
        <v>387.26</v>
      </c>
      <c r="Y28" s="1">
        <v>124.74</v>
      </c>
      <c r="Z28" s="1">
        <f t="shared" si="6"/>
        <v>293.07</v>
      </c>
      <c r="AA28" s="44"/>
      <c r="AB28" s="1">
        <f t="shared" si="7"/>
        <v>30.549999999999997</v>
      </c>
      <c r="AC28" s="44"/>
      <c r="AD28" s="8">
        <f t="shared" si="8"/>
        <v>10.424130753744839</v>
      </c>
      <c r="AE28" s="44"/>
      <c r="AF28" s="58"/>
      <c r="AH28" s="6"/>
      <c r="AI28" s="5">
        <v>4</v>
      </c>
      <c r="AJ28" s="7">
        <v>44.72</v>
      </c>
      <c r="AL28" s="6"/>
      <c r="AM28" s="5">
        <v>4</v>
      </c>
      <c r="AN28" s="4">
        <v>94.19</v>
      </c>
    </row>
    <row r="29" spans="1:40" x14ac:dyDescent="0.25">
      <c r="A29" s="17" t="s">
        <v>23</v>
      </c>
      <c r="B29" s="16">
        <v>1</v>
      </c>
      <c r="C29" s="10">
        <v>18</v>
      </c>
      <c r="D29" s="1">
        <v>59.46</v>
      </c>
      <c r="E29" s="1">
        <v>45.43</v>
      </c>
      <c r="F29" s="1">
        <f t="shared" si="0"/>
        <v>15.780000000000001</v>
      </c>
      <c r="G29" s="44">
        <f t="shared" ref="G29" si="39">AVERAGE(F29:F32)</f>
        <v>17.740000000000002</v>
      </c>
      <c r="H29" s="1">
        <f t="shared" si="1"/>
        <v>1.75</v>
      </c>
      <c r="I29" s="44">
        <f>AVERAGE(H29:H32)</f>
        <v>2.1524999999999999</v>
      </c>
      <c r="J29" s="8">
        <f t="shared" si="2"/>
        <v>11.089987325728769</v>
      </c>
      <c r="K29" s="44">
        <f t="shared" ref="K29" si="40">AVERAGE(J29:J32)</f>
        <v>12.092239346674409</v>
      </c>
      <c r="L29" s="56">
        <f>_xlfn.STDEV.P(H29:H32)</f>
        <v>0.2538084907957156</v>
      </c>
      <c r="M29" s="10">
        <v>18</v>
      </c>
      <c r="N29" s="1">
        <v>68.47</v>
      </c>
      <c r="O29" s="1">
        <v>47.49</v>
      </c>
      <c r="P29" s="1">
        <f t="shared" si="3"/>
        <v>24.79</v>
      </c>
      <c r="Q29" s="44">
        <f t="shared" ref="Q29" si="41">AVERAGE(P29:P32)</f>
        <v>25.505000000000003</v>
      </c>
      <c r="R29" s="1">
        <f t="shared" si="4"/>
        <v>3.8100000000000023</v>
      </c>
      <c r="S29" s="44">
        <f>AVERAGE(R29:R32)</f>
        <v>3.932500000000001</v>
      </c>
      <c r="T29" s="8">
        <f t="shared" si="5"/>
        <v>15.369100443727318</v>
      </c>
      <c r="U29" s="44">
        <f t="shared" ref="U29" si="42">AVERAGE(T29:T32)</f>
        <v>15.416827572996642</v>
      </c>
      <c r="V29" s="56">
        <f>_xlfn.STDEV.P(R29:R32)</f>
        <v>0.16813313177360259</v>
      </c>
      <c r="W29" s="10">
        <v>47</v>
      </c>
      <c r="X29" s="1">
        <v>182.2</v>
      </c>
      <c r="Y29" s="1">
        <v>111.27</v>
      </c>
      <c r="Z29" s="1">
        <f t="shared" si="6"/>
        <v>87.669999999999987</v>
      </c>
      <c r="AA29" s="44">
        <f t="shared" ref="AA29" si="43">AVERAGE(Z29:Z32)</f>
        <v>89.99</v>
      </c>
      <c r="AB29" s="1">
        <f t="shared" si="7"/>
        <v>16.739999999999995</v>
      </c>
      <c r="AC29" s="44">
        <f>AVERAGE(AB29:AB32)</f>
        <v>15.367499999999996</v>
      </c>
      <c r="AD29" s="8">
        <f t="shared" si="8"/>
        <v>19.094331014029883</v>
      </c>
      <c r="AE29" s="44">
        <f t="shared" ref="AE29" si="44">AVERAGE(AD29:AD32)</f>
        <v>17.091039324229897</v>
      </c>
      <c r="AF29" s="56">
        <f>_xlfn.STDEV.P(AB29:AB32)</f>
        <v>0.92742587304862267</v>
      </c>
      <c r="AH29" s="17">
        <v>7</v>
      </c>
      <c r="AI29" s="16">
        <v>1</v>
      </c>
      <c r="AJ29" s="18">
        <v>43.68</v>
      </c>
      <c r="AL29" s="17">
        <v>7</v>
      </c>
      <c r="AM29" s="16">
        <v>1</v>
      </c>
      <c r="AN29" s="15">
        <v>94.53</v>
      </c>
    </row>
    <row r="30" spans="1:40" x14ac:dyDescent="0.25">
      <c r="A30" s="14"/>
      <c r="B30" s="13">
        <v>2</v>
      </c>
      <c r="C30" s="10">
        <v>18</v>
      </c>
      <c r="D30" s="1">
        <v>62.36</v>
      </c>
      <c r="E30" s="1">
        <v>46.77</v>
      </c>
      <c r="F30" s="1">
        <f t="shared" si="0"/>
        <v>17.71</v>
      </c>
      <c r="G30" s="44"/>
      <c r="H30" s="1">
        <f t="shared" si="1"/>
        <v>2.1200000000000045</v>
      </c>
      <c r="I30" s="44"/>
      <c r="J30" s="8">
        <f t="shared" si="2"/>
        <v>11.970638057594604</v>
      </c>
      <c r="K30" s="44"/>
      <c r="L30" s="57"/>
      <c r="M30" s="10">
        <v>17</v>
      </c>
      <c r="N30" s="1">
        <v>70</v>
      </c>
      <c r="O30" s="1">
        <v>48.47</v>
      </c>
      <c r="P30" s="1">
        <f t="shared" si="3"/>
        <v>25.35</v>
      </c>
      <c r="Q30" s="44"/>
      <c r="R30" s="1">
        <f t="shared" si="4"/>
        <v>3.8200000000000003</v>
      </c>
      <c r="S30" s="44"/>
      <c r="T30" s="8">
        <f t="shared" si="5"/>
        <v>15.069033530571993</v>
      </c>
      <c r="U30" s="44"/>
      <c r="V30" s="57"/>
      <c r="W30" s="10">
        <v>48</v>
      </c>
      <c r="X30" s="1">
        <v>186.67</v>
      </c>
      <c r="Y30" s="1">
        <v>109.52</v>
      </c>
      <c r="Z30" s="1">
        <f t="shared" si="6"/>
        <v>92.359999999999985</v>
      </c>
      <c r="AA30" s="44"/>
      <c r="AB30" s="1">
        <f t="shared" si="7"/>
        <v>15.209999999999994</v>
      </c>
      <c r="AC30" s="44"/>
      <c r="AD30" s="8">
        <f t="shared" si="8"/>
        <v>16.468168038111731</v>
      </c>
      <c r="AE30" s="44"/>
      <c r="AF30" s="57"/>
      <c r="AH30" s="14"/>
      <c r="AI30" s="13">
        <v>2</v>
      </c>
      <c r="AJ30" s="10">
        <v>44.65</v>
      </c>
      <c r="AL30" s="14"/>
      <c r="AM30" s="13">
        <v>2</v>
      </c>
      <c r="AN30" s="12">
        <v>94.31</v>
      </c>
    </row>
    <row r="31" spans="1:40" x14ac:dyDescent="0.25">
      <c r="A31" s="14"/>
      <c r="B31" s="13">
        <v>3</v>
      </c>
      <c r="C31" s="10">
        <v>18</v>
      </c>
      <c r="D31" s="1">
        <v>64.760000000000005</v>
      </c>
      <c r="E31" s="1">
        <v>48.73</v>
      </c>
      <c r="F31" s="1">
        <f t="shared" si="0"/>
        <v>18.400000000000006</v>
      </c>
      <c r="G31" s="44"/>
      <c r="H31" s="1">
        <f t="shared" si="1"/>
        <v>2.3699999999999974</v>
      </c>
      <c r="I31" s="44"/>
      <c r="J31" s="8">
        <f t="shared" si="2"/>
        <v>12.880434782608678</v>
      </c>
      <c r="K31" s="44"/>
      <c r="L31" s="57"/>
      <c r="M31" s="10">
        <v>18</v>
      </c>
      <c r="N31" s="1">
        <v>73.45</v>
      </c>
      <c r="O31" s="1">
        <v>50.58</v>
      </c>
      <c r="P31" s="1">
        <f t="shared" si="3"/>
        <v>27.090000000000003</v>
      </c>
      <c r="Q31" s="44"/>
      <c r="R31" s="1">
        <f t="shared" si="4"/>
        <v>4.2199999999999989</v>
      </c>
      <c r="S31" s="44"/>
      <c r="T31" s="8">
        <f t="shared" si="5"/>
        <v>15.577703949796968</v>
      </c>
      <c r="U31" s="44"/>
      <c r="V31" s="57"/>
      <c r="W31" s="10">
        <v>48</v>
      </c>
      <c r="X31" s="1">
        <v>181.02</v>
      </c>
      <c r="Y31" s="1">
        <v>108.08</v>
      </c>
      <c r="Z31" s="1">
        <f t="shared" si="6"/>
        <v>87.070000000000007</v>
      </c>
      <c r="AA31" s="44"/>
      <c r="AB31" s="1">
        <f t="shared" si="7"/>
        <v>14.129999999999995</v>
      </c>
      <c r="AC31" s="44"/>
      <c r="AD31" s="8">
        <f t="shared" si="8"/>
        <v>16.228322039738135</v>
      </c>
      <c r="AE31" s="44"/>
      <c r="AF31" s="57"/>
      <c r="AH31" s="14"/>
      <c r="AI31" s="13">
        <v>3</v>
      </c>
      <c r="AJ31" s="10">
        <v>46.36</v>
      </c>
      <c r="AL31" s="14"/>
      <c r="AM31" s="13">
        <v>3</v>
      </c>
      <c r="AN31" s="12">
        <v>93.95</v>
      </c>
    </row>
    <row r="32" spans="1:40" ht="15.75" thickBot="1" x14ac:dyDescent="0.3">
      <c r="A32" s="6"/>
      <c r="B32" s="5">
        <v>4</v>
      </c>
      <c r="C32" s="10">
        <v>18</v>
      </c>
      <c r="D32" s="1">
        <v>63.39</v>
      </c>
      <c r="E32" s="1">
        <v>46.69</v>
      </c>
      <c r="F32" s="1">
        <f t="shared" si="0"/>
        <v>19.07</v>
      </c>
      <c r="G32" s="44"/>
      <c r="H32" s="1">
        <f t="shared" si="1"/>
        <v>2.3699999999999974</v>
      </c>
      <c r="I32" s="44"/>
      <c r="J32" s="8">
        <f t="shared" si="2"/>
        <v>12.427897220765585</v>
      </c>
      <c r="K32" s="44"/>
      <c r="L32" s="58"/>
      <c r="M32" s="10">
        <v>18</v>
      </c>
      <c r="N32" s="1">
        <v>69.11</v>
      </c>
      <c r="O32" s="1">
        <v>48.2</v>
      </c>
      <c r="P32" s="1">
        <f t="shared" si="3"/>
        <v>24.79</v>
      </c>
      <c r="Q32" s="44"/>
      <c r="R32" s="1">
        <f t="shared" si="4"/>
        <v>3.8800000000000026</v>
      </c>
      <c r="S32" s="44"/>
      <c r="T32" s="8">
        <f t="shared" si="5"/>
        <v>15.651472367890289</v>
      </c>
      <c r="U32" s="44"/>
      <c r="V32" s="58"/>
      <c r="W32" s="10">
        <v>47</v>
      </c>
      <c r="X32" s="1">
        <v>186.86</v>
      </c>
      <c r="Y32" s="1">
        <v>109.39</v>
      </c>
      <c r="Z32" s="1">
        <f t="shared" si="6"/>
        <v>92.860000000000014</v>
      </c>
      <c r="AA32" s="44"/>
      <c r="AB32" s="1">
        <f t="shared" si="7"/>
        <v>15.39</v>
      </c>
      <c r="AC32" s="44"/>
      <c r="AD32" s="8">
        <f t="shared" si="8"/>
        <v>16.573336205039844</v>
      </c>
      <c r="AE32" s="44"/>
      <c r="AF32" s="58"/>
      <c r="AH32" s="6"/>
      <c r="AI32" s="5">
        <v>4</v>
      </c>
      <c r="AJ32" s="7">
        <v>44.32</v>
      </c>
      <c r="AL32" s="6"/>
      <c r="AM32" s="5">
        <v>4</v>
      </c>
      <c r="AN32" s="4">
        <v>94</v>
      </c>
    </row>
    <row r="33" spans="1:40" x14ac:dyDescent="0.25">
      <c r="A33" s="17" t="s">
        <v>24</v>
      </c>
      <c r="B33" s="16">
        <v>1</v>
      </c>
      <c r="C33" s="10">
        <v>17</v>
      </c>
      <c r="D33" s="1">
        <v>62.51</v>
      </c>
      <c r="E33" s="1">
        <v>48.13</v>
      </c>
      <c r="F33" s="1">
        <f t="shared" si="0"/>
        <v>16.21</v>
      </c>
      <c r="G33" s="44">
        <f t="shared" ref="G33" si="45">AVERAGE(F33:F36)</f>
        <v>17.412500000000001</v>
      </c>
      <c r="H33" s="1">
        <f t="shared" si="1"/>
        <v>1.8300000000000054</v>
      </c>
      <c r="I33" s="44">
        <f>AVERAGE(H33:H36)</f>
        <v>2.3075000000000028</v>
      </c>
      <c r="J33" s="8">
        <f t="shared" si="2"/>
        <v>11.289327575570669</v>
      </c>
      <c r="K33" s="44">
        <f t="shared" ref="K33" si="46">AVERAGE(J33:J36)</f>
        <v>13.161057726127639</v>
      </c>
      <c r="L33" s="56">
        <f>_xlfn.STDEV.P(H33:H36)</f>
        <v>0.41051035309721329</v>
      </c>
      <c r="M33" s="10">
        <v>18</v>
      </c>
      <c r="N33" s="1">
        <v>70.36</v>
      </c>
      <c r="O33" s="1">
        <v>49.74</v>
      </c>
      <c r="P33" s="1">
        <f t="shared" si="3"/>
        <v>24.060000000000002</v>
      </c>
      <c r="Q33" s="44">
        <f t="shared" ref="Q33" si="47">AVERAGE(P33:P36)</f>
        <v>24.565000000000001</v>
      </c>
      <c r="R33" s="1">
        <f t="shared" si="4"/>
        <v>3.4400000000000048</v>
      </c>
      <c r="S33" s="44">
        <f>AVERAGE(R33:R36)</f>
        <v>3.870000000000001</v>
      </c>
      <c r="T33" s="8">
        <f t="shared" si="5"/>
        <v>14.297589359933518</v>
      </c>
      <c r="U33" s="44">
        <f t="shared" ref="U33" si="48">AVERAGE(T33:T36)</f>
        <v>15.759815217658076</v>
      </c>
      <c r="V33" s="56">
        <f>_xlfn.STDEV.P(R33:R36)</f>
        <v>0.35277471564724888</v>
      </c>
      <c r="W33" s="10">
        <v>47</v>
      </c>
      <c r="X33" s="1">
        <v>173.25</v>
      </c>
      <c r="Y33" s="1">
        <v>106.93</v>
      </c>
      <c r="Z33" s="1">
        <f t="shared" si="6"/>
        <v>79.13</v>
      </c>
      <c r="AA33" s="44">
        <f t="shared" ref="AA33" si="49">AVERAGE(Z33:Z36)</f>
        <v>80.302500000000009</v>
      </c>
      <c r="AB33" s="1">
        <f t="shared" si="7"/>
        <v>12.810000000000002</v>
      </c>
      <c r="AC33" s="44">
        <f>AVERAGE(AB33:AB36)</f>
        <v>12.540000000000003</v>
      </c>
      <c r="AD33" s="8">
        <f t="shared" si="8"/>
        <v>16.188550486541139</v>
      </c>
      <c r="AE33" s="44">
        <f t="shared" ref="AE33" si="50">AVERAGE(AD33:AD36)</f>
        <v>15.621439487917741</v>
      </c>
      <c r="AF33" s="56">
        <f>_xlfn.STDEV.P(AB33:AB36)</f>
        <v>0.24566236993076104</v>
      </c>
      <c r="AH33" s="17">
        <v>8</v>
      </c>
      <c r="AI33" s="16">
        <v>1</v>
      </c>
      <c r="AJ33" s="18">
        <v>46.3</v>
      </c>
      <c r="AL33" s="17">
        <v>8</v>
      </c>
      <c r="AM33" s="16">
        <v>1</v>
      </c>
      <c r="AN33" s="15">
        <v>94.12</v>
      </c>
    </row>
    <row r="34" spans="1:40" x14ac:dyDescent="0.25">
      <c r="A34" s="14"/>
      <c r="B34" s="13">
        <v>2</v>
      </c>
      <c r="C34" s="10">
        <v>18</v>
      </c>
      <c r="D34" s="1">
        <v>62.18</v>
      </c>
      <c r="E34" s="1">
        <v>46.84</v>
      </c>
      <c r="F34" s="1">
        <f t="shared" si="0"/>
        <v>17.61</v>
      </c>
      <c r="G34" s="44"/>
      <c r="H34" s="1">
        <f t="shared" si="1"/>
        <v>2.2700000000000031</v>
      </c>
      <c r="I34" s="44"/>
      <c r="J34" s="8">
        <f t="shared" si="2"/>
        <v>12.890403180011376</v>
      </c>
      <c r="K34" s="44"/>
      <c r="L34" s="57"/>
      <c r="M34" s="10">
        <v>18</v>
      </c>
      <c r="N34" s="1">
        <v>67.41</v>
      </c>
      <c r="O34" s="1">
        <v>48.34</v>
      </c>
      <c r="P34" s="1">
        <f t="shared" si="3"/>
        <v>22.839999999999996</v>
      </c>
      <c r="Q34" s="44"/>
      <c r="R34" s="1">
        <f t="shared" si="4"/>
        <v>3.7700000000000031</v>
      </c>
      <c r="S34" s="44"/>
      <c r="T34" s="8">
        <f t="shared" si="5"/>
        <v>16.506129597197916</v>
      </c>
      <c r="U34" s="44"/>
      <c r="V34" s="57"/>
      <c r="W34" s="10">
        <v>48</v>
      </c>
      <c r="X34" s="1">
        <v>173.67</v>
      </c>
      <c r="Y34" s="1">
        <v>106.35</v>
      </c>
      <c r="Z34" s="1">
        <f t="shared" si="6"/>
        <v>80.059999999999988</v>
      </c>
      <c r="AA34" s="44"/>
      <c r="AB34" s="1">
        <f t="shared" si="7"/>
        <v>12.739999999999995</v>
      </c>
      <c r="AC34" s="44"/>
      <c r="AD34" s="8">
        <f t="shared" si="8"/>
        <v>15.913065201099172</v>
      </c>
      <c r="AE34" s="44"/>
      <c r="AF34" s="57"/>
      <c r="AH34" s="14"/>
      <c r="AI34" s="13">
        <v>2</v>
      </c>
      <c r="AJ34" s="10">
        <v>44.57</v>
      </c>
      <c r="AL34" s="14"/>
      <c r="AM34" s="13">
        <v>2</v>
      </c>
      <c r="AN34" s="12">
        <v>93.61</v>
      </c>
    </row>
    <row r="35" spans="1:40" x14ac:dyDescent="0.25">
      <c r="A35" s="14"/>
      <c r="B35" s="13">
        <v>3</v>
      </c>
      <c r="C35" s="10">
        <v>17</v>
      </c>
      <c r="D35" s="1">
        <v>61.01</v>
      </c>
      <c r="E35" s="1">
        <v>46.68</v>
      </c>
      <c r="F35" s="1">
        <f t="shared" si="0"/>
        <v>16.5</v>
      </c>
      <c r="G35" s="44"/>
      <c r="H35" s="1">
        <f t="shared" si="1"/>
        <v>2.1700000000000017</v>
      </c>
      <c r="I35" s="44"/>
      <c r="J35" s="8">
        <f t="shared" si="2"/>
        <v>13.151515151515161</v>
      </c>
      <c r="K35" s="44"/>
      <c r="L35" s="57"/>
      <c r="M35" s="10">
        <v>18</v>
      </c>
      <c r="N35" s="1">
        <v>70.5</v>
      </c>
      <c r="O35" s="1">
        <v>48.36</v>
      </c>
      <c r="P35" s="1">
        <f t="shared" si="3"/>
        <v>25.990000000000002</v>
      </c>
      <c r="Q35" s="44"/>
      <c r="R35" s="1">
        <f t="shared" si="4"/>
        <v>3.8500000000000014</v>
      </c>
      <c r="S35" s="44"/>
      <c r="T35" s="8">
        <f t="shared" si="5"/>
        <v>14.813389765294348</v>
      </c>
      <c r="U35" s="44"/>
      <c r="V35" s="57"/>
      <c r="W35" s="10">
        <v>48</v>
      </c>
      <c r="X35" s="1">
        <v>173.75</v>
      </c>
      <c r="Y35" s="1">
        <v>105.93</v>
      </c>
      <c r="Z35" s="1">
        <f t="shared" si="6"/>
        <v>80.22</v>
      </c>
      <c r="AA35" s="44"/>
      <c r="AB35" s="1">
        <f t="shared" si="7"/>
        <v>12.400000000000006</v>
      </c>
      <c r="AC35" s="44"/>
      <c r="AD35" s="8">
        <f t="shared" si="8"/>
        <v>15.457491897282479</v>
      </c>
      <c r="AE35" s="44"/>
      <c r="AF35" s="57"/>
      <c r="AH35" s="14"/>
      <c r="AI35" s="13">
        <v>3</v>
      </c>
      <c r="AJ35" s="10">
        <v>44.51</v>
      </c>
      <c r="AL35" s="14"/>
      <c r="AM35" s="13">
        <v>3</v>
      </c>
      <c r="AN35" s="12">
        <v>93.53</v>
      </c>
    </row>
    <row r="36" spans="1:40" ht="15.75" thickBot="1" x14ac:dyDescent="0.3">
      <c r="A36" s="6"/>
      <c r="B36" s="5">
        <v>4</v>
      </c>
      <c r="C36" s="10">
        <v>18</v>
      </c>
      <c r="D36" s="1">
        <v>63.39</v>
      </c>
      <c r="E36" s="1">
        <v>47.02</v>
      </c>
      <c r="F36" s="1">
        <f t="shared" si="0"/>
        <v>19.329999999999998</v>
      </c>
      <c r="G36" s="44"/>
      <c r="H36" s="1">
        <f t="shared" si="1"/>
        <v>2.9600000000000009</v>
      </c>
      <c r="I36" s="44"/>
      <c r="J36" s="8">
        <f t="shared" si="2"/>
        <v>15.312984997413354</v>
      </c>
      <c r="K36" s="44"/>
      <c r="L36" s="58"/>
      <c r="M36" s="10">
        <v>18</v>
      </c>
      <c r="N36" s="1">
        <v>69.430000000000007</v>
      </c>
      <c r="O36" s="1">
        <v>48.48</v>
      </c>
      <c r="P36" s="1">
        <f t="shared" si="3"/>
        <v>25.370000000000005</v>
      </c>
      <c r="Q36" s="44"/>
      <c r="R36" s="1">
        <f t="shared" si="4"/>
        <v>4.4199999999999946</v>
      </c>
      <c r="S36" s="44"/>
      <c r="T36" s="8">
        <f t="shared" si="5"/>
        <v>17.422152148206518</v>
      </c>
      <c r="U36" s="44"/>
      <c r="V36" s="58"/>
      <c r="W36" s="10">
        <v>48</v>
      </c>
      <c r="X36" s="1">
        <v>175.71</v>
      </c>
      <c r="Y36" s="1">
        <v>106.12</v>
      </c>
      <c r="Z36" s="1">
        <f t="shared" si="6"/>
        <v>81.800000000000011</v>
      </c>
      <c r="AA36" s="44"/>
      <c r="AB36" s="1">
        <f t="shared" si="7"/>
        <v>12.210000000000008</v>
      </c>
      <c r="AC36" s="44"/>
      <c r="AD36" s="8">
        <f t="shared" si="8"/>
        <v>14.926650366748174</v>
      </c>
      <c r="AE36" s="44"/>
      <c r="AF36" s="58"/>
      <c r="AH36" s="6"/>
      <c r="AI36" s="5">
        <v>4</v>
      </c>
      <c r="AJ36" s="7">
        <v>44.06</v>
      </c>
      <c r="AL36" s="6"/>
      <c r="AM36" s="5">
        <v>4</v>
      </c>
      <c r="AN36" s="4">
        <v>93.91</v>
      </c>
    </row>
    <row r="37" spans="1:40" x14ac:dyDescent="0.25">
      <c r="A37" s="17" t="s">
        <v>25</v>
      </c>
      <c r="B37" s="16">
        <v>1</v>
      </c>
      <c r="C37" s="10">
        <v>17</v>
      </c>
      <c r="D37" s="1">
        <v>70.91</v>
      </c>
      <c r="E37" s="1">
        <v>46.98</v>
      </c>
      <c r="F37" s="1">
        <f t="shared" si="0"/>
        <v>26.299999999999997</v>
      </c>
      <c r="G37" s="44">
        <f t="shared" ref="G37" si="51">AVERAGE(F37:F40)</f>
        <v>26.549999999999997</v>
      </c>
      <c r="H37" s="1">
        <f t="shared" si="1"/>
        <v>2.3699999999999974</v>
      </c>
      <c r="I37" s="44">
        <f>AVERAGE(H37:H40)</f>
        <v>2.5349999999999984</v>
      </c>
      <c r="J37" s="8">
        <f t="shared" si="2"/>
        <v>9.011406844106455</v>
      </c>
      <c r="K37" s="44">
        <f t="shared" ref="K37" si="52">AVERAGE(J37:J40)</f>
        <v>9.5519768815296953</v>
      </c>
      <c r="L37" s="56">
        <f>_xlfn.STDEV.P(H37:H40)</f>
        <v>0.22005681084665252</v>
      </c>
      <c r="M37" s="10">
        <v>18</v>
      </c>
      <c r="N37" s="1">
        <v>91.27</v>
      </c>
      <c r="O37" s="1">
        <v>49.81</v>
      </c>
      <c r="P37" s="1">
        <f t="shared" si="3"/>
        <v>46.66</v>
      </c>
      <c r="Q37" s="44">
        <f t="shared" ref="Q37" si="53">AVERAGE(P37:P40)</f>
        <v>47.3675</v>
      </c>
      <c r="R37" s="1">
        <f t="shared" si="4"/>
        <v>5.2000000000000028</v>
      </c>
      <c r="S37" s="44">
        <f>AVERAGE(R37:R40)</f>
        <v>5.5375000000000014</v>
      </c>
      <c r="T37" s="8">
        <f t="shared" si="5"/>
        <v>11.144449207029583</v>
      </c>
      <c r="U37" s="44">
        <f t="shared" ref="U37" si="54">AVERAGE(T37:T40)</f>
        <v>11.700068761724468</v>
      </c>
      <c r="V37" s="56">
        <f>_xlfn.STDEV.P(R37:R40)</f>
        <v>0.20620075169601088</v>
      </c>
      <c r="W37" s="10">
        <v>48</v>
      </c>
      <c r="X37" s="1">
        <v>258.12</v>
      </c>
      <c r="Y37" s="1">
        <v>114.29</v>
      </c>
      <c r="Z37" s="1">
        <f t="shared" si="6"/>
        <v>163.87</v>
      </c>
      <c r="AA37" s="44">
        <f t="shared" ref="AA37" si="55">AVERAGE(Z37:Z40)</f>
        <v>159.94749999999999</v>
      </c>
      <c r="AB37" s="1">
        <f t="shared" si="7"/>
        <v>20.040000000000006</v>
      </c>
      <c r="AC37" s="44">
        <f>AVERAGE(AB37:AB40)</f>
        <v>21.000000000000004</v>
      </c>
      <c r="AD37" s="8">
        <f t="shared" si="8"/>
        <v>12.229206077988653</v>
      </c>
      <c r="AE37" s="44">
        <f t="shared" ref="AE37" si="56">AVERAGE(AD37:AD40)</f>
        <v>13.136288987290056</v>
      </c>
      <c r="AF37" s="56">
        <f>_xlfn.STDEV.P(AB37:AB40)</f>
        <v>0.88156111529490655</v>
      </c>
      <c r="AH37" s="17">
        <v>9</v>
      </c>
      <c r="AI37" s="16">
        <v>1</v>
      </c>
      <c r="AJ37" s="18">
        <v>44.61</v>
      </c>
      <c r="AL37" s="17">
        <v>9</v>
      </c>
      <c r="AM37" s="16">
        <v>1</v>
      </c>
      <c r="AN37" s="15">
        <v>94.25</v>
      </c>
    </row>
    <row r="38" spans="1:40" x14ac:dyDescent="0.25">
      <c r="A38" s="14"/>
      <c r="B38" s="13">
        <v>2</v>
      </c>
      <c r="C38" s="10">
        <v>16</v>
      </c>
      <c r="D38" s="1">
        <v>70.95</v>
      </c>
      <c r="E38" s="1">
        <v>48.88</v>
      </c>
      <c r="F38" s="1">
        <f t="shared" si="0"/>
        <v>24.64</v>
      </c>
      <c r="G38" s="44"/>
      <c r="H38" s="1">
        <f t="shared" si="1"/>
        <v>2.5700000000000003</v>
      </c>
      <c r="I38" s="44"/>
      <c r="J38" s="8">
        <f t="shared" si="2"/>
        <v>10.430194805194805</v>
      </c>
      <c r="K38" s="44"/>
      <c r="L38" s="57"/>
      <c r="M38" s="10">
        <v>18</v>
      </c>
      <c r="N38" s="1">
        <v>96.05</v>
      </c>
      <c r="O38" s="1">
        <v>51.86</v>
      </c>
      <c r="P38" s="1">
        <f t="shared" si="3"/>
        <v>49.739999999999995</v>
      </c>
      <c r="Q38" s="44"/>
      <c r="R38" s="1">
        <f t="shared" si="4"/>
        <v>5.5499999999999972</v>
      </c>
      <c r="S38" s="44"/>
      <c r="T38" s="8">
        <f t="shared" si="5"/>
        <v>11.158021712907113</v>
      </c>
      <c r="U38" s="44"/>
      <c r="V38" s="57"/>
      <c r="W38" s="10">
        <v>48</v>
      </c>
      <c r="X38" s="1">
        <v>257.57</v>
      </c>
      <c r="Y38" s="1">
        <v>115.99</v>
      </c>
      <c r="Z38" s="1">
        <f t="shared" si="6"/>
        <v>163.72</v>
      </c>
      <c r="AA38" s="44"/>
      <c r="AB38" s="1">
        <f t="shared" si="7"/>
        <v>22.14</v>
      </c>
      <c r="AC38" s="44"/>
      <c r="AD38" s="8">
        <f t="shared" si="8"/>
        <v>13.52308819936477</v>
      </c>
      <c r="AE38" s="44"/>
      <c r="AF38" s="57"/>
      <c r="AH38" s="14"/>
      <c r="AI38" s="13">
        <v>2</v>
      </c>
      <c r="AJ38" s="10">
        <v>46.31</v>
      </c>
      <c r="AL38" s="14"/>
      <c r="AM38" s="13">
        <v>2</v>
      </c>
      <c r="AN38" s="12">
        <v>93.85</v>
      </c>
    </row>
    <row r="39" spans="1:40" x14ac:dyDescent="0.25">
      <c r="A39" s="14"/>
      <c r="B39" s="13">
        <v>3</v>
      </c>
      <c r="C39" s="10">
        <v>18</v>
      </c>
      <c r="D39" s="1">
        <v>73.459999999999994</v>
      </c>
      <c r="E39" s="1">
        <v>47.41</v>
      </c>
      <c r="F39" s="1">
        <f t="shared" si="0"/>
        <v>28.929999999999993</v>
      </c>
      <c r="G39" s="44"/>
      <c r="H39" s="1">
        <f t="shared" si="1"/>
        <v>2.8799999999999955</v>
      </c>
      <c r="I39" s="44"/>
      <c r="J39" s="8">
        <f t="shared" si="2"/>
        <v>9.9550639474593705</v>
      </c>
      <c r="K39" s="44"/>
      <c r="L39" s="57"/>
      <c r="M39" s="10">
        <v>18</v>
      </c>
      <c r="N39" s="1">
        <v>91.42</v>
      </c>
      <c r="O39" s="1">
        <v>50.27</v>
      </c>
      <c r="P39" s="1">
        <f t="shared" si="3"/>
        <v>46.89</v>
      </c>
      <c r="Q39" s="44"/>
      <c r="R39" s="1">
        <f t="shared" si="4"/>
        <v>5.740000000000002</v>
      </c>
      <c r="S39" s="44"/>
      <c r="T39" s="8">
        <f t="shared" si="5"/>
        <v>12.241416080187676</v>
      </c>
      <c r="U39" s="44"/>
      <c r="V39" s="57"/>
      <c r="W39" s="10">
        <v>48</v>
      </c>
      <c r="X39" s="1">
        <v>250.43</v>
      </c>
      <c r="Y39" s="1">
        <v>114.18</v>
      </c>
      <c r="Z39" s="1">
        <f t="shared" si="6"/>
        <v>156.5</v>
      </c>
      <c r="AA39" s="44"/>
      <c r="AB39" s="1">
        <f t="shared" si="7"/>
        <v>20.25</v>
      </c>
      <c r="AC39" s="44"/>
      <c r="AD39" s="8">
        <f t="shared" si="8"/>
        <v>12.939297124600639</v>
      </c>
      <c r="AE39" s="44"/>
      <c r="AF39" s="57"/>
      <c r="AH39" s="14"/>
      <c r="AI39" s="13">
        <v>3</v>
      </c>
      <c r="AJ39" s="10">
        <v>44.53</v>
      </c>
      <c r="AL39" s="14"/>
      <c r="AM39" s="13">
        <v>3</v>
      </c>
      <c r="AN39" s="12">
        <v>93.93</v>
      </c>
    </row>
    <row r="40" spans="1:40" ht="15.75" thickBot="1" x14ac:dyDescent="0.3">
      <c r="A40" s="6"/>
      <c r="B40" s="5">
        <v>4</v>
      </c>
      <c r="C40" s="10">
        <v>18</v>
      </c>
      <c r="D40" s="1">
        <v>71.02</v>
      </c>
      <c r="E40" s="1">
        <v>47.01</v>
      </c>
      <c r="F40" s="1">
        <f t="shared" si="0"/>
        <v>26.33</v>
      </c>
      <c r="G40" s="44"/>
      <c r="H40" s="1">
        <f t="shared" si="1"/>
        <v>2.3200000000000003</v>
      </c>
      <c r="I40" s="44"/>
      <c r="J40" s="8">
        <f t="shared" si="2"/>
        <v>8.8112419293581485</v>
      </c>
      <c r="K40" s="44"/>
      <c r="L40" s="58"/>
      <c r="M40" s="10">
        <v>18</v>
      </c>
      <c r="N40" s="1">
        <v>90.87</v>
      </c>
      <c r="O40" s="1">
        <v>50.35</v>
      </c>
      <c r="P40" s="1">
        <f t="shared" si="3"/>
        <v>46.180000000000007</v>
      </c>
      <c r="Q40" s="44"/>
      <c r="R40" s="1">
        <f t="shared" si="4"/>
        <v>5.6600000000000037</v>
      </c>
      <c r="S40" s="44"/>
      <c r="T40" s="8">
        <f t="shared" si="5"/>
        <v>12.256388046773502</v>
      </c>
      <c r="U40" s="44"/>
      <c r="V40" s="58"/>
      <c r="W40" s="10">
        <v>48</v>
      </c>
      <c r="X40" s="1">
        <v>249.64</v>
      </c>
      <c r="Y40" s="1">
        <v>115.51</v>
      </c>
      <c r="Z40" s="1">
        <f t="shared" si="6"/>
        <v>155.69999999999999</v>
      </c>
      <c r="AA40" s="44"/>
      <c r="AB40" s="1">
        <f t="shared" si="7"/>
        <v>21.570000000000007</v>
      </c>
      <c r="AC40" s="44"/>
      <c r="AD40" s="8">
        <f t="shared" si="8"/>
        <v>13.853564547206171</v>
      </c>
      <c r="AE40" s="44"/>
      <c r="AF40" s="58"/>
      <c r="AH40" s="6"/>
      <c r="AI40" s="5">
        <v>4</v>
      </c>
      <c r="AJ40" s="7">
        <v>44.69</v>
      </c>
      <c r="AL40" s="6"/>
      <c r="AM40" s="5">
        <v>4</v>
      </c>
      <c r="AN40" s="4">
        <v>93.94</v>
      </c>
    </row>
    <row r="41" spans="1:40" x14ac:dyDescent="0.25">
      <c r="A41" s="17" t="s">
        <v>26</v>
      </c>
      <c r="B41" s="16">
        <v>1</v>
      </c>
      <c r="C41" s="10">
        <v>18</v>
      </c>
      <c r="D41" s="1">
        <v>80.48</v>
      </c>
      <c r="E41" s="1">
        <v>47.48</v>
      </c>
      <c r="F41" s="1">
        <f t="shared" si="0"/>
        <v>35.92</v>
      </c>
      <c r="G41" s="44">
        <f t="shared" ref="G41" si="57">AVERAGE(F41:F44)</f>
        <v>35.549999999999997</v>
      </c>
      <c r="H41" s="1">
        <f t="shared" si="1"/>
        <v>2.9199999999999946</v>
      </c>
      <c r="I41" s="44">
        <f>AVERAGE(H41:H44)</f>
        <v>3.0499999999999989</v>
      </c>
      <c r="J41" s="8">
        <f t="shared" si="2"/>
        <v>8.1291759465478695</v>
      </c>
      <c r="K41" s="44">
        <f t="shared" ref="K41" si="58">AVERAGE(J41:J44)</f>
        <v>8.580226965321776</v>
      </c>
      <c r="L41" s="56">
        <f>_xlfn.STDEV.P(H41:H44)</f>
        <v>0.14456832294801192</v>
      </c>
      <c r="M41" s="10">
        <v>18</v>
      </c>
      <c r="N41" s="1">
        <v>101.24</v>
      </c>
      <c r="O41" s="1">
        <v>50.08</v>
      </c>
      <c r="P41" s="1">
        <f t="shared" si="3"/>
        <v>56.679999999999993</v>
      </c>
      <c r="Q41" s="44">
        <f t="shared" ref="Q41" si="59">AVERAGE(P41:P44)</f>
        <v>56.704999999999998</v>
      </c>
      <c r="R41" s="1">
        <f t="shared" si="4"/>
        <v>5.519999999999996</v>
      </c>
      <c r="S41" s="44">
        <f>AVERAGE(R41:R44)</f>
        <v>5.73</v>
      </c>
      <c r="T41" s="8">
        <f t="shared" si="5"/>
        <v>9.7388849682427612</v>
      </c>
      <c r="U41" s="44">
        <f t="shared" ref="U41" si="60">AVERAGE(T41:T44)</f>
        <v>10.107075929972776</v>
      </c>
      <c r="V41" s="56">
        <f>_xlfn.STDEV.P(R41:R44)</f>
        <v>0.17748239349299019</v>
      </c>
      <c r="W41" s="10">
        <v>48</v>
      </c>
      <c r="X41" s="1">
        <v>285.61</v>
      </c>
      <c r="Y41" s="1">
        <v>117.01</v>
      </c>
      <c r="Z41" s="1">
        <f t="shared" si="6"/>
        <v>191.83</v>
      </c>
      <c r="AA41" s="44">
        <f t="shared" ref="AA41" si="61">AVERAGE(Z41:Z44)</f>
        <v>184.88249999999999</v>
      </c>
      <c r="AB41" s="1">
        <f t="shared" si="7"/>
        <v>23.230000000000004</v>
      </c>
      <c r="AC41" s="44">
        <f>AVERAGE(AB41:AB44)</f>
        <v>22.94</v>
      </c>
      <c r="AD41" s="8">
        <f t="shared" si="8"/>
        <v>12.109680446228433</v>
      </c>
      <c r="AE41" s="44">
        <f t="shared" ref="AE41" si="62">AVERAGE(AD41:AD44)</f>
        <v>12.432670968271545</v>
      </c>
      <c r="AF41" s="56">
        <f>_xlfn.STDEV.P(AB41:AB44)</f>
        <v>0.59594462830031714</v>
      </c>
      <c r="AH41" s="17">
        <v>10</v>
      </c>
      <c r="AI41" s="16">
        <v>1</v>
      </c>
      <c r="AJ41" s="18">
        <v>44.56</v>
      </c>
      <c r="AL41" s="17">
        <v>10</v>
      </c>
      <c r="AM41" s="16">
        <v>1</v>
      </c>
      <c r="AN41" s="15">
        <v>93.78</v>
      </c>
    </row>
    <row r="42" spans="1:40" x14ac:dyDescent="0.25">
      <c r="A42" s="14"/>
      <c r="B42" s="13">
        <v>2</v>
      </c>
      <c r="C42" s="10">
        <v>18</v>
      </c>
      <c r="D42" s="1">
        <v>79.5</v>
      </c>
      <c r="E42" s="1">
        <v>47.68</v>
      </c>
      <c r="F42" s="1">
        <f t="shared" si="0"/>
        <v>34.96</v>
      </c>
      <c r="G42" s="44"/>
      <c r="H42" s="1">
        <f t="shared" si="1"/>
        <v>3.1400000000000006</v>
      </c>
      <c r="I42" s="44"/>
      <c r="J42" s="8">
        <f t="shared" si="2"/>
        <v>8.9816933638443945</v>
      </c>
      <c r="K42" s="44"/>
      <c r="L42" s="57"/>
      <c r="M42" s="10">
        <v>18</v>
      </c>
      <c r="N42" s="1">
        <v>100.45</v>
      </c>
      <c r="O42" s="1">
        <v>50.14</v>
      </c>
      <c r="P42" s="1">
        <f t="shared" si="3"/>
        <v>55.910000000000004</v>
      </c>
      <c r="Q42" s="44"/>
      <c r="R42" s="1">
        <f t="shared" si="4"/>
        <v>5.6000000000000014</v>
      </c>
      <c r="S42" s="44"/>
      <c r="T42" s="8">
        <f t="shared" si="5"/>
        <v>10.016097299230909</v>
      </c>
      <c r="U42" s="44"/>
      <c r="V42" s="57"/>
      <c r="W42" s="10">
        <v>48</v>
      </c>
      <c r="X42" s="1">
        <v>291.25</v>
      </c>
      <c r="Y42" s="1">
        <v>117.36</v>
      </c>
      <c r="Z42" s="1">
        <f t="shared" si="6"/>
        <v>197.23000000000002</v>
      </c>
      <c r="AA42" s="44"/>
      <c r="AB42" s="1">
        <f t="shared" si="7"/>
        <v>23.340000000000003</v>
      </c>
      <c r="AC42" s="44"/>
      <c r="AD42" s="8">
        <f t="shared" si="8"/>
        <v>11.833899508188409</v>
      </c>
      <c r="AE42" s="44"/>
      <c r="AF42" s="57"/>
      <c r="AH42" s="14"/>
      <c r="AI42" s="13">
        <v>2</v>
      </c>
      <c r="AJ42" s="10">
        <v>44.54</v>
      </c>
      <c r="AL42" s="14"/>
      <c r="AM42" s="13">
        <v>2</v>
      </c>
      <c r="AN42" s="12">
        <v>94.02</v>
      </c>
    </row>
    <row r="43" spans="1:40" x14ac:dyDescent="0.25">
      <c r="A43" s="14"/>
      <c r="B43" s="13">
        <v>3</v>
      </c>
      <c r="C43" s="10">
        <v>17</v>
      </c>
      <c r="D43" s="1">
        <v>78.73</v>
      </c>
      <c r="E43" s="1">
        <v>47.57</v>
      </c>
      <c r="F43" s="1">
        <f t="shared" si="0"/>
        <v>34.06</v>
      </c>
      <c r="G43" s="44"/>
      <c r="H43" s="1">
        <f t="shared" si="1"/>
        <v>2.8999999999999986</v>
      </c>
      <c r="I43" s="44"/>
      <c r="J43" s="8">
        <f t="shared" si="2"/>
        <v>8.5143863769817916</v>
      </c>
      <c r="K43" s="44"/>
      <c r="L43" s="57"/>
      <c r="M43" s="10">
        <v>18</v>
      </c>
      <c r="N43" s="1">
        <v>103.55</v>
      </c>
      <c r="O43" s="1">
        <v>50.63</v>
      </c>
      <c r="P43" s="1">
        <f t="shared" si="3"/>
        <v>58.879999999999995</v>
      </c>
      <c r="Q43" s="44"/>
      <c r="R43" s="1">
        <f t="shared" si="4"/>
        <v>5.9600000000000009</v>
      </c>
      <c r="S43" s="44"/>
      <c r="T43" s="8">
        <f t="shared" si="5"/>
        <v>10.122282608695654</v>
      </c>
      <c r="U43" s="44"/>
      <c r="V43" s="57"/>
      <c r="W43" s="10">
        <v>48</v>
      </c>
      <c r="X43" s="1">
        <v>269.38</v>
      </c>
      <c r="Y43" s="1">
        <v>117.16</v>
      </c>
      <c r="Z43" s="1">
        <f t="shared" si="6"/>
        <v>175.5</v>
      </c>
      <c r="AA43" s="44"/>
      <c r="AB43" s="1">
        <f t="shared" si="7"/>
        <v>23.28</v>
      </c>
      <c r="AC43" s="44"/>
      <c r="AD43" s="8">
        <f t="shared" si="8"/>
        <v>13.264957264957266</v>
      </c>
      <c r="AE43" s="44"/>
      <c r="AF43" s="57"/>
      <c r="AH43" s="14"/>
      <c r="AI43" s="13">
        <v>3</v>
      </c>
      <c r="AJ43" s="10">
        <v>44.67</v>
      </c>
      <c r="AL43" s="14"/>
      <c r="AM43" s="13">
        <v>3</v>
      </c>
      <c r="AN43" s="12">
        <v>93.88</v>
      </c>
    </row>
    <row r="44" spans="1:40" ht="15.75" thickBot="1" x14ac:dyDescent="0.3">
      <c r="A44" s="6"/>
      <c r="B44" s="5">
        <v>4</v>
      </c>
      <c r="C44" s="10">
        <v>18</v>
      </c>
      <c r="D44" s="1">
        <v>81.92</v>
      </c>
      <c r="E44" s="1">
        <v>47.9</v>
      </c>
      <c r="F44" s="1">
        <f t="shared" si="0"/>
        <v>37.260000000000005</v>
      </c>
      <c r="G44" s="44"/>
      <c r="H44" s="1">
        <f t="shared" si="1"/>
        <v>3.240000000000002</v>
      </c>
      <c r="I44" s="44"/>
      <c r="J44" s="8">
        <f t="shared" si="2"/>
        <v>8.6956521739130466</v>
      </c>
      <c r="K44" s="44"/>
      <c r="L44" s="58"/>
      <c r="M44" s="10">
        <v>18</v>
      </c>
      <c r="N44" s="1">
        <v>100.01</v>
      </c>
      <c r="O44" s="1">
        <v>50.5</v>
      </c>
      <c r="P44" s="1">
        <f t="shared" si="3"/>
        <v>55.350000000000009</v>
      </c>
      <c r="Q44" s="44"/>
      <c r="R44" s="1">
        <f t="shared" si="4"/>
        <v>5.8400000000000034</v>
      </c>
      <c r="S44" s="44"/>
      <c r="T44" s="8">
        <f t="shared" si="5"/>
        <v>10.551038843721775</v>
      </c>
      <c r="U44" s="44"/>
      <c r="V44" s="58"/>
      <c r="W44" s="10">
        <v>48</v>
      </c>
      <c r="X44" s="1">
        <v>268.83</v>
      </c>
      <c r="Y44" s="1">
        <v>115.77</v>
      </c>
      <c r="Z44" s="1">
        <f t="shared" si="6"/>
        <v>174.96999999999997</v>
      </c>
      <c r="AA44" s="44"/>
      <c r="AB44" s="1">
        <f t="shared" si="7"/>
        <v>21.909999999999997</v>
      </c>
      <c r="AC44" s="44"/>
      <c r="AD44" s="8">
        <f t="shared" si="8"/>
        <v>12.522146653712067</v>
      </c>
      <c r="AE44" s="44"/>
      <c r="AF44" s="58"/>
      <c r="AH44" s="6"/>
      <c r="AI44" s="5">
        <v>4</v>
      </c>
      <c r="AJ44" s="7">
        <v>44.66</v>
      </c>
      <c r="AL44" s="6"/>
      <c r="AM44" s="5">
        <v>4</v>
      </c>
      <c r="AN44" s="4">
        <v>93.86</v>
      </c>
    </row>
    <row r="45" spans="1:40" x14ac:dyDescent="0.25">
      <c r="A45" s="17" t="s">
        <v>27</v>
      </c>
      <c r="B45" s="16">
        <v>1</v>
      </c>
      <c r="C45" s="10">
        <v>18</v>
      </c>
      <c r="D45" s="1">
        <v>69.36</v>
      </c>
      <c r="E45" s="1">
        <v>46.8</v>
      </c>
      <c r="F45" s="1">
        <f t="shared" si="0"/>
        <v>24.759999999999998</v>
      </c>
      <c r="G45" s="44">
        <f t="shared" ref="G45" si="63">AVERAGE(F45:F48)</f>
        <v>25.465000000000003</v>
      </c>
      <c r="H45" s="1">
        <f t="shared" si="1"/>
        <v>2.1999999999999957</v>
      </c>
      <c r="I45" s="44">
        <f>AVERAGE(H45:H48)</f>
        <v>2.3049999999999997</v>
      </c>
      <c r="J45" s="8">
        <f t="shared" si="2"/>
        <v>8.8852988691437638</v>
      </c>
      <c r="K45" s="44">
        <f t="shared" ref="K45" si="64">AVERAGE(J45:J48)</f>
        <v>9.0596035519072373</v>
      </c>
      <c r="L45" s="56">
        <f>_xlfn.STDEV.P(H45:H48)</f>
        <v>0.23521266972678118</v>
      </c>
      <c r="M45" s="10">
        <v>18</v>
      </c>
      <c r="N45" s="1">
        <v>103.97</v>
      </c>
      <c r="O45" s="1">
        <v>50.18</v>
      </c>
      <c r="P45" s="1">
        <f t="shared" si="3"/>
        <v>59.37</v>
      </c>
      <c r="Q45" s="44">
        <f t="shared" ref="Q45" si="65">AVERAGE(P45:P48)</f>
        <v>60.032500000000006</v>
      </c>
      <c r="R45" s="1">
        <f t="shared" si="4"/>
        <v>5.5799999999999983</v>
      </c>
      <c r="S45" s="44">
        <f>AVERAGE(R45:R48)</f>
        <v>5.6875</v>
      </c>
      <c r="T45" s="8">
        <f t="shared" si="5"/>
        <v>9.3986862051541156</v>
      </c>
      <c r="U45" s="44">
        <f t="shared" ref="U45" si="66">AVERAGE(T45:T48)</f>
        <v>9.5038524456094002</v>
      </c>
      <c r="V45" s="56">
        <f>_xlfn.STDEV.P(R45:R48)</f>
        <v>0.26789690181112646</v>
      </c>
      <c r="W45" s="10">
        <v>48</v>
      </c>
      <c r="X45" s="1">
        <v>304.35000000000002</v>
      </c>
      <c r="Y45" s="1">
        <v>116.01</v>
      </c>
      <c r="Z45" s="1">
        <f t="shared" si="6"/>
        <v>210.60000000000002</v>
      </c>
      <c r="AA45" s="44">
        <f t="shared" ref="AA45" si="67">AVERAGE(Z45:Z48)</f>
        <v>191.845</v>
      </c>
      <c r="AB45" s="1">
        <f t="shared" si="7"/>
        <v>22.260000000000005</v>
      </c>
      <c r="AC45" s="44">
        <f>AVERAGE(AB45:AB48)</f>
        <v>20.7575</v>
      </c>
      <c r="AD45" s="8">
        <f t="shared" si="8"/>
        <v>10.56980056980057</v>
      </c>
      <c r="AE45" s="44">
        <f t="shared" ref="AE45" si="68">AVERAGE(AD45:AD48)</f>
        <v>10.828177952477009</v>
      </c>
      <c r="AF45" s="56">
        <f>_xlfn.STDEV.P(AB45:AB48)</f>
        <v>0.9365461814561028</v>
      </c>
      <c r="AH45" s="17">
        <v>11</v>
      </c>
      <c r="AI45" s="16">
        <v>1</v>
      </c>
      <c r="AJ45" s="18">
        <v>44.6</v>
      </c>
      <c r="AL45" s="17">
        <v>11</v>
      </c>
      <c r="AM45" s="16">
        <v>1</v>
      </c>
      <c r="AN45" s="15">
        <v>93.75</v>
      </c>
    </row>
    <row r="46" spans="1:40" x14ac:dyDescent="0.25">
      <c r="A46" s="14"/>
      <c r="B46" s="13">
        <v>2</v>
      </c>
      <c r="C46" s="10">
        <v>17</v>
      </c>
      <c r="D46" s="1">
        <v>67.900000000000006</v>
      </c>
      <c r="E46" s="1">
        <v>46.86</v>
      </c>
      <c r="F46" s="1">
        <f t="shared" si="0"/>
        <v>23.170000000000009</v>
      </c>
      <c r="G46" s="44"/>
      <c r="H46" s="1">
        <f t="shared" si="1"/>
        <v>2.1300000000000026</v>
      </c>
      <c r="I46" s="44"/>
      <c r="J46" s="8">
        <f t="shared" si="2"/>
        <v>9.1929218817436418</v>
      </c>
      <c r="K46" s="44"/>
      <c r="L46" s="57"/>
      <c r="M46" s="10">
        <v>18</v>
      </c>
      <c r="N46" s="1">
        <v>113.09</v>
      </c>
      <c r="O46" s="1">
        <v>50.87</v>
      </c>
      <c r="P46" s="1">
        <f t="shared" si="3"/>
        <v>68.360000000000014</v>
      </c>
      <c r="Q46" s="44"/>
      <c r="R46" s="1">
        <f t="shared" si="4"/>
        <v>6.1400000000000006</v>
      </c>
      <c r="S46" s="44"/>
      <c r="T46" s="8">
        <f t="shared" si="5"/>
        <v>8.9818607372732586</v>
      </c>
      <c r="U46" s="44"/>
      <c r="V46" s="57"/>
      <c r="W46" s="10">
        <v>47</v>
      </c>
      <c r="X46" s="1">
        <v>279.91000000000003</v>
      </c>
      <c r="Y46" s="1">
        <v>114.45</v>
      </c>
      <c r="Z46" s="1">
        <f t="shared" si="6"/>
        <v>185.58000000000004</v>
      </c>
      <c r="AA46" s="44"/>
      <c r="AB46" s="1">
        <f t="shared" si="7"/>
        <v>20.120000000000005</v>
      </c>
      <c r="AC46" s="44"/>
      <c r="AD46" s="8">
        <f t="shared" si="8"/>
        <v>10.841685526457592</v>
      </c>
      <c r="AE46" s="44"/>
      <c r="AF46" s="57"/>
      <c r="AH46" s="14"/>
      <c r="AI46" s="13">
        <v>2</v>
      </c>
      <c r="AJ46" s="10">
        <v>44.73</v>
      </c>
      <c r="AL46" s="14"/>
      <c r="AM46" s="13">
        <v>2</v>
      </c>
      <c r="AN46" s="12">
        <v>94.33</v>
      </c>
    </row>
    <row r="47" spans="1:40" x14ac:dyDescent="0.25">
      <c r="A47" s="14"/>
      <c r="B47" s="13">
        <v>3</v>
      </c>
      <c r="C47" s="10">
        <v>15</v>
      </c>
      <c r="D47" s="1">
        <v>68.290000000000006</v>
      </c>
      <c r="E47" s="1">
        <v>46.74</v>
      </c>
      <c r="F47" s="1">
        <f t="shared" si="0"/>
        <v>23.730000000000004</v>
      </c>
      <c r="G47" s="44"/>
      <c r="H47" s="1">
        <f t="shared" si="1"/>
        <v>2.1799999999999997</v>
      </c>
      <c r="I47" s="44"/>
      <c r="J47" s="8">
        <f t="shared" si="2"/>
        <v>9.1866835229667068</v>
      </c>
      <c r="K47" s="44"/>
      <c r="L47" s="57"/>
      <c r="M47" s="10">
        <v>18</v>
      </c>
      <c r="N47" s="1">
        <v>101.61</v>
      </c>
      <c r="O47" s="1">
        <v>50</v>
      </c>
      <c r="P47" s="1">
        <f t="shared" si="3"/>
        <v>57.05</v>
      </c>
      <c r="Q47" s="44"/>
      <c r="R47" s="1">
        <f t="shared" si="4"/>
        <v>5.4399999999999977</v>
      </c>
      <c r="S47" s="44"/>
      <c r="T47" s="8">
        <f t="shared" si="5"/>
        <v>9.5354951796669543</v>
      </c>
      <c r="U47" s="44"/>
      <c r="V47" s="57"/>
      <c r="W47" s="10">
        <v>48</v>
      </c>
      <c r="X47" s="1">
        <v>279.12</v>
      </c>
      <c r="Y47" s="1">
        <v>113.63</v>
      </c>
      <c r="Z47" s="1">
        <f t="shared" si="6"/>
        <v>185.32999999999998</v>
      </c>
      <c r="AA47" s="44"/>
      <c r="AB47" s="1">
        <f t="shared" si="7"/>
        <v>19.839999999999989</v>
      </c>
      <c r="AC47" s="44"/>
      <c r="AD47" s="8">
        <f t="shared" si="8"/>
        <v>10.705228511304155</v>
      </c>
      <c r="AE47" s="44"/>
      <c r="AF47" s="57"/>
      <c r="AH47" s="14"/>
      <c r="AI47" s="13">
        <v>3</v>
      </c>
      <c r="AJ47" s="10">
        <v>44.56</v>
      </c>
      <c r="AL47" s="14"/>
      <c r="AM47" s="13">
        <v>3</v>
      </c>
      <c r="AN47" s="12">
        <v>93.79</v>
      </c>
    </row>
    <row r="48" spans="1:40" ht="15.75" thickBot="1" x14ac:dyDescent="0.3">
      <c r="A48" s="6"/>
      <c r="B48" s="5">
        <v>4</v>
      </c>
      <c r="C48" s="10">
        <v>18</v>
      </c>
      <c r="D48" s="1">
        <v>74.88</v>
      </c>
      <c r="E48" s="1">
        <v>47.39</v>
      </c>
      <c r="F48" s="1">
        <f t="shared" si="0"/>
        <v>30.199999999999996</v>
      </c>
      <c r="G48" s="44"/>
      <c r="H48" s="1">
        <f t="shared" si="1"/>
        <v>2.7100000000000009</v>
      </c>
      <c r="I48" s="44"/>
      <c r="J48" s="8">
        <f t="shared" si="2"/>
        <v>8.9735099337748387</v>
      </c>
      <c r="K48" s="44"/>
      <c r="L48" s="58"/>
      <c r="M48" s="10">
        <v>18</v>
      </c>
      <c r="N48" s="1">
        <v>100.03</v>
      </c>
      <c r="O48" s="1">
        <v>50.27</v>
      </c>
      <c r="P48" s="1">
        <f t="shared" si="3"/>
        <v>55.35</v>
      </c>
      <c r="Q48" s="44"/>
      <c r="R48" s="1">
        <f t="shared" si="4"/>
        <v>5.5900000000000034</v>
      </c>
      <c r="S48" s="44"/>
      <c r="T48" s="8">
        <f t="shared" si="5"/>
        <v>10.099367660343276</v>
      </c>
      <c r="U48" s="44"/>
      <c r="V48" s="58"/>
      <c r="W48" s="10">
        <v>48</v>
      </c>
      <c r="X48" s="1">
        <v>280.29000000000002</v>
      </c>
      <c r="Y48" s="1">
        <v>115.23</v>
      </c>
      <c r="Z48" s="1">
        <f t="shared" si="6"/>
        <v>185.87</v>
      </c>
      <c r="AA48" s="44"/>
      <c r="AB48" s="1">
        <f t="shared" si="7"/>
        <v>20.810000000000002</v>
      </c>
      <c r="AC48" s="44"/>
      <c r="AD48" s="8">
        <f t="shared" si="8"/>
        <v>11.195997202345726</v>
      </c>
      <c r="AE48" s="44"/>
      <c r="AF48" s="58"/>
      <c r="AH48" s="6"/>
      <c r="AI48" s="5">
        <v>4</v>
      </c>
      <c r="AJ48" s="7">
        <v>44.68</v>
      </c>
      <c r="AL48" s="6"/>
      <c r="AM48" s="5">
        <v>4</v>
      </c>
      <c r="AN48" s="4">
        <v>94.42</v>
      </c>
    </row>
    <row r="49" spans="1:40" x14ac:dyDescent="0.25">
      <c r="A49" s="17" t="s">
        <v>28</v>
      </c>
      <c r="B49" s="16">
        <v>1</v>
      </c>
      <c r="C49" s="10">
        <v>18</v>
      </c>
      <c r="D49" s="1">
        <v>82.58</v>
      </c>
      <c r="E49" s="1">
        <v>47.42</v>
      </c>
      <c r="F49" s="1">
        <f t="shared" si="0"/>
        <v>37.979999999999997</v>
      </c>
      <c r="G49" s="44">
        <f t="shared" ref="G49" si="69">AVERAGE(F49:F52)</f>
        <v>43.314999999999998</v>
      </c>
      <c r="H49" s="1">
        <f t="shared" si="1"/>
        <v>2.8200000000000003</v>
      </c>
      <c r="I49" s="44">
        <f>AVERAGE(H49:H52)</f>
        <v>3.0175000000000001</v>
      </c>
      <c r="J49" s="8">
        <f t="shared" si="2"/>
        <v>7.4249605055292269</v>
      </c>
      <c r="K49" s="44">
        <f t="shared" ref="K49" si="70">AVERAGE(J49:J52)</f>
        <v>6.9915397299843374</v>
      </c>
      <c r="L49" s="56">
        <f>_xlfn.STDEV.P(H49:H52)</f>
        <v>0.17397916541931069</v>
      </c>
      <c r="M49" s="10">
        <v>18</v>
      </c>
      <c r="N49" s="1">
        <v>147.35</v>
      </c>
      <c r="O49" s="1">
        <v>52.76</v>
      </c>
      <c r="P49" s="1">
        <f t="shared" si="3"/>
        <v>102.75</v>
      </c>
      <c r="Q49" s="44">
        <f t="shared" ref="Q49" si="71">AVERAGE(P49:P52)</f>
        <v>95.81</v>
      </c>
      <c r="R49" s="1">
        <f t="shared" si="4"/>
        <v>8.1599999999999966</v>
      </c>
      <c r="S49" s="44">
        <f>AVERAGE(R49:R52)</f>
        <v>8.0124999999999993</v>
      </c>
      <c r="T49" s="8">
        <f t="shared" si="5"/>
        <v>7.9416058394160549</v>
      </c>
      <c r="U49" s="44">
        <f t="shared" ref="U49" si="72">AVERAGE(T49:T52)</f>
        <v>8.3621802395828411</v>
      </c>
      <c r="V49" s="56">
        <f>_xlfn.STDEV.P(R49:R52)</f>
        <v>0.58443883341201552</v>
      </c>
      <c r="W49" s="10">
        <v>48</v>
      </c>
      <c r="X49" s="1">
        <v>419.86</v>
      </c>
      <c r="Y49" s="1">
        <v>126.56</v>
      </c>
      <c r="Z49" s="1">
        <f t="shared" si="6"/>
        <v>325.59000000000003</v>
      </c>
      <c r="AA49" s="44">
        <f t="shared" ref="AA49" si="73">AVERAGE(Z49:Z52)</f>
        <v>327.03000000000003</v>
      </c>
      <c r="AB49" s="1">
        <f t="shared" si="7"/>
        <v>32.290000000000006</v>
      </c>
      <c r="AC49" s="44">
        <f>AVERAGE(AB49:AB52)</f>
        <v>33.355000000000004</v>
      </c>
      <c r="AD49" s="8">
        <f t="shared" si="8"/>
        <v>9.9173807549371915</v>
      </c>
      <c r="AE49" s="44">
        <f t="shared" ref="AE49" si="74">AVERAGE(AD49:AD52)</f>
        <v>10.214110526499525</v>
      </c>
      <c r="AF49" s="56">
        <f>_xlfn.STDEV.P(AB49:AB52)</f>
        <v>0.79096460097781518</v>
      </c>
      <c r="AH49" s="17">
        <v>12</v>
      </c>
      <c r="AI49" s="16">
        <v>1</v>
      </c>
      <c r="AJ49" s="18">
        <v>44.6</v>
      </c>
      <c r="AL49" s="17">
        <v>12</v>
      </c>
      <c r="AM49" s="16">
        <v>1</v>
      </c>
      <c r="AN49" s="15">
        <v>94.27</v>
      </c>
    </row>
    <row r="50" spans="1:40" x14ac:dyDescent="0.25">
      <c r="A50" s="14"/>
      <c r="B50" s="13">
        <v>2</v>
      </c>
      <c r="C50" s="10">
        <v>18</v>
      </c>
      <c r="D50" s="1">
        <v>88.7</v>
      </c>
      <c r="E50" s="1">
        <v>47.64</v>
      </c>
      <c r="F50" s="1">
        <f t="shared" si="0"/>
        <v>44.09</v>
      </c>
      <c r="G50" s="44"/>
      <c r="H50" s="1">
        <f t="shared" si="1"/>
        <v>3.0300000000000011</v>
      </c>
      <c r="I50" s="44"/>
      <c r="J50" s="8">
        <f t="shared" si="2"/>
        <v>6.8723066454978463</v>
      </c>
      <c r="K50" s="44"/>
      <c r="L50" s="57"/>
      <c r="M50" s="10">
        <v>17</v>
      </c>
      <c r="N50" s="1">
        <v>132.51</v>
      </c>
      <c r="O50" s="1">
        <v>51.63</v>
      </c>
      <c r="P50" s="1">
        <f t="shared" si="3"/>
        <v>87.899999999999991</v>
      </c>
      <c r="Q50" s="44"/>
      <c r="R50" s="1">
        <f t="shared" si="4"/>
        <v>7.0200000000000031</v>
      </c>
      <c r="S50" s="44"/>
      <c r="T50" s="8">
        <f t="shared" si="5"/>
        <v>7.9863481228668993</v>
      </c>
      <c r="U50" s="44"/>
      <c r="V50" s="57"/>
      <c r="W50" s="10">
        <v>48</v>
      </c>
      <c r="X50" s="1">
        <v>432.17</v>
      </c>
      <c r="Y50" s="1">
        <v>127.37</v>
      </c>
      <c r="Z50" s="1">
        <f t="shared" si="6"/>
        <v>338.05</v>
      </c>
      <c r="AA50" s="44"/>
      <c r="AB50" s="1">
        <f t="shared" si="7"/>
        <v>33.25</v>
      </c>
      <c r="AC50" s="44"/>
      <c r="AD50" s="8">
        <f t="shared" si="8"/>
        <v>9.8358231030912595</v>
      </c>
      <c r="AE50" s="44"/>
      <c r="AF50" s="57"/>
      <c r="AH50" s="14"/>
      <c r="AI50" s="13">
        <v>2</v>
      </c>
      <c r="AJ50" s="10">
        <v>44.61</v>
      </c>
      <c r="AL50" s="14"/>
      <c r="AM50" s="13">
        <v>2</v>
      </c>
      <c r="AN50" s="12">
        <v>94.12</v>
      </c>
    </row>
    <row r="51" spans="1:40" x14ac:dyDescent="0.25">
      <c r="A51" s="14"/>
      <c r="B51" s="13">
        <v>3</v>
      </c>
      <c r="C51" s="10">
        <v>17</v>
      </c>
      <c r="D51" s="1">
        <v>86.42</v>
      </c>
      <c r="E51" s="1">
        <v>47.49</v>
      </c>
      <c r="F51" s="1">
        <f t="shared" si="0"/>
        <v>41.86</v>
      </c>
      <c r="G51" s="44"/>
      <c r="H51" s="1">
        <f t="shared" si="1"/>
        <v>2.9299999999999997</v>
      </c>
      <c r="I51" s="44"/>
      <c r="J51" s="8">
        <f t="shared" si="2"/>
        <v>6.9995222169135207</v>
      </c>
      <c r="K51" s="44"/>
      <c r="L51" s="57"/>
      <c r="M51" s="10">
        <v>18</v>
      </c>
      <c r="N51" s="1">
        <v>142.02000000000001</v>
      </c>
      <c r="O51" s="1">
        <v>53.03</v>
      </c>
      <c r="P51" s="1">
        <f t="shared" si="3"/>
        <v>97.460000000000008</v>
      </c>
      <c r="Q51" s="44"/>
      <c r="R51" s="1">
        <f t="shared" si="4"/>
        <v>8.4699999999999989</v>
      </c>
      <c r="S51" s="44"/>
      <c r="T51" s="8">
        <f t="shared" si="5"/>
        <v>8.690744920993227</v>
      </c>
      <c r="U51" s="44"/>
      <c r="V51" s="57"/>
      <c r="W51" s="10">
        <v>45</v>
      </c>
      <c r="X51" s="1">
        <v>432.92</v>
      </c>
      <c r="Y51" s="1">
        <v>128.47</v>
      </c>
      <c r="Z51" s="1">
        <f t="shared" si="6"/>
        <v>338.97</v>
      </c>
      <c r="AA51" s="44"/>
      <c r="AB51" s="1">
        <f t="shared" si="7"/>
        <v>34.519999999999996</v>
      </c>
      <c r="AC51" s="44"/>
      <c r="AD51" s="8">
        <f t="shared" si="8"/>
        <v>10.183792075994925</v>
      </c>
      <c r="AE51" s="44"/>
      <c r="AF51" s="57"/>
      <c r="AH51" s="14"/>
      <c r="AI51" s="13">
        <v>3</v>
      </c>
      <c r="AJ51" s="10">
        <v>44.56</v>
      </c>
      <c r="AL51" s="14"/>
      <c r="AM51" s="13">
        <v>3</v>
      </c>
      <c r="AN51" s="12">
        <v>93.95</v>
      </c>
    </row>
    <row r="52" spans="1:40" ht="15.75" thickBot="1" x14ac:dyDescent="0.3">
      <c r="A52" s="6"/>
      <c r="B52" s="5">
        <v>4</v>
      </c>
      <c r="C52" s="7">
        <v>18</v>
      </c>
      <c r="D52" s="9">
        <v>93.91</v>
      </c>
      <c r="E52" s="9">
        <v>47.87</v>
      </c>
      <c r="F52" s="9">
        <f t="shared" si="0"/>
        <v>49.33</v>
      </c>
      <c r="G52" s="44"/>
      <c r="H52" s="9">
        <f t="shared" si="1"/>
        <v>3.2899999999999991</v>
      </c>
      <c r="I52" s="52"/>
      <c r="J52" s="11">
        <f t="shared" si="2"/>
        <v>6.6693695519967546</v>
      </c>
      <c r="K52" s="44"/>
      <c r="L52" s="64"/>
      <c r="M52" s="7">
        <v>18</v>
      </c>
      <c r="N52" s="9">
        <v>139.71</v>
      </c>
      <c r="O52" s="9">
        <v>52.98</v>
      </c>
      <c r="P52" s="1">
        <f t="shared" si="3"/>
        <v>95.13000000000001</v>
      </c>
      <c r="Q52" s="44"/>
      <c r="R52" s="1">
        <f t="shared" si="4"/>
        <v>8.3999999999999986</v>
      </c>
      <c r="S52" s="44"/>
      <c r="T52" s="8">
        <f t="shared" si="5"/>
        <v>8.8300220750551848</v>
      </c>
      <c r="U52" s="44"/>
      <c r="V52" s="58"/>
      <c r="W52" s="10">
        <v>48</v>
      </c>
      <c r="X52" s="9">
        <v>399.46</v>
      </c>
      <c r="Y52" s="9">
        <v>127.31</v>
      </c>
      <c r="Z52" s="1">
        <f t="shared" si="6"/>
        <v>305.51</v>
      </c>
      <c r="AA52" s="44"/>
      <c r="AB52" s="1">
        <f t="shared" si="7"/>
        <v>33.36</v>
      </c>
      <c r="AC52" s="44"/>
      <c r="AD52" s="8">
        <f t="shared" si="8"/>
        <v>10.91944617197473</v>
      </c>
      <c r="AE52" s="44"/>
      <c r="AF52" s="58"/>
      <c r="AH52" s="6"/>
      <c r="AI52" s="5">
        <v>4</v>
      </c>
      <c r="AJ52" s="7">
        <v>44.58</v>
      </c>
      <c r="AL52" s="6"/>
      <c r="AM52" s="5">
        <v>4</v>
      </c>
      <c r="AN52" s="4">
        <v>93.95</v>
      </c>
    </row>
    <row r="56" spans="1:40" x14ac:dyDescent="0.25">
      <c r="A56" s="45" t="s">
        <v>13</v>
      </c>
      <c r="B56" s="45"/>
      <c r="C56" s="45"/>
      <c r="D56" s="45"/>
      <c r="F56" s="45" t="s">
        <v>16</v>
      </c>
      <c r="G56" s="45"/>
      <c r="H56" s="45"/>
      <c r="I56" s="45"/>
    </row>
    <row r="57" spans="1:40" x14ac:dyDescent="0.25">
      <c r="A57" s="2"/>
      <c r="B57" s="3">
        <v>44685</v>
      </c>
      <c r="C57" s="3">
        <v>44692</v>
      </c>
      <c r="D57" s="3">
        <v>44700</v>
      </c>
      <c r="F57" s="2"/>
      <c r="G57" s="3">
        <v>44685</v>
      </c>
      <c r="H57" s="3">
        <v>44692</v>
      </c>
      <c r="I57" s="3">
        <v>44700</v>
      </c>
    </row>
    <row r="58" spans="1:40" x14ac:dyDescent="0.25">
      <c r="A58" s="2">
        <v>1</v>
      </c>
      <c r="B58" s="41">
        <v>21.147500000000001</v>
      </c>
      <c r="C58" s="41">
        <v>27.167499999999997</v>
      </c>
      <c r="D58" s="41">
        <v>92.272499999999994</v>
      </c>
      <c r="F58" s="2">
        <v>1</v>
      </c>
      <c r="G58" s="1">
        <v>10.240898145974572</v>
      </c>
      <c r="H58" s="1">
        <v>13.426995971460133</v>
      </c>
      <c r="I58" s="1">
        <v>14.346521646177699</v>
      </c>
    </row>
    <row r="59" spans="1:40" x14ac:dyDescent="0.25">
      <c r="A59" s="2">
        <v>2</v>
      </c>
      <c r="B59" s="41">
        <v>20.550000000000004</v>
      </c>
      <c r="C59" s="41">
        <v>27.840000000000003</v>
      </c>
      <c r="D59" s="41">
        <v>82.93</v>
      </c>
      <c r="F59" s="2">
        <v>2</v>
      </c>
      <c r="G59" s="1">
        <v>10.018710876713374</v>
      </c>
      <c r="H59" s="1">
        <v>12.835862514490888</v>
      </c>
      <c r="I59" s="1">
        <v>14.545128446406377</v>
      </c>
    </row>
    <row r="60" spans="1:40" x14ac:dyDescent="0.25">
      <c r="A60" s="2">
        <v>3</v>
      </c>
      <c r="B60" s="41">
        <v>32.449999999999996</v>
      </c>
      <c r="C60" s="41">
        <v>57.807500000000005</v>
      </c>
      <c r="D60" s="41">
        <v>171.52</v>
      </c>
      <c r="F60" s="2">
        <v>3</v>
      </c>
      <c r="G60" s="1">
        <v>7.7745563275600764</v>
      </c>
      <c r="H60" s="1">
        <v>9.826323495614032</v>
      </c>
      <c r="I60" s="1">
        <v>12.640750434232816</v>
      </c>
    </row>
    <row r="61" spans="1:40" x14ac:dyDescent="0.25">
      <c r="A61" s="2">
        <v>4</v>
      </c>
      <c r="B61" s="41">
        <v>39.989999999999995</v>
      </c>
      <c r="C61" s="41">
        <v>60.387499999999996</v>
      </c>
      <c r="D61" s="41">
        <v>188.54</v>
      </c>
      <c r="F61" s="2">
        <v>4</v>
      </c>
      <c r="G61" s="1">
        <v>6.912726514530549</v>
      </c>
      <c r="H61" s="1">
        <v>9.0917608625935369</v>
      </c>
      <c r="I61" s="1">
        <v>11.514045691329809</v>
      </c>
    </row>
    <row r="62" spans="1:40" x14ac:dyDescent="0.25">
      <c r="A62" s="2">
        <v>5</v>
      </c>
      <c r="B62" s="41">
        <v>35.692499999999995</v>
      </c>
      <c r="C62" s="41">
        <v>67.180000000000007</v>
      </c>
      <c r="D62" s="41">
        <v>204.82499999999999</v>
      </c>
      <c r="F62" s="2">
        <v>5</v>
      </c>
      <c r="G62" s="1">
        <v>6.9894056537741527</v>
      </c>
      <c r="H62" s="1">
        <v>8.6645782240705707</v>
      </c>
      <c r="I62" s="1">
        <v>11.004485625830869</v>
      </c>
    </row>
    <row r="63" spans="1:40" x14ac:dyDescent="0.25">
      <c r="A63" s="2">
        <v>6</v>
      </c>
      <c r="B63" s="41">
        <v>52.86</v>
      </c>
      <c r="C63" s="41">
        <v>98.324999999999989</v>
      </c>
      <c r="D63" s="41">
        <v>332.37249999999995</v>
      </c>
      <c r="F63" s="2">
        <v>6</v>
      </c>
      <c r="G63" s="1">
        <v>5.8756169287501585</v>
      </c>
      <c r="H63" s="1">
        <v>7.988022397650985</v>
      </c>
      <c r="I63" s="1">
        <v>9.8819468569700994</v>
      </c>
    </row>
    <row r="64" spans="1:40" x14ac:dyDescent="0.25">
      <c r="A64" s="2">
        <v>7</v>
      </c>
      <c r="B64" s="41">
        <v>17.740000000000002</v>
      </c>
      <c r="C64" s="41">
        <v>25.505000000000003</v>
      </c>
      <c r="D64" s="41">
        <v>89.99</v>
      </c>
      <c r="F64" s="2">
        <v>7</v>
      </c>
      <c r="G64" s="1">
        <v>12.092239346674409</v>
      </c>
      <c r="H64" s="1">
        <v>15.416827572996642</v>
      </c>
      <c r="I64" s="1">
        <v>17.091039324229897</v>
      </c>
    </row>
    <row r="65" spans="1:9" x14ac:dyDescent="0.25">
      <c r="A65" s="2">
        <v>8</v>
      </c>
      <c r="B65" s="41">
        <v>17.412500000000001</v>
      </c>
      <c r="C65" s="41">
        <v>24.565000000000001</v>
      </c>
      <c r="D65" s="41">
        <v>80.302500000000009</v>
      </c>
      <c r="F65" s="2">
        <v>8</v>
      </c>
      <c r="G65" s="1">
        <v>13.161057726127639</v>
      </c>
      <c r="H65" s="1">
        <v>15.759815217658076</v>
      </c>
      <c r="I65" s="1">
        <v>15.621439487917741</v>
      </c>
    </row>
    <row r="66" spans="1:9" x14ac:dyDescent="0.25">
      <c r="A66" s="2">
        <v>9</v>
      </c>
      <c r="B66" s="41">
        <v>26.549999999999997</v>
      </c>
      <c r="C66" s="41">
        <v>47.3675</v>
      </c>
      <c r="D66" s="41">
        <v>159.94749999999999</v>
      </c>
      <c r="F66" s="2">
        <v>9</v>
      </c>
      <c r="G66" s="1">
        <v>9.5519768815296953</v>
      </c>
      <c r="H66" s="1">
        <v>11.700068761724468</v>
      </c>
      <c r="I66" s="1">
        <v>13.136288987290056</v>
      </c>
    </row>
    <row r="67" spans="1:9" x14ac:dyDescent="0.25">
      <c r="A67" s="2">
        <v>10</v>
      </c>
      <c r="B67" s="41">
        <v>35.549999999999997</v>
      </c>
      <c r="C67" s="41">
        <v>56.704999999999998</v>
      </c>
      <c r="D67" s="41">
        <v>184.88249999999999</v>
      </c>
      <c r="F67" s="2">
        <v>10</v>
      </c>
      <c r="G67" s="1">
        <v>8.580226965321776</v>
      </c>
      <c r="H67" s="1">
        <v>10.107075929972776</v>
      </c>
      <c r="I67" s="1">
        <v>12.432670968271545</v>
      </c>
    </row>
    <row r="68" spans="1:9" x14ac:dyDescent="0.25">
      <c r="A68" s="2">
        <v>11</v>
      </c>
      <c r="B68" s="41">
        <v>25.465000000000003</v>
      </c>
      <c r="C68" s="41">
        <v>60.032500000000006</v>
      </c>
      <c r="D68" s="41">
        <v>191.845</v>
      </c>
      <c r="F68" s="2">
        <v>11</v>
      </c>
      <c r="G68" s="1">
        <v>9.0596035519072373</v>
      </c>
      <c r="H68" s="1">
        <v>9.5038524456094002</v>
      </c>
      <c r="I68" s="1">
        <v>10.828177952477009</v>
      </c>
    </row>
    <row r="69" spans="1:9" x14ac:dyDescent="0.25">
      <c r="A69" s="2">
        <v>12</v>
      </c>
      <c r="B69" s="41">
        <v>43.314999999999998</v>
      </c>
      <c r="C69" s="41">
        <v>95.81</v>
      </c>
      <c r="D69" s="41">
        <v>327.03000000000003</v>
      </c>
      <c r="F69" s="2">
        <v>12</v>
      </c>
      <c r="G69" s="1">
        <v>6.9915397299843374</v>
      </c>
      <c r="H69" s="1">
        <v>8.3621802395828411</v>
      </c>
      <c r="I69" s="1">
        <v>10.214110526499525</v>
      </c>
    </row>
  </sheetData>
  <mergeCells count="152">
    <mergeCell ref="A4:B4"/>
    <mergeCell ref="A2:B3"/>
    <mergeCell ref="C2:AF2"/>
    <mergeCell ref="C3:L3"/>
    <mergeCell ref="M3:V3"/>
    <mergeCell ref="W3:AF3"/>
    <mergeCell ref="AA21:AA24"/>
    <mergeCell ref="AF9:AF12"/>
    <mergeCell ref="AF5:AF8"/>
    <mergeCell ref="I9:I12"/>
    <mergeCell ref="L9:L12"/>
    <mergeCell ref="S9:S12"/>
    <mergeCell ref="V9:V12"/>
    <mergeCell ref="AC9:AC12"/>
    <mergeCell ref="I5:I8"/>
    <mergeCell ref="L5:L8"/>
    <mergeCell ref="S5:S8"/>
    <mergeCell ref="V5:V8"/>
    <mergeCell ref="AC5:AC8"/>
    <mergeCell ref="Q5:Q8"/>
    <mergeCell ref="Q9:Q12"/>
    <mergeCell ref="AA5:AA8"/>
    <mergeCell ref="AA9:AA12"/>
    <mergeCell ref="AF17:AF20"/>
    <mergeCell ref="I13:I16"/>
    <mergeCell ref="L13:L16"/>
    <mergeCell ref="S13:S16"/>
    <mergeCell ref="V13:V16"/>
    <mergeCell ref="AC13:AC16"/>
    <mergeCell ref="AF13:AF16"/>
    <mergeCell ref="I17:I20"/>
    <mergeCell ref="Q13:Q16"/>
    <mergeCell ref="Q17:Q20"/>
    <mergeCell ref="AA13:AA16"/>
    <mergeCell ref="AA17:AA20"/>
    <mergeCell ref="L17:L20"/>
    <mergeCell ref="S17:S20"/>
    <mergeCell ref="V17:V20"/>
    <mergeCell ref="AC17:AC20"/>
    <mergeCell ref="AF33:AF36"/>
    <mergeCell ref="I33:I36"/>
    <mergeCell ref="L33:L36"/>
    <mergeCell ref="S33:S36"/>
    <mergeCell ref="V33:V36"/>
    <mergeCell ref="AC33:AC36"/>
    <mergeCell ref="AF21:AF24"/>
    <mergeCell ref="I25:I28"/>
    <mergeCell ref="L25:L28"/>
    <mergeCell ref="S25:S28"/>
    <mergeCell ref="AF29:AF32"/>
    <mergeCell ref="I29:I32"/>
    <mergeCell ref="L29:L32"/>
    <mergeCell ref="S29:S32"/>
    <mergeCell ref="V29:V32"/>
    <mergeCell ref="AC29:AC32"/>
    <mergeCell ref="V25:V28"/>
    <mergeCell ref="AC25:AC28"/>
    <mergeCell ref="AF25:AF28"/>
    <mergeCell ref="I21:I24"/>
    <mergeCell ref="L21:L24"/>
    <mergeCell ref="S21:S24"/>
    <mergeCell ref="V21:V24"/>
    <mergeCell ref="AC21:AC24"/>
    <mergeCell ref="AF41:AF44"/>
    <mergeCell ref="I37:I40"/>
    <mergeCell ref="L37:L40"/>
    <mergeCell ref="S37:S40"/>
    <mergeCell ref="V37:V40"/>
    <mergeCell ref="AC37:AC40"/>
    <mergeCell ref="AF37:AF40"/>
    <mergeCell ref="I41:I44"/>
    <mergeCell ref="L41:L44"/>
    <mergeCell ref="S41:S44"/>
    <mergeCell ref="V41:V44"/>
    <mergeCell ref="AC41:AC44"/>
    <mergeCell ref="AF45:AF48"/>
    <mergeCell ref="I49:I52"/>
    <mergeCell ref="L49:L52"/>
    <mergeCell ref="S49:S52"/>
    <mergeCell ref="V49:V52"/>
    <mergeCell ref="AC49:AC52"/>
    <mergeCell ref="AF49:AF52"/>
    <mergeCell ref="I45:I48"/>
    <mergeCell ref="L45:L48"/>
    <mergeCell ref="S45:S48"/>
    <mergeCell ref="V45:V48"/>
    <mergeCell ref="AC45:AC48"/>
    <mergeCell ref="Q45:Q48"/>
    <mergeCell ref="Q49:Q52"/>
    <mergeCell ref="AA45:AA48"/>
    <mergeCell ref="AA49:AA52"/>
    <mergeCell ref="A56:D56"/>
    <mergeCell ref="G5:G8"/>
    <mergeCell ref="G9:G12"/>
    <mergeCell ref="G13:G16"/>
    <mergeCell ref="G17:G20"/>
    <mergeCell ref="G21:G24"/>
    <mergeCell ref="G25:G28"/>
    <mergeCell ref="G29:G32"/>
    <mergeCell ref="G33:G36"/>
    <mergeCell ref="G37:G40"/>
    <mergeCell ref="G41:G44"/>
    <mergeCell ref="G45:G48"/>
    <mergeCell ref="G49:G52"/>
    <mergeCell ref="AA25:AA28"/>
    <mergeCell ref="AA29:AA32"/>
    <mergeCell ref="AA33:AA36"/>
    <mergeCell ref="AA37:AA40"/>
    <mergeCell ref="AA41:AA44"/>
    <mergeCell ref="Q25:Q28"/>
    <mergeCell ref="Q29:Q32"/>
    <mergeCell ref="Q33:Q36"/>
    <mergeCell ref="Q37:Q40"/>
    <mergeCell ref="Q41:Q44"/>
    <mergeCell ref="U41:U44"/>
    <mergeCell ref="U45:U48"/>
    <mergeCell ref="U49:U52"/>
    <mergeCell ref="K25:K28"/>
    <mergeCell ref="K29:K32"/>
    <mergeCell ref="K33:K36"/>
    <mergeCell ref="K37:K40"/>
    <mergeCell ref="K41:K44"/>
    <mergeCell ref="K5:K8"/>
    <mergeCell ref="K9:K12"/>
    <mergeCell ref="K13:K16"/>
    <mergeCell ref="K17:K20"/>
    <mergeCell ref="K21:K24"/>
    <mergeCell ref="Q21:Q24"/>
    <mergeCell ref="AE45:AE48"/>
    <mergeCell ref="AE49:AE52"/>
    <mergeCell ref="F56:I56"/>
    <mergeCell ref="AE25:AE28"/>
    <mergeCell ref="AE29:AE32"/>
    <mergeCell ref="AE33:AE36"/>
    <mergeCell ref="AE37:AE40"/>
    <mergeCell ref="AE41:AE44"/>
    <mergeCell ref="AE5:AE8"/>
    <mergeCell ref="AE9:AE12"/>
    <mergeCell ref="AE13:AE16"/>
    <mergeCell ref="AE17:AE20"/>
    <mergeCell ref="AE21:AE24"/>
    <mergeCell ref="K45:K48"/>
    <mergeCell ref="K49:K52"/>
    <mergeCell ref="U5:U8"/>
    <mergeCell ref="U9:U12"/>
    <mergeCell ref="U13:U16"/>
    <mergeCell ref="U17:U20"/>
    <mergeCell ref="U21:U24"/>
    <mergeCell ref="U25:U28"/>
    <mergeCell ref="U29:U32"/>
    <mergeCell ref="U33:U36"/>
    <mergeCell ref="U37:U40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9681-94AE-4C79-8AF0-89BB9DCC2E9B}">
  <dimension ref="P12"/>
  <sheetViews>
    <sheetView workbookViewId="0">
      <selection activeCell="H14" sqref="H14"/>
    </sheetView>
  </sheetViews>
  <sheetFormatPr baseColWidth="10" defaultRowHeight="15" x14ac:dyDescent="0.25"/>
  <sheetData>
    <row r="12" spans="16:16" x14ac:dyDescent="0.25">
      <c r="P12" s="42" t="s">
        <v>15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Infos</vt:lpstr>
      <vt:lpstr>1.DL</vt:lpstr>
      <vt:lpstr>1.DL - Abb</vt:lpstr>
      <vt:lpstr>2.DL</vt:lpstr>
      <vt:lpstr>2.DL - Abb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Otting</dc:creator>
  <cp:lastModifiedBy>Jonas Otting</cp:lastModifiedBy>
  <dcterms:created xsi:type="dcterms:W3CDTF">2022-06-21T20:26:22Z</dcterms:created>
  <dcterms:modified xsi:type="dcterms:W3CDTF">2022-07-07T21:21:47Z</dcterms:modified>
</cp:coreProperties>
</file>