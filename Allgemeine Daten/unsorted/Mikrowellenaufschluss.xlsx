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Ludwig\Desktop\"/>
    </mc:Choice>
  </mc:AlternateContent>
  <bookViews>
    <workbookView xWindow="0" yWindow="0" windowWidth="7476" windowHeight="2808" activeTab="1"/>
  </bookViews>
  <sheets>
    <sheet name="Datenerhebung " sheetId="1" r:id="rId1"/>
    <sheet name="Daten Sortiert" sheetId="2" r:id="rId2"/>
  </sheets>
  <calcPr calcId="162913"/>
</workbook>
</file>

<file path=xl/calcChain.xml><?xml version="1.0" encoding="utf-8"?>
<calcChain xmlns="http://schemas.openxmlformats.org/spreadsheetml/2006/main">
  <c r="K91" i="1" l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90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4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2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90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47" i="1"/>
  <c r="J48" i="1"/>
  <c r="J49" i="1"/>
  <c r="J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2" i="1"/>
  <c r="I2" i="1"/>
  <c r="I91" i="1" l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90" i="1"/>
  <c r="H114" i="1"/>
  <c r="F114" i="1"/>
  <c r="D114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46" i="1"/>
  <c r="I3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I36" i="1"/>
  <c r="I37" i="1"/>
  <c r="I38" i="1"/>
  <c r="I39" i="1"/>
  <c r="I40" i="1"/>
  <c r="I41" i="1"/>
  <c r="I42" i="1"/>
  <c r="I43" i="1"/>
</calcChain>
</file>

<file path=xl/sharedStrings.xml><?xml version="1.0" encoding="utf-8"?>
<sst xmlns="http://schemas.openxmlformats.org/spreadsheetml/2006/main" count="530" uniqueCount="130">
  <si>
    <t>Labornummer</t>
  </si>
  <si>
    <t>Kodierung</t>
  </si>
  <si>
    <t>Einwaage in g</t>
  </si>
  <si>
    <t>Fe (mg/L)</t>
  </si>
  <si>
    <t>Zn (mg/L)</t>
  </si>
  <si>
    <t>Cd (mg/L)</t>
  </si>
  <si>
    <t>Fe (mg/100g TM)</t>
  </si>
  <si>
    <t>Zn (mg/100g Tm)</t>
  </si>
  <si>
    <t>Cd (mg/100g Tm)</t>
  </si>
  <si>
    <t>Aufschlusslösung (ml)</t>
  </si>
  <si>
    <t>H.Stiel 7.2</t>
  </si>
  <si>
    <t> </t>
  </si>
  <si>
    <t xml:space="preserve">Umrechnefaktor L --&gt; ml </t>
  </si>
  <si>
    <t>H.Blatt 4.3</t>
  </si>
  <si>
    <t>Faktor auf 100g</t>
  </si>
  <si>
    <t xml:space="preserve">H.Stiel 4.3 </t>
  </si>
  <si>
    <t>H.Blatt 6.4</t>
  </si>
  <si>
    <t>H.Stiel 6.4</t>
  </si>
  <si>
    <t xml:space="preserve">Fe </t>
  </si>
  <si>
    <t>Zn</t>
  </si>
  <si>
    <t>Cd</t>
  </si>
  <si>
    <t>H.Blatt 1.1</t>
  </si>
  <si>
    <t>Blindwert (mg/L)</t>
  </si>
  <si>
    <t>H.Stiel 1.1</t>
  </si>
  <si>
    <t>Blindwert2 (mg/L)</t>
  </si>
  <si>
    <t>H.Blatt 4.2</t>
  </si>
  <si>
    <t>Blindwert3 (mg/L)</t>
  </si>
  <si>
    <t>H.Stiel 4.2</t>
  </si>
  <si>
    <t>H.Blatt 1.3</t>
  </si>
  <si>
    <t>H.Stiel 1.3</t>
  </si>
  <si>
    <t>H.Blatt 6.3</t>
  </si>
  <si>
    <t>H.Stiel 6.3</t>
  </si>
  <si>
    <t>H.Blatt 4.1</t>
  </si>
  <si>
    <t>H.Stiel 4.1</t>
  </si>
  <si>
    <t>H.Blatt 2.1</t>
  </si>
  <si>
    <t>H. Stiel 2.1</t>
  </si>
  <si>
    <t>H Stiel 1.4</t>
  </si>
  <si>
    <t>H. Blatt 1.4</t>
  </si>
  <si>
    <t>H. Blatt 3.2</t>
  </si>
  <si>
    <t>H. Stiel 3.2</t>
  </si>
  <si>
    <t>H.Blatt 4.4</t>
  </si>
  <si>
    <t>H. Stiel 4.4</t>
  </si>
  <si>
    <t>H. Blatt 6.2</t>
  </si>
  <si>
    <t>H. Stiel 6.2</t>
  </si>
  <si>
    <t>H. Blatt 5.3</t>
  </si>
  <si>
    <t>H.Stiel 5.3</t>
  </si>
  <si>
    <t>H.Blatt 3.3</t>
  </si>
  <si>
    <t>H. Stiel 3.3</t>
  </si>
  <si>
    <t>H.Blatt 6.1</t>
  </si>
  <si>
    <t>H. Stiel 2.2</t>
  </si>
  <si>
    <t>H.Stiel 1.2</t>
  </si>
  <si>
    <t>H. Blatt 7.2</t>
  </si>
  <si>
    <t>H Stiel 6.1</t>
  </si>
  <si>
    <t>H.Blatt 3.1</t>
  </si>
  <si>
    <t>H.Stiel 3.1</t>
  </si>
  <si>
    <t>H Blatt 3.4</t>
  </si>
  <si>
    <t>H Stiel 3.4</t>
  </si>
  <si>
    <t>H Blatt 2.2</t>
  </si>
  <si>
    <t>Hblatt 2.3</t>
  </si>
  <si>
    <t>H Stiel 2.3</t>
  </si>
  <si>
    <t>H. Blatt 1.2</t>
  </si>
  <si>
    <t>H. Probe IPE984 Spinat</t>
  </si>
  <si>
    <t>Blindwert</t>
  </si>
  <si>
    <t xml:space="preserve"> &lt; </t>
  </si>
  <si>
    <t>H.Blatt 2.4</t>
  </si>
  <si>
    <t>H stiel 2.4</t>
  </si>
  <si>
    <t>H Blatt 5.1</t>
  </si>
  <si>
    <t>H Stiel 5.1</t>
  </si>
  <si>
    <t>H. Blatt 5.2</t>
  </si>
  <si>
    <t>H. Stiel 5.2</t>
  </si>
  <si>
    <t>H. Blatt 5.4</t>
  </si>
  <si>
    <t>H. Stiel 5.4</t>
  </si>
  <si>
    <t>H. Blatt 7.1</t>
  </si>
  <si>
    <t>H. Stiel 7.1</t>
  </si>
  <si>
    <t>H. Blatt 7.3</t>
  </si>
  <si>
    <t>H. Stiel 7.3</t>
  </si>
  <si>
    <t>H. blatt 7.4</t>
  </si>
  <si>
    <t>H. Stiel 7.4</t>
  </si>
  <si>
    <t>A.1.3.a</t>
  </si>
  <si>
    <t>B.6.3.b</t>
  </si>
  <si>
    <t>B.6.3.a</t>
  </si>
  <si>
    <t>B.3.3.b</t>
  </si>
  <si>
    <t>B.3.3.a</t>
  </si>
  <si>
    <t>B.5.3.b</t>
  </si>
  <si>
    <t>B.5.3.a</t>
  </si>
  <si>
    <t>B.8.3.b</t>
  </si>
  <si>
    <t>B.8.3.a</t>
  </si>
  <si>
    <t>B.1.3.a</t>
  </si>
  <si>
    <t>B.1.3.b</t>
  </si>
  <si>
    <t>B.4.3.b</t>
  </si>
  <si>
    <t>B.4.3.a</t>
  </si>
  <si>
    <t>B.7.3.a</t>
  </si>
  <si>
    <t>B.7.3.b</t>
  </si>
  <si>
    <t>B.10.3.a</t>
  </si>
  <si>
    <t>A.6.3.b</t>
  </si>
  <si>
    <t>A.6.3.a</t>
  </si>
  <si>
    <t>A.7.3.b</t>
  </si>
  <si>
    <t>A.9.3.a</t>
  </si>
  <si>
    <t>A.12.3.a</t>
  </si>
  <si>
    <t>A.9.3.b</t>
  </si>
  <si>
    <t>A.1.3.b</t>
  </si>
  <si>
    <t>A.11.3.a</t>
  </si>
  <si>
    <t>B.9.3.b</t>
  </si>
  <si>
    <t>B.10.3.b</t>
  </si>
  <si>
    <t>A.4.3.b</t>
  </si>
  <si>
    <t>A.11.3.b</t>
  </si>
  <si>
    <t>IPE984 Spinat</t>
  </si>
  <si>
    <t>A.2.3.b</t>
  </si>
  <si>
    <t>A.2.3.a</t>
  </si>
  <si>
    <t>A.12.3.b</t>
  </si>
  <si>
    <t>A.8.3.b</t>
  </si>
  <si>
    <t>A.10.3.b</t>
  </si>
  <si>
    <t>B.9.3.a</t>
  </si>
  <si>
    <t>A.7.3.a</t>
  </si>
  <si>
    <t>A.3.3.a</t>
  </si>
  <si>
    <t>A.4.3.a</t>
  </si>
  <si>
    <t>B.11.3.a</t>
  </si>
  <si>
    <t>B.11.3.b</t>
  </si>
  <si>
    <t>A.10.3.a</t>
  </si>
  <si>
    <t>B.2.3.b</t>
  </si>
  <si>
    <t>B.12.3.a</t>
  </si>
  <si>
    <t>B.12.3.b</t>
  </si>
  <si>
    <t>A.3.3.b</t>
  </si>
  <si>
    <t>B.2.3.a</t>
  </si>
  <si>
    <t>A.5.3.b</t>
  </si>
  <si>
    <t>A.8.3.a</t>
  </si>
  <si>
    <t>A.5.3.a</t>
  </si>
  <si>
    <t>H.blatt 2.3</t>
  </si>
  <si>
    <t>H.Stiel 2.3</t>
  </si>
  <si>
    <t>H. Blatt 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</si>
</sst>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4"/>
  <sheetViews>
    <sheetView zoomScale="120" zoomScaleNormal="120" workbookViewId="0">
      <selection activeCell="A46" sqref="A46:K59"/>
    </sheetView>
  </sheetViews>
  <sheetFormatPr baseColWidth="10" defaultColWidth="8.6640625" defaultRowHeight="14.4" x14ac:dyDescent="0.3"/>
  <cols>
    <col min="2" max="2" width="10.33203125" customWidth="1"/>
    <col min="3" max="4" width="12.5546875" customWidth="1"/>
    <col min="9" max="9" width="14.5546875" style="2" customWidth="1"/>
    <col min="10" max="10" width="15.44140625" customWidth="1"/>
    <col min="11" max="11" width="15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s="2" t="s">
        <v>6</v>
      </c>
      <c r="J1" t="s">
        <v>7</v>
      </c>
      <c r="K1" t="s">
        <v>8</v>
      </c>
      <c r="O1" t="s">
        <v>9</v>
      </c>
      <c r="R1">
        <v>15</v>
      </c>
    </row>
    <row r="2" spans="1:21" x14ac:dyDescent="0.3">
      <c r="A2">
        <v>1</v>
      </c>
      <c r="B2" t="s">
        <v>10</v>
      </c>
      <c r="C2" s="2">
        <v>0.30709999999999998</v>
      </c>
      <c r="D2" s="1">
        <v>1.8</v>
      </c>
      <c r="E2" s="1" t="s">
        <v>11</v>
      </c>
      <c r="F2" s="1">
        <v>1.7</v>
      </c>
      <c r="G2" s="1" t="s">
        <v>11</v>
      </c>
      <c r="H2" s="1">
        <v>1.4E-2</v>
      </c>
      <c r="I2" s="2">
        <f t="shared" ref="I2:I43" si="0">(D2-$Q$7)/$R$2*$R$1/C2*$R$3</f>
        <v>8.728427222403127</v>
      </c>
      <c r="J2" s="2">
        <f>(F2-$R$7)/$R$2*$R$1/C2*$R$3</f>
        <v>8.2546401823510251</v>
      </c>
      <c r="K2" s="2">
        <f>(H2-$S$7)/$R$2*$R$1/C2*$R$3</f>
        <v>5.3728427222403126E-2</v>
      </c>
      <c r="O2" t="s">
        <v>12</v>
      </c>
      <c r="R2">
        <v>1000</v>
      </c>
    </row>
    <row r="3" spans="1:21" x14ac:dyDescent="0.3">
      <c r="A3">
        <v>2</v>
      </c>
      <c r="B3" t="s">
        <v>13</v>
      </c>
      <c r="C3" s="2">
        <v>0.33129999999999998</v>
      </c>
      <c r="D3" s="1">
        <v>5.9</v>
      </c>
      <c r="E3" s="1" t="s">
        <v>11</v>
      </c>
      <c r="F3" s="1">
        <v>3.6</v>
      </c>
      <c r="G3" s="1" t="s">
        <v>11</v>
      </c>
      <c r="H3" s="1">
        <v>3.1E-2</v>
      </c>
      <c r="I3" s="2">
        <f t="shared" si="0"/>
        <v>26.654089948686995</v>
      </c>
      <c r="J3" s="2">
        <f t="shared" ref="J3:J43" si="1">(F3-$R$7)/$R$2*$R$1/C3*$R$3</f>
        <v>16.254150316933295</v>
      </c>
      <c r="K3" s="2">
        <f t="shared" ref="K3:K43" si="2">(H3-$S$7)/$R$2*$R$1/C3*$R$3</f>
        <v>0.12677331723513433</v>
      </c>
      <c r="O3" t="s">
        <v>14</v>
      </c>
      <c r="R3">
        <v>100</v>
      </c>
    </row>
    <row r="4" spans="1:21" x14ac:dyDescent="0.3">
      <c r="A4">
        <v>3</v>
      </c>
      <c r="B4" t="s">
        <v>15</v>
      </c>
      <c r="C4" s="2">
        <v>0.32700000000000001</v>
      </c>
      <c r="D4" s="1">
        <v>2.2000000000000002</v>
      </c>
      <c r="E4" s="1" t="s">
        <v>11</v>
      </c>
      <c r="F4" s="1">
        <v>2.2000000000000002</v>
      </c>
      <c r="G4" s="1" t="s">
        <v>11</v>
      </c>
      <c r="H4" s="1">
        <v>1.4999999999999999E-2</v>
      </c>
      <c r="I4" s="2">
        <f t="shared" si="0"/>
        <v>10.032110091743119</v>
      </c>
      <c r="J4" s="2">
        <f t="shared" si="1"/>
        <v>10.045871559633031</v>
      </c>
      <c r="K4" s="2">
        <f t="shared" si="2"/>
        <v>5.5045871559633031E-2</v>
      </c>
    </row>
    <row r="5" spans="1:21" x14ac:dyDescent="0.3">
      <c r="A5">
        <v>4</v>
      </c>
      <c r="B5" t="s">
        <v>16</v>
      </c>
      <c r="C5" s="2">
        <v>0.35489999999999999</v>
      </c>
      <c r="D5" s="1">
        <v>5.9</v>
      </c>
      <c r="E5" s="1" t="s">
        <v>11</v>
      </c>
      <c r="F5" s="1">
        <v>2.8</v>
      </c>
      <c r="G5" s="1" t="s">
        <v>11</v>
      </c>
      <c r="H5" s="1">
        <v>4.2999999999999997E-2</v>
      </c>
      <c r="I5" s="2">
        <f t="shared" si="0"/>
        <v>24.88165680473373</v>
      </c>
      <c r="J5" s="2">
        <f t="shared" si="1"/>
        <v>11.792054099746407</v>
      </c>
      <c r="K5" s="2">
        <f t="shared" si="2"/>
        <v>0.16906170752324598</v>
      </c>
    </row>
    <row r="6" spans="1:21" x14ac:dyDescent="0.3">
      <c r="A6">
        <v>5</v>
      </c>
      <c r="B6" t="s">
        <v>17</v>
      </c>
      <c r="C6" s="2">
        <v>0.31590000000000001</v>
      </c>
      <c r="D6" s="1">
        <v>1.4</v>
      </c>
      <c r="E6" s="1" t="s">
        <v>11</v>
      </c>
      <c r="F6" s="1">
        <v>1.8</v>
      </c>
      <c r="G6" s="1" t="s">
        <v>11</v>
      </c>
      <c r="H6" s="1">
        <v>2.3E-2</v>
      </c>
      <c r="I6" s="2">
        <f t="shared" si="0"/>
        <v>6.5859449192782531</v>
      </c>
      <c r="J6" s="2">
        <f t="shared" si="1"/>
        <v>8.4995251661918338</v>
      </c>
      <c r="K6" s="2">
        <f t="shared" si="2"/>
        <v>9.4966761633428307E-2</v>
      </c>
      <c r="Q6" t="s">
        <v>18</v>
      </c>
      <c r="R6" t="s">
        <v>19</v>
      </c>
      <c r="S6" t="s">
        <v>20</v>
      </c>
    </row>
    <row r="7" spans="1:21" x14ac:dyDescent="0.3">
      <c r="A7">
        <v>6</v>
      </c>
      <c r="B7" t="s">
        <v>21</v>
      </c>
      <c r="C7" s="2">
        <v>0.35410000000000003</v>
      </c>
      <c r="D7" s="1">
        <v>4</v>
      </c>
      <c r="E7" s="1" t="s">
        <v>11</v>
      </c>
      <c r="F7" s="1">
        <v>2.2000000000000002</v>
      </c>
      <c r="G7" s="1" t="s">
        <v>11</v>
      </c>
      <c r="H7" s="1">
        <v>3.3000000000000002E-2</v>
      </c>
      <c r="I7" s="2">
        <f t="shared" si="0"/>
        <v>16.889296808811068</v>
      </c>
      <c r="J7" s="2">
        <f t="shared" si="1"/>
        <v>9.277040384072297</v>
      </c>
      <c r="K7" s="2">
        <f t="shared" si="2"/>
        <v>0.12708274498729172</v>
      </c>
      <c r="O7" t="s">
        <v>22</v>
      </c>
      <c r="Q7" s="1">
        <v>1.2999999999999999E-2</v>
      </c>
      <c r="R7" s="1">
        <v>0.01</v>
      </c>
      <c r="S7" s="1">
        <v>3.0000000000000001E-3</v>
      </c>
      <c r="T7" s="1"/>
      <c r="U7" s="1"/>
    </row>
    <row r="8" spans="1:21" x14ac:dyDescent="0.3">
      <c r="A8">
        <v>7</v>
      </c>
      <c r="B8" t="s">
        <v>23</v>
      </c>
      <c r="C8" s="2">
        <v>0.33700000000000002</v>
      </c>
      <c r="D8" s="1">
        <v>1.8</v>
      </c>
      <c r="E8" s="1" t="s">
        <v>11</v>
      </c>
      <c r="F8" s="1">
        <v>1.8</v>
      </c>
      <c r="G8" s="1" t="s">
        <v>11</v>
      </c>
      <c r="H8" s="1">
        <v>1.6E-2</v>
      </c>
      <c r="I8" s="2">
        <f t="shared" si="0"/>
        <v>7.9540059347181016</v>
      </c>
      <c r="J8" s="2">
        <f t="shared" si="1"/>
        <v>7.9673590504451042</v>
      </c>
      <c r="K8" s="2">
        <f t="shared" si="2"/>
        <v>5.7863501483679532E-2</v>
      </c>
      <c r="O8" t="s">
        <v>24</v>
      </c>
      <c r="Q8" s="1">
        <v>1.2999999999999999E-2</v>
      </c>
      <c r="R8" s="1">
        <v>0.01</v>
      </c>
      <c r="S8" s="1">
        <v>3.0000000000000001E-3</v>
      </c>
      <c r="T8" s="1"/>
      <c r="U8" s="1"/>
    </row>
    <row r="9" spans="1:21" x14ac:dyDescent="0.3">
      <c r="A9">
        <v>8</v>
      </c>
      <c r="B9" t="s">
        <v>25</v>
      </c>
      <c r="C9" s="2">
        <v>0.35570000000000002</v>
      </c>
      <c r="D9" s="1">
        <v>7</v>
      </c>
      <c r="E9" s="1" t="s">
        <v>11</v>
      </c>
      <c r="F9" s="1">
        <v>3.1</v>
      </c>
      <c r="G9" s="1" t="s">
        <v>11</v>
      </c>
      <c r="H9" s="1">
        <v>2.8000000000000001E-2</v>
      </c>
      <c r="I9" s="2">
        <f t="shared" si="0"/>
        <v>29.464436322743886</v>
      </c>
      <c r="J9" s="2">
        <f t="shared" si="1"/>
        <v>13.030643800955863</v>
      </c>
      <c r="K9" s="2">
        <f t="shared" si="2"/>
        <v>0.10542592071970762</v>
      </c>
      <c r="O9" t="s">
        <v>26</v>
      </c>
      <c r="Q9" s="3">
        <v>2.5000000000000001E-2</v>
      </c>
      <c r="R9">
        <v>0.01</v>
      </c>
      <c r="S9">
        <v>3.0000000000000001E-3</v>
      </c>
    </row>
    <row r="10" spans="1:21" x14ac:dyDescent="0.3">
      <c r="A10">
        <v>9</v>
      </c>
      <c r="B10" t="s">
        <v>27</v>
      </c>
      <c r="C10" s="2">
        <v>0.31990000000000002</v>
      </c>
      <c r="D10" s="1">
        <v>1.9</v>
      </c>
      <c r="E10" s="1" t="s">
        <v>11</v>
      </c>
      <c r="F10" s="1">
        <v>2.2000000000000002</v>
      </c>
      <c r="G10" s="1" t="s">
        <v>11</v>
      </c>
      <c r="H10" s="1">
        <v>1.6E-2</v>
      </c>
      <c r="I10" s="2">
        <f t="shared" si="0"/>
        <v>8.848077524226321</v>
      </c>
      <c r="J10" s="2">
        <f t="shared" si="1"/>
        <v>10.268834010628325</v>
      </c>
      <c r="K10" s="2">
        <f t="shared" si="2"/>
        <v>6.0956548921537984E-2</v>
      </c>
    </row>
    <row r="11" spans="1:21" x14ac:dyDescent="0.3">
      <c r="A11">
        <v>10</v>
      </c>
      <c r="B11" t="s">
        <v>28</v>
      </c>
      <c r="C11" s="2">
        <v>0.3453</v>
      </c>
      <c r="D11" s="1">
        <v>2.9</v>
      </c>
      <c r="E11" s="1" t="s">
        <v>11</v>
      </c>
      <c r="F11" s="1">
        <v>3</v>
      </c>
      <c r="G11" s="1" t="s">
        <v>11</v>
      </c>
      <c r="H11" s="1">
        <v>3.1E-2</v>
      </c>
      <c r="I11" s="2">
        <f t="shared" si="0"/>
        <v>12.541268462206775</v>
      </c>
      <c r="J11" s="2">
        <f t="shared" si="1"/>
        <v>12.988705473501302</v>
      </c>
      <c r="K11" s="2">
        <f t="shared" si="2"/>
        <v>0.12163336229365769</v>
      </c>
    </row>
    <row r="12" spans="1:21" x14ac:dyDescent="0.3">
      <c r="A12">
        <v>11</v>
      </c>
      <c r="B12" t="s">
        <v>29</v>
      </c>
      <c r="C12" s="2">
        <v>0.36940000000000001</v>
      </c>
      <c r="D12" s="1">
        <v>1.8</v>
      </c>
      <c r="E12" s="1" t="s">
        <v>11</v>
      </c>
      <c r="F12" s="1">
        <v>2.2000000000000002</v>
      </c>
      <c r="G12" s="1" t="s">
        <v>11</v>
      </c>
      <c r="H12" s="1">
        <v>1.7000000000000001E-2</v>
      </c>
      <c r="I12" s="2">
        <f t="shared" si="0"/>
        <v>7.2563616675690321</v>
      </c>
      <c r="J12" s="2">
        <f t="shared" si="1"/>
        <v>8.8927991337303762</v>
      </c>
      <c r="K12" s="2">
        <f t="shared" si="2"/>
        <v>5.6848944233892799E-2</v>
      </c>
    </row>
    <row r="13" spans="1:21" x14ac:dyDescent="0.3">
      <c r="A13">
        <v>12</v>
      </c>
      <c r="B13" t="s">
        <v>30</v>
      </c>
      <c r="C13" s="2">
        <v>0.3256</v>
      </c>
      <c r="D13" s="1">
        <v>6.3</v>
      </c>
      <c r="E13" s="1" t="s">
        <v>11</v>
      </c>
      <c r="F13" s="1">
        <v>3.6</v>
      </c>
      <c r="G13" s="1" t="s">
        <v>11</v>
      </c>
      <c r="H13" s="1">
        <v>2.9000000000000001E-2</v>
      </c>
      <c r="I13" s="2">
        <f t="shared" si="0"/>
        <v>28.96345208845209</v>
      </c>
      <c r="J13" s="2">
        <f t="shared" si="1"/>
        <v>16.538697788697789</v>
      </c>
      <c r="K13" s="2">
        <f t="shared" si="2"/>
        <v>0.11977886977886978</v>
      </c>
    </row>
    <row r="14" spans="1:21" x14ac:dyDescent="0.3">
      <c r="A14">
        <v>13</v>
      </c>
      <c r="B14" t="s">
        <v>31</v>
      </c>
      <c r="C14" s="2">
        <v>0.35189999999999999</v>
      </c>
      <c r="D14" s="1">
        <v>2.4</v>
      </c>
      <c r="E14" s="1" t="s">
        <v>11</v>
      </c>
      <c r="F14" s="1">
        <v>2.5</v>
      </c>
      <c r="G14" s="1" t="s">
        <v>11</v>
      </c>
      <c r="H14" s="1">
        <v>1.7000000000000001E-2</v>
      </c>
      <c r="I14" s="2">
        <f t="shared" si="0"/>
        <v>10.17476555839727</v>
      </c>
      <c r="J14" s="2">
        <f t="shared" si="1"/>
        <v>10.613810741687981</v>
      </c>
      <c r="K14" s="2">
        <f t="shared" si="2"/>
        <v>5.9676044330775793E-2</v>
      </c>
    </row>
    <row r="15" spans="1:21" x14ac:dyDescent="0.3">
      <c r="A15">
        <v>14</v>
      </c>
      <c r="B15" t="s">
        <v>32</v>
      </c>
      <c r="C15" s="2">
        <v>0.31480000000000002</v>
      </c>
      <c r="D15" s="1">
        <v>7</v>
      </c>
      <c r="E15" s="1" t="s">
        <v>11</v>
      </c>
      <c r="F15" s="1">
        <v>1.8</v>
      </c>
      <c r="G15" s="1" t="s">
        <v>11</v>
      </c>
      <c r="H15" s="1">
        <v>2.5999999999999999E-2</v>
      </c>
      <c r="I15" s="2">
        <f t="shared" si="0"/>
        <v>33.292566709021607</v>
      </c>
      <c r="J15" s="2">
        <f t="shared" si="1"/>
        <v>8.5292249047013975</v>
      </c>
      <c r="K15" s="2">
        <f t="shared" si="2"/>
        <v>0.1095933926302414</v>
      </c>
    </row>
    <row r="16" spans="1:21" x14ac:dyDescent="0.3">
      <c r="A16">
        <v>15</v>
      </c>
      <c r="B16" t="s">
        <v>33</v>
      </c>
      <c r="C16" s="2">
        <v>0.31359999999999999</v>
      </c>
      <c r="D16" s="1">
        <v>2.6</v>
      </c>
      <c r="E16" s="1" t="s">
        <v>11</v>
      </c>
      <c r="F16" s="1">
        <v>1.4</v>
      </c>
      <c r="G16" s="1" t="s">
        <v>11</v>
      </c>
      <c r="H16" s="1">
        <v>1.4999999999999999E-2</v>
      </c>
      <c r="I16" s="2">
        <f t="shared" si="0"/>
        <v>12.374043367346941</v>
      </c>
      <c r="J16" s="2">
        <f t="shared" si="1"/>
        <v>6.6485969387755111</v>
      </c>
      <c r="K16" s="2">
        <f t="shared" si="2"/>
        <v>5.7397959183673478E-2</v>
      </c>
    </row>
    <row r="17" spans="1:11" x14ac:dyDescent="0.3">
      <c r="A17">
        <v>16</v>
      </c>
      <c r="B17" t="s">
        <v>34</v>
      </c>
      <c r="C17" s="2">
        <v>0.30130000000000001</v>
      </c>
      <c r="D17" s="1">
        <v>4.7</v>
      </c>
      <c r="E17" s="1" t="s">
        <v>11</v>
      </c>
      <c r="F17" s="1">
        <v>2.1</v>
      </c>
      <c r="G17" s="1" t="s">
        <v>11</v>
      </c>
      <c r="H17" s="1">
        <v>2.5000000000000001E-2</v>
      </c>
      <c r="I17" s="2">
        <f t="shared" si="0"/>
        <v>23.333886491868572</v>
      </c>
      <c r="J17" s="2">
        <f t="shared" si="1"/>
        <v>10.404912047792898</v>
      </c>
      <c r="K17" s="2">
        <f t="shared" si="2"/>
        <v>0.10952538997676736</v>
      </c>
    </row>
    <row r="18" spans="1:11" x14ac:dyDescent="0.3">
      <c r="A18">
        <v>17</v>
      </c>
      <c r="B18" t="s">
        <v>35</v>
      </c>
      <c r="C18" s="2">
        <v>0.3009</v>
      </c>
      <c r="D18" s="1">
        <v>1.6</v>
      </c>
      <c r="E18" s="1" t="s">
        <v>11</v>
      </c>
      <c r="F18" s="1">
        <v>1.5</v>
      </c>
      <c r="G18" s="1" t="s">
        <v>11</v>
      </c>
      <c r="H18" s="1">
        <v>1.2999999999999999E-2</v>
      </c>
      <c r="I18" s="2">
        <f t="shared" si="0"/>
        <v>7.9112662013958124</v>
      </c>
      <c r="J18" s="2">
        <f t="shared" si="1"/>
        <v>7.4277168494516461</v>
      </c>
      <c r="K18" s="2">
        <f t="shared" si="2"/>
        <v>4.9850448654037885E-2</v>
      </c>
    </row>
    <row r="19" spans="1:11" x14ac:dyDescent="0.3">
      <c r="A19">
        <v>18</v>
      </c>
      <c r="B19" t="s">
        <v>36</v>
      </c>
      <c r="C19" s="2">
        <v>0.38529999999999998</v>
      </c>
      <c r="D19" s="1">
        <v>1.4</v>
      </c>
      <c r="E19" s="1" t="s">
        <v>11</v>
      </c>
      <c r="F19" s="1">
        <v>1.9</v>
      </c>
      <c r="G19" s="1" t="s">
        <v>11</v>
      </c>
      <c r="H19" s="1">
        <v>2.1999999999999999E-2</v>
      </c>
      <c r="I19" s="2">
        <f t="shared" si="0"/>
        <v>5.3996885543732169</v>
      </c>
      <c r="J19" s="2">
        <f t="shared" si="1"/>
        <v>7.3579029327796528</v>
      </c>
      <c r="K19" s="2">
        <f t="shared" si="2"/>
        <v>7.3968336361276935E-2</v>
      </c>
    </row>
    <row r="20" spans="1:11" x14ac:dyDescent="0.3">
      <c r="A20">
        <v>19</v>
      </c>
      <c r="B20" t="s">
        <v>37</v>
      </c>
      <c r="C20" s="2">
        <v>0.3276</v>
      </c>
      <c r="D20" s="1">
        <v>2.2999999999999998</v>
      </c>
      <c r="E20" s="1" t="s">
        <v>11</v>
      </c>
      <c r="F20" s="1">
        <v>2.4</v>
      </c>
      <c r="G20" s="1" t="s">
        <v>11</v>
      </c>
      <c r="H20" s="1">
        <v>3.5999999999999997E-2</v>
      </c>
      <c r="I20" s="2">
        <f t="shared" si="0"/>
        <v>10.471611721611723</v>
      </c>
      <c r="J20" s="2">
        <f t="shared" si="1"/>
        <v>10.943223443223443</v>
      </c>
      <c r="K20" s="2">
        <f t="shared" si="2"/>
        <v>0.15109890109890106</v>
      </c>
    </row>
    <row r="21" spans="1:11" x14ac:dyDescent="0.3">
      <c r="A21">
        <v>20</v>
      </c>
      <c r="B21" t="s">
        <v>38</v>
      </c>
      <c r="C21" s="2">
        <v>0.3417</v>
      </c>
      <c r="D21" s="1">
        <v>6.1</v>
      </c>
      <c r="E21" s="1" t="s">
        <v>11</v>
      </c>
      <c r="F21" s="1">
        <v>3.5</v>
      </c>
      <c r="G21" s="1" t="s">
        <v>11</v>
      </c>
      <c r="H21" s="1">
        <v>3.1E-2</v>
      </c>
      <c r="I21" s="2">
        <f t="shared" si="0"/>
        <v>26.720807726075503</v>
      </c>
      <c r="J21" s="2">
        <f t="shared" si="1"/>
        <v>15.320456540825287</v>
      </c>
      <c r="K21" s="2">
        <f t="shared" si="2"/>
        <v>0.12291483757682177</v>
      </c>
    </row>
    <row r="22" spans="1:11" x14ac:dyDescent="0.3">
      <c r="A22">
        <v>21</v>
      </c>
      <c r="B22" t="s">
        <v>39</v>
      </c>
      <c r="C22" s="2">
        <v>0.31879999999999997</v>
      </c>
      <c r="D22" s="1">
        <v>1.8</v>
      </c>
      <c r="E22" s="1" t="s">
        <v>11</v>
      </c>
      <c r="F22" s="1">
        <v>2.2999999999999998</v>
      </c>
      <c r="G22" s="1" t="s">
        <v>11</v>
      </c>
      <c r="H22" s="1">
        <v>1.7000000000000001E-2</v>
      </c>
      <c r="I22" s="2">
        <f t="shared" si="0"/>
        <v>8.4080928481806794</v>
      </c>
      <c r="J22" s="2">
        <f t="shared" si="1"/>
        <v>10.774780426599749</v>
      </c>
      <c r="K22" s="2">
        <f t="shared" si="2"/>
        <v>6.5872020075282312E-2</v>
      </c>
    </row>
    <row r="23" spans="1:11" x14ac:dyDescent="0.3">
      <c r="A23">
        <v>22</v>
      </c>
      <c r="B23" t="s">
        <v>40</v>
      </c>
      <c r="C23" s="2">
        <v>0.3216</v>
      </c>
      <c r="D23" s="1">
        <v>5.9</v>
      </c>
      <c r="E23" s="1" t="s">
        <v>11</v>
      </c>
      <c r="F23" s="1">
        <v>2.2999999999999998</v>
      </c>
      <c r="G23" s="1" t="s">
        <v>11</v>
      </c>
      <c r="H23" s="1">
        <v>3.4000000000000002E-2</v>
      </c>
      <c r="I23" s="2">
        <f t="shared" si="0"/>
        <v>27.458022388059707</v>
      </c>
      <c r="J23" s="2">
        <f t="shared" si="1"/>
        <v>10.680970149253731</v>
      </c>
      <c r="K23" s="2">
        <f t="shared" si="2"/>
        <v>0.14458955223880599</v>
      </c>
    </row>
    <row r="24" spans="1:11" x14ac:dyDescent="0.3">
      <c r="A24">
        <v>23</v>
      </c>
      <c r="B24" t="s">
        <v>41</v>
      </c>
      <c r="C24" s="2">
        <v>0.33479999999999999</v>
      </c>
      <c r="D24" s="1">
        <v>2.5</v>
      </c>
      <c r="E24" s="1" t="s">
        <v>11</v>
      </c>
      <c r="F24" s="1">
        <v>1.8</v>
      </c>
      <c r="G24" s="1" t="s">
        <v>11</v>
      </c>
      <c r="H24" s="1">
        <v>2.1999999999999999E-2</v>
      </c>
      <c r="I24" s="2">
        <f t="shared" si="0"/>
        <v>11.14247311827957</v>
      </c>
      <c r="J24" s="2">
        <f t="shared" si="1"/>
        <v>8.0197132616487465</v>
      </c>
      <c r="K24" s="2">
        <f t="shared" si="2"/>
        <v>8.5125448028673834E-2</v>
      </c>
    </row>
    <row r="25" spans="1:11" x14ac:dyDescent="0.3">
      <c r="A25">
        <v>24</v>
      </c>
      <c r="B25" t="s">
        <v>42</v>
      </c>
      <c r="C25" s="2">
        <v>0.30869999999999997</v>
      </c>
      <c r="D25" s="1">
        <v>6.6</v>
      </c>
      <c r="E25" s="1" t="s">
        <v>11</v>
      </c>
      <c r="F25" s="1">
        <v>2.6</v>
      </c>
      <c r="G25" s="1" t="s">
        <v>11</v>
      </c>
      <c r="H25" s="1">
        <v>3.1E-2</v>
      </c>
      <c r="I25" s="2">
        <f t="shared" si="0"/>
        <v>32.006802721088441</v>
      </c>
      <c r="J25" s="2">
        <f t="shared" si="1"/>
        <v>12.585034013605444</v>
      </c>
      <c r="K25" s="2">
        <f t="shared" si="2"/>
        <v>0.1360544217687075</v>
      </c>
    </row>
    <row r="26" spans="1:11" x14ac:dyDescent="0.3">
      <c r="A26">
        <v>25</v>
      </c>
      <c r="B26" t="s">
        <v>43</v>
      </c>
      <c r="C26" s="2">
        <v>0.31090000000000001</v>
      </c>
      <c r="D26" s="1">
        <v>1.6</v>
      </c>
      <c r="E26" s="1" t="s">
        <v>11</v>
      </c>
      <c r="F26" s="1">
        <v>1.9</v>
      </c>
      <c r="G26" s="1" t="s">
        <v>11</v>
      </c>
      <c r="H26" s="1">
        <v>1.7000000000000001E-2</v>
      </c>
      <c r="I26" s="2">
        <f t="shared" si="0"/>
        <v>7.6568028304921194</v>
      </c>
      <c r="J26" s="2">
        <f t="shared" si="1"/>
        <v>9.1186876809263424</v>
      </c>
      <c r="K26" s="2">
        <f t="shared" si="2"/>
        <v>6.7545834673528468E-2</v>
      </c>
    </row>
    <row r="27" spans="1:11" x14ac:dyDescent="0.3">
      <c r="A27">
        <v>26</v>
      </c>
      <c r="B27" t="s">
        <v>44</v>
      </c>
      <c r="C27" s="2">
        <v>0.32069999999999999</v>
      </c>
      <c r="D27" s="1">
        <v>4.3</v>
      </c>
      <c r="E27" s="1" t="s">
        <v>11</v>
      </c>
      <c r="F27" s="1">
        <v>3.5</v>
      </c>
      <c r="G27" s="1" t="s">
        <v>11</v>
      </c>
      <c r="H27" s="1">
        <v>0.03</v>
      </c>
      <c r="I27" s="2">
        <f t="shared" si="0"/>
        <v>20.051449953227316</v>
      </c>
      <c r="J27" s="2">
        <f t="shared" si="1"/>
        <v>16.323666978484567</v>
      </c>
      <c r="K27" s="2">
        <f t="shared" si="2"/>
        <v>0.12628624883068287</v>
      </c>
    </row>
    <row r="28" spans="1:11" x14ac:dyDescent="0.3">
      <c r="A28">
        <v>27</v>
      </c>
      <c r="B28" t="s">
        <v>45</v>
      </c>
      <c r="C28" s="2">
        <v>0.35859999999999997</v>
      </c>
      <c r="D28" s="1">
        <v>3.6</v>
      </c>
      <c r="E28" s="1" t="s">
        <v>11</v>
      </c>
      <c r="F28" s="1">
        <v>3.4</v>
      </c>
      <c r="G28" s="1" t="s">
        <v>11</v>
      </c>
      <c r="H28" s="1">
        <v>0.02</v>
      </c>
      <c r="I28" s="2">
        <f t="shared" si="0"/>
        <v>15.004182933630789</v>
      </c>
      <c r="J28" s="2">
        <f t="shared" si="1"/>
        <v>14.180145008365869</v>
      </c>
      <c r="K28" s="2">
        <f t="shared" si="2"/>
        <v>7.1109871723368662E-2</v>
      </c>
    </row>
    <row r="29" spans="1:11" x14ac:dyDescent="0.3">
      <c r="A29">
        <v>28</v>
      </c>
      <c r="B29" t="s">
        <v>46</v>
      </c>
      <c r="C29" s="2">
        <v>0.32190000000000002</v>
      </c>
      <c r="D29" s="1">
        <v>4.7</v>
      </c>
      <c r="E29" s="1" t="s">
        <v>11</v>
      </c>
      <c r="F29" s="1">
        <v>3.2</v>
      </c>
      <c r="G29" s="1" t="s">
        <v>11</v>
      </c>
      <c r="H29" s="1">
        <v>0.03</v>
      </c>
      <c r="I29" s="2">
        <f t="shared" si="0"/>
        <v>21.84063373718546</v>
      </c>
      <c r="J29" s="2">
        <f t="shared" si="1"/>
        <v>14.864864864864868</v>
      </c>
      <c r="K29" s="2">
        <f t="shared" si="2"/>
        <v>0.12581547064305684</v>
      </c>
    </row>
    <row r="30" spans="1:11" x14ac:dyDescent="0.3">
      <c r="A30">
        <v>29</v>
      </c>
      <c r="B30" t="s">
        <v>47</v>
      </c>
      <c r="C30" s="2">
        <v>0.32719999999999999</v>
      </c>
      <c r="D30" s="1">
        <v>1.6</v>
      </c>
      <c r="E30" s="1" t="s">
        <v>11</v>
      </c>
      <c r="F30" s="1">
        <v>2.2999999999999998</v>
      </c>
      <c r="G30" s="1" t="s">
        <v>11</v>
      </c>
      <c r="H30" s="1">
        <v>1.7000000000000001E-2</v>
      </c>
      <c r="I30" s="2">
        <f t="shared" si="0"/>
        <v>7.2753667481662596</v>
      </c>
      <c r="J30" s="2">
        <f t="shared" si="1"/>
        <v>10.498166259168704</v>
      </c>
      <c r="K30" s="2">
        <f t="shared" si="2"/>
        <v>6.4180929095354528E-2</v>
      </c>
    </row>
    <row r="31" spans="1:11" x14ac:dyDescent="0.3">
      <c r="A31">
        <v>30</v>
      </c>
      <c r="B31" t="s">
        <v>48</v>
      </c>
      <c r="C31" s="2">
        <v>0.35339999999999999</v>
      </c>
      <c r="D31" s="1">
        <v>6.8</v>
      </c>
      <c r="E31" s="1" t="s">
        <v>11</v>
      </c>
      <c r="F31" s="1">
        <v>2.2000000000000002</v>
      </c>
      <c r="G31" s="1" t="s">
        <v>11</v>
      </c>
      <c r="H31" s="1">
        <v>3.4000000000000002E-2</v>
      </c>
      <c r="I31" s="2">
        <f t="shared" si="0"/>
        <v>28.807300509337857</v>
      </c>
      <c r="J31" s="2">
        <f t="shared" si="1"/>
        <v>9.2954159592529741</v>
      </c>
      <c r="K31" s="2">
        <f t="shared" si="2"/>
        <v>0.13157894736842107</v>
      </c>
    </row>
    <row r="32" spans="1:11" x14ac:dyDescent="0.3">
      <c r="A32">
        <v>31</v>
      </c>
      <c r="B32" t="s">
        <v>49</v>
      </c>
      <c r="C32" s="2">
        <v>0.32350000000000001</v>
      </c>
      <c r="D32" s="1">
        <v>1.4</v>
      </c>
      <c r="E32" s="1" t="s">
        <v>11</v>
      </c>
      <c r="F32" s="1">
        <v>2</v>
      </c>
      <c r="G32" s="1" t="s">
        <v>11</v>
      </c>
      <c r="H32" s="1">
        <v>1.4999999999999999E-2</v>
      </c>
      <c r="I32" s="2">
        <f t="shared" si="0"/>
        <v>6.4312210200927353</v>
      </c>
      <c r="J32" s="2">
        <f t="shared" si="1"/>
        <v>9.2272024729520865</v>
      </c>
      <c r="K32" s="2">
        <f t="shared" si="2"/>
        <v>5.5641421947449768E-2</v>
      </c>
    </row>
    <row r="33" spans="1:11" x14ac:dyDescent="0.3">
      <c r="A33">
        <v>32</v>
      </c>
      <c r="B33" t="s">
        <v>50</v>
      </c>
      <c r="C33" s="2">
        <v>0.33050000000000002</v>
      </c>
      <c r="D33" s="1">
        <v>1.8</v>
      </c>
      <c r="E33" s="1" t="s">
        <v>11</v>
      </c>
      <c r="F33" s="1">
        <v>1.9</v>
      </c>
      <c r="G33" s="1" t="s">
        <v>11</v>
      </c>
      <c r="H33" s="1">
        <v>1.7000000000000001E-2</v>
      </c>
      <c r="I33" s="2">
        <f t="shared" si="0"/>
        <v>8.1104387291981848</v>
      </c>
      <c r="J33" s="2">
        <f t="shared" si="1"/>
        <v>8.5779122541603616</v>
      </c>
      <c r="K33" s="2">
        <f t="shared" si="2"/>
        <v>6.3540090771558241E-2</v>
      </c>
    </row>
    <row r="34" spans="1:11" x14ac:dyDescent="0.3">
      <c r="A34">
        <v>33</v>
      </c>
      <c r="B34" t="s">
        <v>51</v>
      </c>
      <c r="C34" s="2">
        <v>0.35099999999999998</v>
      </c>
      <c r="D34" s="1">
        <v>7.2</v>
      </c>
      <c r="E34" s="1" t="s">
        <v>11</v>
      </c>
      <c r="F34" s="1">
        <v>2.8</v>
      </c>
      <c r="G34" s="1" t="s">
        <v>11</v>
      </c>
      <c r="H34" s="1">
        <v>3.2000000000000001E-2</v>
      </c>
      <c r="I34" s="2">
        <f t="shared" si="0"/>
        <v>30.713675213675216</v>
      </c>
      <c r="J34" s="2">
        <f t="shared" si="1"/>
        <v>11.923076923076923</v>
      </c>
      <c r="K34" s="2">
        <f t="shared" si="2"/>
        <v>0.12393162393162394</v>
      </c>
    </row>
    <row r="35" spans="1:11" x14ac:dyDescent="0.3">
      <c r="A35">
        <v>34</v>
      </c>
      <c r="B35" t="s">
        <v>52</v>
      </c>
      <c r="C35" s="2">
        <v>0.3906</v>
      </c>
      <c r="D35" s="1">
        <v>3.4</v>
      </c>
      <c r="E35" s="1" t="s">
        <v>11</v>
      </c>
      <c r="F35" s="1">
        <v>2.1</v>
      </c>
      <c r="G35" s="1" t="s">
        <v>11</v>
      </c>
      <c r="H35" s="1">
        <v>1.9E-2</v>
      </c>
      <c r="I35" s="2">
        <f t="shared" si="0"/>
        <v>13.006912442396313</v>
      </c>
      <c r="J35" s="2">
        <f t="shared" si="1"/>
        <v>8.0261136712749614</v>
      </c>
      <c r="K35" s="2">
        <f t="shared" si="2"/>
        <v>6.1443932411674333E-2</v>
      </c>
    </row>
    <row r="36" spans="1:11" x14ac:dyDescent="0.3">
      <c r="A36">
        <v>35</v>
      </c>
      <c r="B36" t="s">
        <v>53</v>
      </c>
      <c r="C36" s="2">
        <v>0.31119999999999998</v>
      </c>
      <c r="D36" s="1">
        <v>4.8</v>
      </c>
      <c r="E36" s="1" t="s">
        <v>11</v>
      </c>
      <c r="F36" s="1">
        <v>1.9</v>
      </c>
      <c r="G36" s="1" t="s">
        <v>11</v>
      </c>
      <c r="H36" s="1">
        <v>0.03</v>
      </c>
      <c r="I36" s="2">
        <f t="shared" si="0"/>
        <v>23.073586118251928</v>
      </c>
      <c r="J36" s="2">
        <f t="shared" si="1"/>
        <v>9.1098971722365043</v>
      </c>
      <c r="K36" s="2">
        <f t="shared" si="2"/>
        <v>0.13014138817480722</v>
      </c>
    </row>
    <row r="37" spans="1:11" x14ac:dyDescent="0.3">
      <c r="A37">
        <v>36</v>
      </c>
      <c r="B37" t="s">
        <v>54</v>
      </c>
      <c r="C37" s="2">
        <v>0.34250000000000003</v>
      </c>
      <c r="D37" s="1">
        <v>2.4</v>
      </c>
      <c r="E37" s="1" t="s">
        <v>11</v>
      </c>
      <c r="F37" s="1">
        <v>1.5</v>
      </c>
      <c r="G37" s="1" t="s">
        <v>11</v>
      </c>
      <c r="H37" s="1">
        <v>1.7000000000000001E-2</v>
      </c>
      <c r="I37" s="2">
        <f t="shared" si="0"/>
        <v>10.454014598540144</v>
      </c>
      <c r="J37" s="2">
        <f t="shared" si="1"/>
        <v>6.5255474452554747</v>
      </c>
      <c r="K37" s="2">
        <f t="shared" si="2"/>
        <v>6.1313868613138686E-2</v>
      </c>
    </row>
    <row r="38" spans="1:11" x14ac:dyDescent="0.3">
      <c r="A38">
        <v>37</v>
      </c>
      <c r="B38" t="s">
        <v>55</v>
      </c>
      <c r="C38" s="2">
        <v>0.32850000000000001</v>
      </c>
      <c r="D38" s="1">
        <v>5.3</v>
      </c>
      <c r="E38" s="1" t="s">
        <v>11</v>
      </c>
      <c r="F38" s="1">
        <v>2.8</v>
      </c>
      <c r="G38" s="1" t="s">
        <v>11</v>
      </c>
      <c r="H38" s="1">
        <v>3.3000000000000002E-2</v>
      </c>
      <c r="I38" s="2">
        <f t="shared" si="0"/>
        <v>24.141552511415522</v>
      </c>
      <c r="J38" s="2">
        <f t="shared" si="1"/>
        <v>12.739726027397257</v>
      </c>
      <c r="K38" s="2">
        <f t="shared" si="2"/>
        <v>0.13698630136986301</v>
      </c>
    </row>
    <row r="39" spans="1:11" x14ac:dyDescent="0.3">
      <c r="A39">
        <v>38</v>
      </c>
      <c r="B39" t="s">
        <v>56</v>
      </c>
      <c r="C39" s="2">
        <v>0.36409999999999998</v>
      </c>
      <c r="D39" s="1">
        <v>2.2000000000000002</v>
      </c>
      <c r="E39" s="1" t="s">
        <v>11</v>
      </c>
      <c r="F39" s="1">
        <v>2.2000000000000002</v>
      </c>
      <c r="G39" s="1" t="s">
        <v>11</v>
      </c>
      <c r="H39" s="1">
        <v>2.1000000000000001E-2</v>
      </c>
      <c r="I39" s="2">
        <f t="shared" si="0"/>
        <v>9.0098873935731945</v>
      </c>
      <c r="J39" s="2">
        <f t="shared" si="1"/>
        <v>9.0222466355396911</v>
      </c>
      <c r="K39" s="2">
        <f t="shared" si="2"/>
        <v>7.4155451798956329E-2</v>
      </c>
    </row>
    <row r="40" spans="1:11" x14ac:dyDescent="0.3">
      <c r="A40">
        <v>39</v>
      </c>
      <c r="B40" t="s">
        <v>57</v>
      </c>
      <c r="C40" s="2">
        <v>0.33429999999999999</v>
      </c>
      <c r="D40" s="1">
        <v>4.0999999999999996</v>
      </c>
      <c r="E40" s="1" t="s">
        <v>11</v>
      </c>
      <c r="F40" s="1">
        <v>3.1</v>
      </c>
      <c r="G40" s="1" t="s">
        <v>11</v>
      </c>
      <c r="H40" s="1">
        <v>3.1E-2</v>
      </c>
      <c r="I40" s="2">
        <f t="shared" si="0"/>
        <v>18.338318875261738</v>
      </c>
      <c r="J40" s="2">
        <f t="shared" si="1"/>
        <v>13.864792102901587</v>
      </c>
      <c r="K40" s="2">
        <f t="shared" si="2"/>
        <v>0.125635656595872</v>
      </c>
    </row>
    <row r="41" spans="1:11" x14ac:dyDescent="0.3">
      <c r="A41">
        <v>40</v>
      </c>
      <c r="B41" t="s">
        <v>58</v>
      </c>
      <c r="C41" s="2">
        <v>0.35709999999999997</v>
      </c>
      <c r="D41" s="1">
        <v>4.0999999999999996</v>
      </c>
      <c r="E41" s="1" t="s">
        <v>11</v>
      </c>
      <c r="F41" s="1">
        <v>3.4</v>
      </c>
      <c r="G41" s="1" t="s">
        <v>11</v>
      </c>
      <c r="H41" s="1">
        <v>3.7999999999999999E-2</v>
      </c>
      <c r="I41" s="2">
        <f t="shared" si="0"/>
        <v>17.167460095211425</v>
      </c>
      <c r="J41" s="2">
        <f t="shared" si="1"/>
        <v>14.239708765051809</v>
      </c>
      <c r="K41" s="2">
        <f t="shared" si="2"/>
        <v>0.14701764211705404</v>
      </c>
    </row>
    <row r="42" spans="1:11" x14ac:dyDescent="0.3">
      <c r="A42">
        <v>41</v>
      </c>
      <c r="B42" t="s">
        <v>59</v>
      </c>
      <c r="C42" s="2">
        <v>0.35170000000000001</v>
      </c>
      <c r="D42" s="1">
        <v>1.8</v>
      </c>
      <c r="E42" s="1" t="s">
        <v>11</v>
      </c>
      <c r="F42" s="1">
        <v>2.5</v>
      </c>
      <c r="G42" s="1" t="s">
        <v>11</v>
      </c>
      <c r="H42" s="1">
        <v>2.1000000000000001E-2</v>
      </c>
      <c r="I42" s="2">
        <f t="shared" si="0"/>
        <v>7.6215524594825137</v>
      </c>
      <c r="J42" s="2">
        <f t="shared" si="1"/>
        <v>10.61984646005118</v>
      </c>
      <c r="K42" s="2">
        <f t="shared" si="2"/>
        <v>7.6769974410008532E-2</v>
      </c>
    </row>
    <row r="43" spans="1:11" x14ac:dyDescent="0.3">
      <c r="A43">
        <v>42</v>
      </c>
      <c r="B43" t="s">
        <v>60</v>
      </c>
      <c r="C43" s="2">
        <v>0.36359999999999998</v>
      </c>
      <c r="D43" s="1">
        <v>3</v>
      </c>
      <c r="E43" s="1" t="s">
        <v>11</v>
      </c>
      <c r="F43" s="1">
        <v>3</v>
      </c>
      <c r="G43" s="1" t="s">
        <v>11</v>
      </c>
      <c r="H43" s="1">
        <v>3.4000000000000002E-2</v>
      </c>
      <c r="I43" s="2">
        <f t="shared" si="0"/>
        <v>12.322607260726071</v>
      </c>
      <c r="J43" s="2">
        <f t="shared" si="1"/>
        <v>12.334983498349835</v>
      </c>
      <c r="K43" s="2">
        <f t="shared" si="2"/>
        <v>0.12788778877887791</v>
      </c>
    </row>
    <row r="44" spans="1:11" x14ac:dyDescent="0.3">
      <c r="A44">
        <v>43</v>
      </c>
      <c r="B44" t="s">
        <v>61</v>
      </c>
      <c r="C44" s="2">
        <v>0.34079999999999999</v>
      </c>
      <c r="D44" s="1">
        <v>9.1999999999999993</v>
      </c>
      <c r="E44" s="1" t="s">
        <v>11</v>
      </c>
      <c r="F44" s="1">
        <v>4.2</v>
      </c>
      <c r="G44" s="1" t="s">
        <v>11</v>
      </c>
      <c r="H44" s="1">
        <v>1.7000000000000001E-2</v>
      </c>
    </row>
    <row r="45" spans="1:11" x14ac:dyDescent="0.3">
      <c r="A45">
        <v>44</v>
      </c>
      <c r="B45" t="s">
        <v>62</v>
      </c>
      <c r="C45" s="2">
        <v>0</v>
      </c>
      <c r="D45" s="1">
        <v>1.2999999999999999E-2</v>
      </c>
      <c r="E45" s="1" t="s">
        <v>63</v>
      </c>
      <c r="F45" s="1">
        <v>0.01</v>
      </c>
      <c r="G45" s="1" t="s">
        <v>63</v>
      </c>
      <c r="H45" s="1">
        <v>3.0000000000000001E-3</v>
      </c>
    </row>
    <row r="46" spans="1:11" x14ac:dyDescent="0.3">
      <c r="A46">
        <v>45</v>
      </c>
      <c r="B46" t="s">
        <v>64</v>
      </c>
      <c r="C46" s="2">
        <v>0.3266</v>
      </c>
      <c r="D46" s="1">
        <v>4.3</v>
      </c>
      <c r="E46" s="1" t="s">
        <v>11</v>
      </c>
      <c r="F46" s="1">
        <v>2.7</v>
      </c>
      <c r="G46" s="1" t="s">
        <v>11</v>
      </c>
      <c r="H46" s="1">
        <v>3.9E-2</v>
      </c>
      <c r="I46" s="2">
        <f t="shared" ref="I46:I87" si="3">(D46-$Q$7)/$R$2*$R$1/C46*$R$3</f>
        <v>19.68922229026332</v>
      </c>
      <c r="J46" s="2">
        <f>(F46-$R$8)/$R$2*$R$1/C46*$R$3</f>
        <v>12.35456215554195</v>
      </c>
      <c r="K46" s="2">
        <f>(H46-$S$8)/$R$2*$R$1/C46*$R$3</f>
        <v>0.16533986527862826</v>
      </c>
    </row>
    <row r="47" spans="1:11" x14ac:dyDescent="0.3">
      <c r="A47">
        <v>46</v>
      </c>
      <c r="B47" t="s">
        <v>65</v>
      </c>
      <c r="C47" s="2">
        <v>0.30430000000000001</v>
      </c>
      <c r="D47" s="1">
        <v>1.4</v>
      </c>
      <c r="E47" s="1" t="s">
        <v>11</v>
      </c>
      <c r="F47" s="1">
        <v>1.9</v>
      </c>
      <c r="G47" s="1" t="s">
        <v>11</v>
      </c>
      <c r="H47" s="1">
        <v>2.4E-2</v>
      </c>
      <c r="I47" s="2">
        <f t="shared" si="3"/>
        <v>6.8370029576076243</v>
      </c>
      <c r="J47" s="2">
        <f t="shared" ref="J47:J87" si="4">(F47-$R$8)/$R$2*$R$1/C47*$R$3</f>
        <v>9.3164640157739065</v>
      </c>
      <c r="K47" s="2">
        <f t="shared" ref="K47:K87" si="5">(H47-$S$8)/$R$2*$R$1/C47*$R$3</f>
        <v>0.1035162668419323</v>
      </c>
    </row>
    <row r="48" spans="1:11" x14ac:dyDescent="0.3">
      <c r="A48">
        <v>47</v>
      </c>
      <c r="B48" t="s">
        <v>66</v>
      </c>
      <c r="C48" s="2">
        <v>0.31340000000000001</v>
      </c>
      <c r="D48" s="1">
        <v>6</v>
      </c>
      <c r="E48" s="1" t="s">
        <v>11</v>
      </c>
      <c r="F48" s="1">
        <v>2.2000000000000002</v>
      </c>
      <c r="G48" s="1" t="s">
        <v>11</v>
      </c>
      <c r="H48" s="1">
        <v>3.1E-2</v>
      </c>
      <c r="I48" s="2">
        <f t="shared" si="3"/>
        <v>28.655073388640712</v>
      </c>
      <c r="J48" s="2">
        <f t="shared" si="4"/>
        <v>10.481812380344611</v>
      </c>
      <c r="K48" s="2">
        <f t="shared" si="5"/>
        <v>0.13401403956604976</v>
      </c>
    </row>
    <row r="49" spans="1:11" x14ac:dyDescent="0.3">
      <c r="A49">
        <v>48</v>
      </c>
      <c r="B49" t="s">
        <v>67</v>
      </c>
      <c r="C49" s="2">
        <v>0.3468</v>
      </c>
      <c r="D49" s="1">
        <v>3.1</v>
      </c>
      <c r="E49" s="1" t="s">
        <v>11</v>
      </c>
      <c r="F49" s="1">
        <v>2</v>
      </c>
      <c r="G49" s="1" t="s">
        <v>11</v>
      </c>
      <c r="H49" s="1">
        <v>1.9E-2</v>
      </c>
      <c r="I49" s="2">
        <f t="shared" si="3"/>
        <v>13.352076124567475</v>
      </c>
      <c r="J49" s="2">
        <f t="shared" si="4"/>
        <v>8.6072664359861584</v>
      </c>
      <c r="K49" s="2">
        <f t="shared" si="5"/>
        <v>6.920415224913494E-2</v>
      </c>
    </row>
    <row r="50" spans="1:11" x14ac:dyDescent="0.3">
      <c r="A50">
        <v>49</v>
      </c>
      <c r="B50" t="s">
        <v>68</v>
      </c>
      <c r="C50" s="2">
        <v>0.30549999999999999</v>
      </c>
      <c r="D50" s="1">
        <v>4.7</v>
      </c>
      <c r="E50" s="1" t="s">
        <v>11</v>
      </c>
      <c r="F50" s="1">
        <v>3</v>
      </c>
      <c r="G50" s="1" t="s">
        <v>11</v>
      </c>
      <c r="H50" s="1">
        <v>2.7E-2</v>
      </c>
      <c r="I50" s="2">
        <f t="shared" si="3"/>
        <v>23.013093289689039</v>
      </c>
      <c r="J50" s="2">
        <f t="shared" si="4"/>
        <v>14.680851063829788</v>
      </c>
      <c r="K50" s="2">
        <f t="shared" si="5"/>
        <v>0.11783960720130934</v>
      </c>
    </row>
    <row r="51" spans="1:11" x14ac:dyDescent="0.3">
      <c r="A51">
        <v>50</v>
      </c>
      <c r="B51" t="s">
        <v>69</v>
      </c>
      <c r="C51" s="2">
        <v>0.32529999999999998</v>
      </c>
      <c r="D51" s="1">
        <v>2</v>
      </c>
      <c r="E51" s="1" t="s">
        <v>11</v>
      </c>
      <c r="F51" s="1">
        <v>2</v>
      </c>
      <c r="G51" s="1" t="s">
        <v>11</v>
      </c>
      <c r="H51" s="1">
        <v>1.6E-2</v>
      </c>
      <c r="I51" s="2">
        <f t="shared" si="3"/>
        <v>9.1623117122656019</v>
      </c>
      <c r="J51" s="2">
        <f t="shared" si="4"/>
        <v>9.1761450968336931</v>
      </c>
      <c r="K51" s="2">
        <f t="shared" si="5"/>
        <v>5.994466646172765E-2</v>
      </c>
    </row>
    <row r="52" spans="1:11" x14ac:dyDescent="0.3">
      <c r="A52">
        <v>51</v>
      </c>
      <c r="B52" t="s">
        <v>70</v>
      </c>
      <c r="C52" s="2">
        <v>0.3241</v>
      </c>
      <c r="D52" s="1">
        <v>4.4000000000000004</v>
      </c>
      <c r="E52" s="1" t="s">
        <v>11</v>
      </c>
      <c r="F52" s="1">
        <v>3.4</v>
      </c>
      <c r="G52" s="1" t="s">
        <v>11</v>
      </c>
      <c r="H52" s="1">
        <v>3.6999999999999998E-2</v>
      </c>
      <c r="I52" s="2">
        <f t="shared" si="3"/>
        <v>20.303918543659368</v>
      </c>
      <c r="J52" s="2">
        <f t="shared" si="4"/>
        <v>15.689601974699169</v>
      </c>
      <c r="K52" s="2">
        <f t="shared" si="5"/>
        <v>0.15735883986423943</v>
      </c>
    </row>
    <row r="53" spans="1:11" x14ac:dyDescent="0.3">
      <c r="A53">
        <v>52</v>
      </c>
      <c r="B53" t="s">
        <v>71</v>
      </c>
      <c r="C53" s="2">
        <v>0.32519999999999999</v>
      </c>
      <c r="D53" s="1">
        <v>1.9</v>
      </c>
      <c r="E53" s="1" t="s">
        <v>11</v>
      </c>
      <c r="F53" s="1">
        <v>2.2999999999999998</v>
      </c>
      <c r="G53" s="1" t="s">
        <v>11</v>
      </c>
      <c r="H53" s="1">
        <v>2.1999999999999999E-2</v>
      </c>
      <c r="I53" s="2">
        <f t="shared" si="3"/>
        <v>8.7038745387453869</v>
      </c>
      <c r="J53" s="2">
        <f t="shared" si="4"/>
        <v>10.562730627306273</v>
      </c>
      <c r="K53" s="2">
        <f t="shared" si="5"/>
        <v>8.763837638376383E-2</v>
      </c>
    </row>
    <row r="54" spans="1:11" x14ac:dyDescent="0.3">
      <c r="A54">
        <v>53</v>
      </c>
      <c r="B54" t="s">
        <v>72</v>
      </c>
      <c r="C54" s="2">
        <v>0.30080000000000001</v>
      </c>
      <c r="D54" s="1">
        <v>5.5</v>
      </c>
      <c r="E54" s="1" t="s">
        <v>11</v>
      </c>
      <c r="F54" s="1">
        <v>2</v>
      </c>
      <c r="G54" s="1" t="s">
        <v>11</v>
      </c>
      <c r="H54" s="1">
        <v>2.8000000000000001E-2</v>
      </c>
      <c r="I54" s="2">
        <f t="shared" si="3"/>
        <v>27.36203457446808</v>
      </c>
      <c r="J54" s="2">
        <f t="shared" si="4"/>
        <v>9.9235372340425538</v>
      </c>
      <c r="K54" s="2">
        <f t="shared" si="5"/>
        <v>0.12466755319148937</v>
      </c>
    </row>
    <row r="55" spans="1:11" x14ac:dyDescent="0.3">
      <c r="A55">
        <v>54</v>
      </c>
      <c r="B55" t="s">
        <v>73</v>
      </c>
      <c r="C55" s="2">
        <v>0.31269999999999998</v>
      </c>
      <c r="D55" s="1">
        <v>3.2</v>
      </c>
      <c r="E55" s="1" t="s">
        <v>11</v>
      </c>
      <c r="F55" s="1">
        <v>1.5</v>
      </c>
      <c r="G55" s="1" t="s">
        <v>11</v>
      </c>
      <c r="H55" s="1">
        <v>1.4999999999999999E-2</v>
      </c>
      <c r="I55" s="2">
        <f t="shared" si="3"/>
        <v>15.287815797889351</v>
      </c>
      <c r="J55" s="2">
        <f t="shared" si="4"/>
        <v>7.1474256475855462</v>
      </c>
      <c r="K55" s="2">
        <f t="shared" si="5"/>
        <v>5.7563159577870171E-2</v>
      </c>
    </row>
    <row r="56" spans="1:11" x14ac:dyDescent="0.3">
      <c r="A56">
        <v>55</v>
      </c>
      <c r="B56" t="s">
        <v>74</v>
      </c>
      <c r="C56" s="2">
        <v>0.3034</v>
      </c>
      <c r="D56" s="1">
        <v>7.1</v>
      </c>
      <c r="E56" s="1" t="s">
        <v>11</v>
      </c>
      <c r="F56" s="1">
        <v>3.3</v>
      </c>
      <c r="G56" s="1" t="s">
        <v>11</v>
      </c>
      <c r="H56" s="1">
        <v>2.9000000000000001E-2</v>
      </c>
      <c r="I56" s="2">
        <f t="shared" si="3"/>
        <v>35.037903757415947</v>
      </c>
      <c r="J56" s="2">
        <f t="shared" si="4"/>
        <v>16.26565589980224</v>
      </c>
      <c r="K56" s="2">
        <f t="shared" si="5"/>
        <v>0.12854317732366513</v>
      </c>
    </row>
    <row r="57" spans="1:11" x14ac:dyDescent="0.3">
      <c r="A57">
        <v>56</v>
      </c>
      <c r="B57" t="s">
        <v>75</v>
      </c>
      <c r="C57" s="2">
        <v>0.32319999999999999</v>
      </c>
      <c r="D57" s="1">
        <v>2.7</v>
      </c>
      <c r="E57" s="1" t="s">
        <v>11</v>
      </c>
      <c r="F57" s="1">
        <v>2.5</v>
      </c>
      <c r="G57" s="1" t="s">
        <v>11</v>
      </c>
      <c r="H57" s="1">
        <v>1.6E-2</v>
      </c>
      <c r="I57" s="2">
        <f t="shared" si="3"/>
        <v>12.470606435643566</v>
      </c>
      <c r="J57" s="2">
        <f t="shared" si="4"/>
        <v>11.556311881188119</v>
      </c>
      <c r="K57" s="2">
        <f t="shared" si="5"/>
        <v>6.0334158415841596E-2</v>
      </c>
    </row>
    <row r="58" spans="1:11" x14ac:dyDescent="0.3">
      <c r="A58">
        <v>57</v>
      </c>
      <c r="B58" t="s">
        <v>76</v>
      </c>
      <c r="C58" s="2">
        <v>0.33910000000000001</v>
      </c>
      <c r="D58" s="1">
        <v>6.1</v>
      </c>
      <c r="E58" s="1" t="s">
        <v>11</v>
      </c>
      <c r="F58" s="1">
        <v>3.3</v>
      </c>
      <c r="G58" s="1" t="s">
        <v>11</v>
      </c>
      <c r="H58" s="1">
        <v>3.3000000000000002E-2</v>
      </c>
      <c r="I58" s="2">
        <f t="shared" si="3"/>
        <v>26.925685638454734</v>
      </c>
      <c r="J58" s="2">
        <f t="shared" si="4"/>
        <v>14.553229135948097</v>
      </c>
      <c r="K58" s="2">
        <f t="shared" si="5"/>
        <v>0.13270421704511942</v>
      </c>
    </row>
    <row r="59" spans="1:11" x14ac:dyDescent="0.3">
      <c r="A59">
        <v>58</v>
      </c>
      <c r="B59" t="s">
        <v>77</v>
      </c>
      <c r="C59" s="2">
        <v>0.31869999999999998</v>
      </c>
      <c r="D59" s="1">
        <v>2</v>
      </c>
      <c r="E59" s="1" t="s">
        <v>11</v>
      </c>
      <c r="F59" s="1">
        <v>1.9</v>
      </c>
      <c r="G59" s="1" t="s">
        <v>11</v>
      </c>
      <c r="H59" s="1">
        <v>1.7000000000000001E-2</v>
      </c>
      <c r="I59" s="2">
        <f t="shared" si="3"/>
        <v>9.3520552243489181</v>
      </c>
      <c r="J59" s="2">
        <f t="shared" si="4"/>
        <v>8.895513021650455</v>
      </c>
      <c r="K59" s="2">
        <f t="shared" si="5"/>
        <v>6.589268904926264E-2</v>
      </c>
    </row>
    <row r="60" spans="1:11" x14ac:dyDescent="0.3">
      <c r="A60">
        <v>59</v>
      </c>
      <c r="B60" t="s">
        <v>78</v>
      </c>
      <c r="C60" s="2">
        <v>0.3014</v>
      </c>
      <c r="D60" s="1">
        <v>4.9000000000000004</v>
      </c>
      <c r="E60" s="1" t="s">
        <v>11</v>
      </c>
      <c r="F60" s="1">
        <v>2.2000000000000002</v>
      </c>
      <c r="G60" s="1" t="s">
        <v>11</v>
      </c>
      <c r="H60" s="1">
        <v>2.9000000000000001E-2</v>
      </c>
      <c r="I60" s="2">
        <f t="shared" si="3"/>
        <v>24.321499668215001</v>
      </c>
      <c r="J60" s="2">
        <f t="shared" si="4"/>
        <v>10.899137358991377</v>
      </c>
      <c r="K60" s="2">
        <f t="shared" si="5"/>
        <v>0.12939615129396151</v>
      </c>
    </row>
    <row r="61" spans="1:11" x14ac:dyDescent="0.3">
      <c r="A61">
        <v>60</v>
      </c>
      <c r="B61" t="s">
        <v>79</v>
      </c>
      <c r="C61" s="2">
        <v>0.32569999999999999</v>
      </c>
      <c r="D61" s="1">
        <v>3.3</v>
      </c>
      <c r="E61" s="1" t="s">
        <v>11</v>
      </c>
      <c r="F61" s="1">
        <v>3.3</v>
      </c>
      <c r="G61" s="1" t="s">
        <v>11</v>
      </c>
      <c r="H61" s="1">
        <v>6.0000000000000001E-3</v>
      </c>
      <c r="I61" s="2">
        <f t="shared" si="3"/>
        <v>15.138163954559412</v>
      </c>
      <c r="J61" s="2">
        <f t="shared" si="4"/>
        <v>15.151980350015352</v>
      </c>
      <c r="K61" s="2">
        <f t="shared" si="5"/>
        <v>1.3816395455941051E-2</v>
      </c>
    </row>
    <row r="62" spans="1:11" x14ac:dyDescent="0.3">
      <c r="A62">
        <v>61</v>
      </c>
      <c r="B62" t="s">
        <v>80</v>
      </c>
      <c r="C62" s="2">
        <v>0.35570000000000002</v>
      </c>
      <c r="D62" s="1">
        <v>4.5</v>
      </c>
      <c r="E62" s="1" t="s">
        <v>11</v>
      </c>
      <c r="F62" s="1">
        <v>6.5</v>
      </c>
      <c r="G62" s="1" t="s">
        <v>11</v>
      </c>
      <c r="H62" s="1">
        <v>1.6E-2</v>
      </c>
      <c r="I62" s="2">
        <f t="shared" si="3"/>
        <v>18.92184425077312</v>
      </c>
      <c r="J62" s="2">
        <f t="shared" si="4"/>
        <v>27.368569018836098</v>
      </c>
      <c r="K62" s="2">
        <f t="shared" si="5"/>
        <v>5.4821478774247964E-2</v>
      </c>
    </row>
    <row r="63" spans="1:11" x14ac:dyDescent="0.3">
      <c r="A63">
        <v>62</v>
      </c>
      <c r="B63" t="s">
        <v>81</v>
      </c>
      <c r="C63" s="2">
        <v>0.3266</v>
      </c>
      <c r="D63" s="1">
        <v>2.1</v>
      </c>
      <c r="E63" s="1" t="s">
        <v>11</v>
      </c>
      <c r="F63" s="1">
        <v>4.4000000000000004</v>
      </c>
      <c r="G63" s="1" t="s">
        <v>11</v>
      </c>
      <c r="H63" s="1">
        <v>8.0000000000000002E-3</v>
      </c>
      <c r="I63" s="2">
        <f t="shared" si="3"/>
        <v>9.585119412124925</v>
      </c>
      <c r="J63" s="2">
        <f t="shared" si="4"/>
        <v>20.162278015921618</v>
      </c>
      <c r="K63" s="2">
        <f t="shared" si="5"/>
        <v>2.2963870177587265E-2</v>
      </c>
    </row>
    <row r="64" spans="1:11" x14ac:dyDescent="0.3">
      <c r="A64">
        <v>63</v>
      </c>
      <c r="B64" t="s">
        <v>82</v>
      </c>
      <c r="C64" s="2">
        <v>0.30990000000000001</v>
      </c>
      <c r="D64" s="1">
        <v>3.2</v>
      </c>
      <c r="E64" s="1" t="s">
        <v>11</v>
      </c>
      <c r="F64" s="1">
        <v>6.6</v>
      </c>
      <c r="G64" s="1" t="s">
        <v>11</v>
      </c>
      <c r="H64" s="1">
        <v>1.7999999999999999E-2</v>
      </c>
      <c r="I64" s="2">
        <f t="shared" si="3"/>
        <v>15.425943852855758</v>
      </c>
      <c r="J64" s="2">
        <f t="shared" si="4"/>
        <v>31.897386253630199</v>
      </c>
      <c r="K64" s="2">
        <f t="shared" si="5"/>
        <v>7.2604065827686345E-2</v>
      </c>
    </row>
    <row r="65" spans="1:11" x14ac:dyDescent="0.3">
      <c r="A65">
        <v>64</v>
      </c>
      <c r="B65" t="s">
        <v>83</v>
      </c>
      <c r="C65" s="2">
        <v>0.32229999999999998</v>
      </c>
      <c r="D65" s="1">
        <v>3.3</v>
      </c>
      <c r="E65" s="1" t="s">
        <v>11</v>
      </c>
      <c r="F65" s="1">
        <v>7.6</v>
      </c>
      <c r="G65" s="1" t="s">
        <v>11</v>
      </c>
      <c r="H65" s="1">
        <v>1.4999999999999999E-2</v>
      </c>
      <c r="I65" s="2">
        <f t="shared" si="3"/>
        <v>15.297859137449581</v>
      </c>
      <c r="J65" s="2">
        <f t="shared" si="4"/>
        <v>35.324232081911262</v>
      </c>
      <c r="K65" s="2">
        <f t="shared" si="5"/>
        <v>5.5848588271796479E-2</v>
      </c>
    </row>
    <row r="66" spans="1:11" x14ac:dyDescent="0.3">
      <c r="A66">
        <v>65</v>
      </c>
      <c r="B66" t="s">
        <v>84</v>
      </c>
      <c r="C66" s="2">
        <v>0.31409999999999999</v>
      </c>
      <c r="D66" s="1">
        <v>4.5999999999999996</v>
      </c>
      <c r="E66" s="1" t="s">
        <v>11</v>
      </c>
      <c r="F66" s="1">
        <v>13</v>
      </c>
      <c r="G66" s="1" t="s">
        <v>11</v>
      </c>
      <c r="H66" s="1">
        <v>2.5999999999999999E-2</v>
      </c>
      <c r="I66" s="2">
        <f t="shared" si="3"/>
        <v>21.905444126074499</v>
      </c>
      <c r="J66" s="2">
        <f t="shared" si="4"/>
        <v>62.034383954154727</v>
      </c>
      <c r="K66" s="2">
        <f t="shared" si="5"/>
        <v>0.10983763132760267</v>
      </c>
    </row>
    <row r="67" spans="1:11" x14ac:dyDescent="0.3">
      <c r="A67">
        <v>66</v>
      </c>
      <c r="B67" t="s">
        <v>85</v>
      </c>
      <c r="C67" s="2">
        <v>0.309</v>
      </c>
      <c r="D67" s="1">
        <v>1.6</v>
      </c>
      <c r="E67" s="1" t="s">
        <v>11</v>
      </c>
      <c r="F67" s="1">
        <v>7.4</v>
      </c>
      <c r="G67" s="1" t="s">
        <v>11</v>
      </c>
      <c r="H67" s="1">
        <v>0.02</v>
      </c>
      <c r="I67" s="2">
        <f t="shared" si="3"/>
        <v>7.7038834951456314</v>
      </c>
      <c r="J67" s="2">
        <f t="shared" si="4"/>
        <v>35.873786407766993</v>
      </c>
      <c r="K67" s="2">
        <f t="shared" si="5"/>
        <v>8.2524271844660199E-2</v>
      </c>
    </row>
    <row r="68" spans="1:11" x14ac:dyDescent="0.3">
      <c r="A68">
        <v>67</v>
      </c>
      <c r="B68" t="s">
        <v>86</v>
      </c>
      <c r="C68" s="2">
        <v>0.3201</v>
      </c>
      <c r="D68" s="1">
        <v>3.2</v>
      </c>
      <c r="E68" s="1" t="s">
        <v>11</v>
      </c>
      <c r="F68" s="1">
        <v>15</v>
      </c>
      <c r="G68" s="1" t="s">
        <v>11</v>
      </c>
      <c r="H68" s="1">
        <v>3.5999999999999997E-2</v>
      </c>
      <c r="I68" s="2">
        <f t="shared" si="3"/>
        <v>14.934395501405811</v>
      </c>
      <c r="J68" s="2">
        <f t="shared" si="4"/>
        <v>70.243673851921272</v>
      </c>
      <c r="K68" s="2">
        <f t="shared" si="5"/>
        <v>0.15463917525773194</v>
      </c>
    </row>
    <row r="69" spans="1:11" x14ac:dyDescent="0.3">
      <c r="A69">
        <v>68</v>
      </c>
      <c r="B69" t="s">
        <v>87</v>
      </c>
      <c r="C69" s="2">
        <v>0.35010000000000002</v>
      </c>
      <c r="D69" s="1">
        <v>4.2</v>
      </c>
      <c r="E69" s="1" t="s">
        <v>11</v>
      </c>
      <c r="F69" s="1">
        <v>11</v>
      </c>
      <c r="G69" s="1" t="s">
        <v>11</v>
      </c>
      <c r="H69" s="1">
        <v>0.03</v>
      </c>
      <c r="I69" s="2">
        <f t="shared" si="3"/>
        <v>17.93916023993145</v>
      </c>
      <c r="J69" s="2">
        <f t="shared" si="4"/>
        <v>47.086546700942584</v>
      </c>
      <c r="K69" s="2">
        <f t="shared" si="5"/>
        <v>0.11568123393316193</v>
      </c>
    </row>
    <row r="70" spans="1:11" x14ac:dyDescent="0.3">
      <c r="A70">
        <v>69</v>
      </c>
      <c r="B70" t="s">
        <v>88</v>
      </c>
      <c r="C70" s="2">
        <v>0.33410000000000001</v>
      </c>
      <c r="D70" s="1">
        <v>2.7</v>
      </c>
      <c r="E70" s="1" t="s">
        <v>11</v>
      </c>
      <c r="F70" s="1">
        <v>6.3</v>
      </c>
      <c r="G70" s="1" t="s">
        <v>11</v>
      </c>
      <c r="H70" s="1">
        <v>1.4E-2</v>
      </c>
      <c r="I70" s="2">
        <f t="shared" si="3"/>
        <v>12.063753367255313</v>
      </c>
      <c r="J70" s="2">
        <f t="shared" si="4"/>
        <v>28.240047889853336</v>
      </c>
      <c r="K70" s="2">
        <f t="shared" si="5"/>
        <v>4.9386411254115532E-2</v>
      </c>
    </row>
    <row r="71" spans="1:11" x14ac:dyDescent="0.3">
      <c r="A71">
        <v>70</v>
      </c>
      <c r="B71" t="s">
        <v>89</v>
      </c>
      <c r="C71" s="2">
        <v>0.33879999999999999</v>
      </c>
      <c r="D71" s="1">
        <v>1.8</v>
      </c>
      <c r="E71" s="1" t="s">
        <v>11</v>
      </c>
      <c r="F71" s="1">
        <v>6.6</v>
      </c>
      <c r="G71" s="1" t="s">
        <v>11</v>
      </c>
      <c r="H71" s="1">
        <v>1.2999999999999999E-2</v>
      </c>
      <c r="I71" s="2">
        <f t="shared" si="3"/>
        <v>7.9117473435655272</v>
      </c>
      <c r="J71" s="2">
        <f t="shared" si="4"/>
        <v>29.176505312868951</v>
      </c>
      <c r="K71" s="2">
        <f t="shared" si="5"/>
        <v>4.427390791027154E-2</v>
      </c>
    </row>
    <row r="72" spans="1:11" x14ac:dyDescent="0.3">
      <c r="A72">
        <v>71</v>
      </c>
      <c r="B72" t="s">
        <v>90</v>
      </c>
      <c r="C72" s="2">
        <v>0.35499999999999998</v>
      </c>
      <c r="D72" s="1">
        <v>3.6</v>
      </c>
      <c r="E72" s="1" t="s">
        <v>11</v>
      </c>
      <c r="F72" s="1">
        <v>12</v>
      </c>
      <c r="G72" s="1" t="s">
        <v>11</v>
      </c>
      <c r="H72" s="1">
        <v>0.03</v>
      </c>
      <c r="I72" s="2">
        <f t="shared" si="3"/>
        <v>15.156338028169017</v>
      </c>
      <c r="J72" s="2">
        <f t="shared" si="4"/>
        <v>50.661971830985919</v>
      </c>
      <c r="K72" s="2">
        <f t="shared" si="5"/>
        <v>0.11408450704225351</v>
      </c>
    </row>
    <row r="73" spans="1:11" x14ac:dyDescent="0.3">
      <c r="A73">
        <v>72</v>
      </c>
      <c r="B73" t="s">
        <v>91</v>
      </c>
      <c r="C73" s="2">
        <v>0.30509999999999998</v>
      </c>
      <c r="D73" s="1">
        <v>3.6</v>
      </c>
      <c r="E73" s="1" t="s">
        <v>11</v>
      </c>
      <c r="F73" s="1">
        <v>9.3000000000000007</v>
      </c>
      <c r="G73" s="1" t="s">
        <v>11</v>
      </c>
      <c r="H73" s="1">
        <v>2.5999999999999999E-2</v>
      </c>
      <c r="I73" s="2">
        <f t="shared" si="3"/>
        <v>17.635201573254676</v>
      </c>
      <c r="J73" s="2">
        <f t="shared" si="4"/>
        <v>45.67354965585055</v>
      </c>
      <c r="K73" s="2">
        <f t="shared" si="5"/>
        <v>0.11307767944936087</v>
      </c>
    </row>
    <row r="74" spans="1:11" x14ac:dyDescent="0.3">
      <c r="A74">
        <v>73</v>
      </c>
      <c r="B74" t="s">
        <v>92</v>
      </c>
      <c r="C74" s="2">
        <v>0.31759999999999999</v>
      </c>
      <c r="D74" s="1">
        <v>2</v>
      </c>
      <c r="E74" s="1" t="s">
        <v>11</v>
      </c>
      <c r="F74" s="1">
        <v>5.6</v>
      </c>
      <c r="G74" s="1" t="s">
        <v>11</v>
      </c>
      <c r="H74" s="1">
        <v>1.0999999999999999E-2</v>
      </c>
      <c r="I74" s="2">
        <f t="shared" si="3"/>
        <v>9.3844458438287166</v>
      </c>
      <c r="J74" s="2">
        <f t="shared" si="4"/>
        <v>26.401133501259444</v>
      </c>
      <c r="K74" s="2">
        <f t="shared" si="5"/>
        <v>3.7783375314861457E-2</v>
      </c>
    </row>
    <row r="75" spans="1:11" x14ac:dyDescent="0.3">
      <c r="A75">
        <v>74</v>
      </c>
      <c r="B75" t="s">
        <v>93</v>
      </c>
      <c r="C75" s="2">
        <v>0.31979999999999997</v>
      </c>
      <c r="D75" s="1">
        <v>3.2</v>
      </c>
      <c r="E75" s="1" t="s">
        <v>11</v>
      </c>
      <c r="F75" s="1">
        <v>7.9</v>
      </c>
      <c r="G75" s="1" t="s">
        <v>11</v>
      </c>
      <c r="H75" s="1">
        <v>2.1000000000000001E-2</v>
      </c>
      <c r="I75" s="2">
        <f t="shared" si="3"/>
        <v>14.948405253283303</v>
      </c>
      <c r="J75" s="2">
        <f t="shared" si="4"/>
        <v>37.007504690431524</v>
      </c>
      <c r="K75" s="2">
        <f t="shared" si="5"/>
        <v>8.4427767354596631E-2</v>
      </c>
    </row>
    <row r="76" spans="1:11" x14ac:dyDescent="0.3">
      <c r="A76">
        <v>75</v>
      </c>
      <c r="B76" t="s">
        <v>94</v>
      </c>
      <c r="C76" s="2">
        <v>0.35320000000000001</v>
      </c>
      <c r="D76" s="1">
        <v>2.5</v>
      </c>
      <c r="E76" s="1" t="s">
        <v>11</v>
      </c>
      <c r="F76" s="1">
        <v>1.4</v>
      </c>
      <c r="G76" s="1" t="s">
        <v>11</v>
      </c>
      <c r="H76" s="1">
        <v>8.9999999999999993E-3</v>
      </c>
      <c r="I76" s="2">
        <f t="shared" si="3"/>
        <v>10.562004530011324</v>
      </c>
      <c r="J76" s="2">
        <f t="shared" si="4"/>
        <v>5.9031710079275195</v>
      </c>
      <c r="K76" s="2">
        <f t="shared" si="5"/>
        <v>2.5481313703284256E-2</v>
      </c>
    </row>
    <row r="77" spans="1:11" x14ac:dyDescent="0.3">
      <c r="A77">
        <v>76</v>
      </c>
      <c r="B77" t="s">
        <v>95</v>
      </c>
      <c r="C77" s="2">
        <v>0.3397</v>
      </c>
      <c r="D77" s="1">
        <v>4.7</v>
      </c>
      <c r="E77" s="1" t="s">
        <v>11</v>
      </c>
      <c r="F77" s="1">
        <v>1.8</v>
      </c>
      <c r="G77" s="1" t="s">
        <v>11</v>
      </c>
      <c r="H77" s="1">
        <v>1.9E-2</v>
      </c>
      <c r="I77" s="2">
        <f t="shared" si="3"/>
        <v>20.696202531645572</v>
      </c>
      <c r="J77" s="2">
        <f t="shared" si="4"/>
        <v>7.9040329702678838</v>
      </c>
      <c r="K77" s="2">
        <f t="shared" si="5"/>
        <v>7.0650574035914043E-2</v>
      </c>
    </row>
    <row r="78" spans="1:11" x14ac:dyDescent="0.3">
      <c r="A78">
        <v>77</v>
      </c>
      <c r="B78" t="s">
        <v>96</v>
      </c>
      <c r="C78" s="2">
        <v>0.31759999999999999</v>
      </c>
      <c r="D78" s="1">
        <v>1.6</v>
      </c>
      <c r="E78" s="1" t="s">
        <v>11</v>
      </c>
      <c r="F78" s="1">
        <v>2.4</v>
      </c>
      <c r="G78" s="1" t="s">
        <v>11</v>
      </c>
      <c r="H78" s="1">
        <v>2.3E-2</v>
      </c>
      <c r="I78" s="2">
        <f t="shared" si="3"/>
        <v>7.4952770780856426</v>
      </c>
      <c r="J78" s="2">
        <f t="shared" si="4"/>
        <v>11.287783375314861</v>
      </c>
      <c r="K78" s="2">
        <f t="shared" si="5"/>
        <v>9.4458438287153668E-2</v>
      </c>
    </row>
    <row r="79" spans="1:11" x14ac:dyDescent="0.3">
      <c r="A79">
        <v>78</v>
      </c>
      <c r="B79" t="s">
        <v>97</v>
      </c>
      <c r="C79" s="2">
        <v>0.32750000000000001</v>
      </c>
      <c r="D79" s="1">
        <v>3.4</v>
      </c>
      <c r="E79" s="1" t="s">
        <v>11</v>
      </c>
      <c r="F79" s="1">
        <v>2.8</v>
      </c>
      <c r="G79" s="1" t="s">
        <v>11</v>
      </c>
      <c r="H79" s="1">
        <v>2.3E-2</v>
      </c>
      <c r="I79" s="2">
        <f t="shared" si="3"/>
        <v>15.512977099236638</v>
      </c>
      <c r="J79" s="2">
        <f t="shared" si="4"/>
        <v>12.778625954198471</v>
      </c>
      <c r="K79" s="2">
        <f t="shared" si="5"/>
        <v>9.1603053435114518E-2</v>
      </c>
    </row>
    <row r="80" spans="1:11" x14ac:dyDescent="0.3">
      <c r="A80">
        <v>79</v>
      </c>
      <c r="B80" t="s">
        <v>98</v>
      </c>
      <c r="C80" s="2">
        <v>0.31740000000000002</v>
      </c>
      <c r="D80" s="1">
        <v>4</v>
      </c>
      <c r="E80" s="1" t="s">
        <v>11</v>
      </c>
      <c r="F80" s="1">
        <v>3.2</v>
      </c>
      <c r="G80" s="1" t="s">
        <v>11</v>
      </c>
      <c r="H80" s="1">
        <v>3.3000000000000002E-2</v>
      </c>
      <c r="I80" s="2">
        <f t="shared" si="3"/>
        <v>18.842155009451798</v>
      </c>
      <c r="J80" s="2">
        <f t="shared" si="4"/>
        <v>15.075614366729681</v>
      </c>
      <c r="K80" s="2">
        <f t="shared" si="5"/>
        <v>0.14177693761814744</v>
      </c>
    </row>
    <row r="81" spans="1:11" x14ac:dyDescent="0.3">
      <c r="A81">
        <v>80</v>
      </c>
      <c r="B81" t="s">
        <v>99</v>
      </c>
      <c r="C81" s="2">
        <v>0.32369999999999999</v>
      </c>
      <c r="D81" s="1">
        <v>1.5</v>
      </c>
      <c r="E81" s="1" t="s">
        <v>11</v>
      </c>
      <c r="F81" s="1">
        <v>2.1</v>
      </c>
      <c r="G81" s="1" t="s">
        <v>11</v>
      </c>
      <c r="H81" s="1">
        <v>0.01</v>
      </c>
      <c r="I81" s="2">
        <f t="shared" si="3"/>
        <v>6.8906394810009282</v>
      </c>
      <c r="J81" s="2">
        <f t="shared" si="4"/>
        <v>9.6848934198331804</v>
      </c>
      <c r="K81" s="2">
        <f t="shared" si="5"/>
        <v>3.2437442075996296E-2</v>
      </c>
    </row>
    <row r="82" spans="1:11" x14ac:dyDescent="0.3">
      <c r="A82">
        <v>81</v>
      </c>
      <c r="B82" t="s">
        <v>100</v>
      </c>
      <c r="C82" s="2">
        <v>0.32329999999999998</v>
      </c>
      <c r="D82" s="1">
        <v>1.6</v>
      </c>
      <c r="E82" s="1" t="s">
        <v>11</v>
      </c>
      <c r="F82" s="1">
        <v>1.7</v>
      </c>
      <c r="G82" s="1" t="s">
        <v>11</v>
      </c>
      <c r="H82" s="1">
        <v>1.6E-2</v>
      </c>
      <c r="I82" s="2">
        <f t="shared" si="3"/>
        <v>7.3631302196102695</v>
      </c>
      <c r="J82" s="2">
        <f t="shared" si="4"/>
        <v>7.8410145375811942</v>
      </c>
      <c r="K82" s="2">
        <f t="shared" si="5"/>
        <v>6.031549644293227E-2</v>
      </c>
    </row>
    <row r="83" spans="1:11" x14ac:dyDescent="0.3">
      <c r="A83">
        <v>82</v>
      </c>
      <c r="B83" t="s">
        <v>101</v>
      </c>
      <c r="C83" s="2">
        <v>0.34670000000000001</v>
      </c>
      <c r="D83" s="1">
        <v>3.4</v>
      </c>
      <c r="E83" s="1" t="s">
        <v>11</v>
      </c>
      <c r="F83" s="1">
        <v>3.5</v>
      </c>
      <c r="G83" s="1" t="s">
        <v>11</v>
      </c>
      <c r="H83" s="1">
        <v>2.7E-2</v>
      </c>
      <c r="I83" s="2">
        <f t="shared" si="3"/>
        <v>14.653879434669742</v>
      </c>
      <c r="J83" s="2">
        <f t="shared" si="4"/>
        <v>15.099509662532448</v>
      </c>
      <c r="K83" s="2">
        <f t="shared" si="5"/>
        <v>0.10383616959907703</v>
      </c>
    </row>
    <row r="84" spans="1:11" x14ac:dyDescent="0.3">
      <c r="A84">
        <v>83</v>
      </c>
      <c r="B84" t="s">
        <v>102</v>
      </c>
      <c r="C84" s="2">
        <v>0.31940000000000002</v>
      </c>
      <c r="D84" s="1">
        <v>1.6</v>
      </c>
      <c r="E84" s="1" t="s">
        <v>11</v>
      </c>
      <c r="F84" s="1">
        <v>4.5999999999999996</v>
      </c>
      <c r="G84" s="1" t="s">
        <v>11</v>
      </c>
      <c r="H84" s="1">
        <v>0.01</v>
      </c>
      <c r="I84" s="2">
        <f t="shared" si="3"/>
        <v>7.4530369442705062</v>
      </c>
      <c r="J84" s="2">
        <f t="shared" si="4"/>
        <v>21.556042579837193</v>
      </c>
      <c r="K84" s="2">
        <f t="shared" si="5"/>
        <v>3.2874139010644961E-2</v>
      </c>
    </row>
    <row r="85" spans="1:11" x14ac:dyDescent="0.3">
      <c r="A85">
        <v>84</v>
      </c>
      <c r="B85" t="s">
        <v>103</v>
      </c>
      <c r="C85" s="2">
        <v>0.35320000000000001</v>
      </c>
      <c r="D85" s="1">
        <v>2</v>
      </c>
      <c r="E85" s="1" t="s">
        <v>11</v>
      </c>
      <c r="F85" s="1">
        <v>5.0999999999999996</v>
      </c>
      <c r="G85" s="1" t="s">
        <v>11</v>
      </c>
      <c r="H85" s="1">
        <v>0.01</v>
      </c>
      <c r="I85" s="2">
        <f t="shared" si="3"/>
        <v>8.4385617214043052</v>
      </c>
      <c r="J85" s="2">
        <f t="shared" si="4"/>
        <v>21.616647791619478</v>
      </c>
      <c r="K85" s="2">
        <f t="shared" si="5"/>
        <v>2.9728199320498305E-2</v>
      </c>
    </row>
    <row r="86" spans="1:11" x14ac:dyDescent="0.3">
      <c r="A86">
        <v>85</v>
      </c>
      <c r="B86" t="s">
        <v>104</v>
      </c>
      <c r="C86" s="2">
        <v>0.32779999999999998</v>
      </c>
      <c r="D86" s="1">
        <v>1.8</v>
      </c>
      <c r="E86" s="1" t="s">
        <v>11</v>
      </c>
      <c r="F86" s="1">
        <v>1.7</v>
      </c>
      <c r="G86" s="1" t="s">
        <v>11</v>
      </c>
      <c r="H86" s="1">
        <v>1.2E-2</v>
      </c>
      <c r="I86" s="2">
        <f t="shared" si="3"/>
        <v>8.1772422208663826</v>
      </c>
      <c r="J86" s="2">
        <f t="shared" si="4"/>
        <v>7.7333740085417935</v>
      </c>
      <c r="K86" s="2">
        <f t="shared" si="5"/>
        <v>4.1183648566198904E-2</v>
      </c>
    </row>
    <row r="87" spans="1:11" x14ac:dyDescent="0.3">
      <c r="A87">
        <v>86</v>
      </c>
      <c r="B87" t="s">
        <v>105</v>
      </c>
      <c r="C87" s="2">
        <v>0.32779999999999998</v>
      </c>
      <c r="D87" s="1">
        <v>1.2</v>
      </c>
      <c r="E87" s="1" t="s">
        <v>11</v>
      </c>
      <c r="F87" s="1">
        <v>2</v>
      </c>
      <c r="G87" s="1" t="s">
        <v>11</v>
      </c>
      <c r="H87" s="1">
        <v>1.6E-2</v>
      </c>
      <c r="I87" s="2">
        <f t="shared" si="3"/>
        <v>5.4316656497864564</v>
      </c>
      <c r="J87" s="2">
        <f t="shared" si="4"/>
        <v>9.1061622940817593</v>
      </c>
      <c r="K87" s="2">
        <f t="shared" si="5"/>
        <v>5.9487492373398426E-2</v>
      </c>
    </row>
    <row r="88" spans="1:11" x14ac:dyDescent="0.3">
      <c r="A88">
        <v>87</v>
      </c>
      <c r="B88" t="s">
        <v>106</v>
      </c>
      <c r="C88" s="2">
        <v>0.32900000000000001</v>
      </c>
      <c r="D88" s="1">
        <v>9.5</v>
      </c>
      <c r="E88" s="1" t="s">
        <v>11</v>
      </c>
      <c r="F88" s="1">
        <v>4.2</v>
      </c>
      <c r="G88" s="1" t="s">
        <v>11</v>
      </c>
      <c r="H88" s="1">
        <v>1.6E-2</v>
      </c>
    </row>
    <row r="89" spans="1:11" x14ac:dyDescent="0.3">
      <c r="A89">
        <v>88</v>
      </c>
      <c r="B89" t="s">
        <v>62</v>
      </c>
      <c r="C89" s="2">
        <v>0</v>
      </c>
      <c r="D89" s="1">
        <v>1.2999999999999999E-2</v>
      </c>
      <c r="E89" s="1" t="s">
        <v>63</v>
      </c>
      <c r="F89" s="1">
        <v>0.01</v>
      </c>
      <c r="G89" s="1" t="s">
        <v>63</v>
      </c>
      <c r="H89" s="1">
        <v>3.0000000000000001E-3</v>
      </c>
    </row>
    <row r="90" spans="1:11" x14ac:dyDescent="0.3">
      <c r="A90">
        <v>89</v>
      </c>
      <c r="B90" t="s">
        <v>107</v>
      </c>
      <c r="C90" s="2">
        <v>0.33710000000000001</v>
      </c>
      <c r="D90" s="1">
        <v>1.5</v>
      </c>
      <c r="E90" s="1" t="s">
        <v>11</v>
      </c>
      <c r="F90" s="1">
        <v>1.3</v>
      </c>
      <c r="G90" s="1" t="s">
        <v>11</v>
      </c>
      <c r="H90" s="1">
        <v>0.01</v>
      </c>
      <c r="I90" s="2">
        <f>(D90-$Q$9)/$R$2*$R$1/C90*$R$3</f>
        <v>6.5633343221595979</v>
      </c>
      <c r="J90" s="2">
        <f>(F90-$R$9)/$R$2*$R$1/C90*$R$3</f>
        <v>5.7401364580243257</v>
      </c>
      <c r="K90" s="2">
        <f>(H90-$S$9)/$R$2*$R$1/C90*$R$3</f>
        <v>3.1148027291604864E-2</v>
      </c>
    </row>
    <row r="91" spans="1:11" x14ac:dyDescent="0.3">
      <c r="A91">
        <v>90</v>
      </c>
      <c r="B91" t="s">
        <v>108</v>
      </c>
      <c r="C91" s="2">
        <v>0.31900000000000001</v>
      </c>
      <c r="D91" s="1">
        <v>2.7</v>
      </c>
      <c r="E91" s="1" t="s">
        <v>11</v>
      </c>
      <c r="F91" s="1">
        <v>1.5</v>
      </c>
      <c r="G91" s="1" t="s">
        <v>11</v>
      </c>
      <c r="H91" s="1">
        <v>1.9E-2</v>
      </c>
      <c r="I91" s="2">
        <f t="shared" ref="I91:I109" si="6">(D91-$Q$9)/$R$2*$R$1/C91*$R$3</f>
        <v>12.578369905956116</v>
      </c>
      <c r="J91" s="2">
        <f t="shared" ref="J91:J109" si="7">(F91-$R$9)/$R$2*$R$1/C91*$R$3</f>
        <v>7.0062695924764897</v>
      </c>
      <c r="K91" s="2">
        <f t="shared" ref="K91:K109" si="8">(H91-$S$9)/$R$2*$R$1/C91*$R$3</f>
        <v>7.5235109717868329E-2</v>
      </c>
    </row>
    <row r="92" spans="1:11" x14ac:dyDescent="0.3">
      <c r="A92">
        <v>91</v>
      </c>
      <c r="B92" t="s">
        <v>109</v>
      </c>
      <c r="C92" s="2">
        <v>0.33660000000000001</v>
      </c>
      <c r="D92" s="1">
        <v>2.4</v>
      </c>
      <c r="E92" s="1" t="s">
        <v>11</v>
      </c>
      <c r="F92" s="1">
        <v>2.4</v>
      </c>
      <c r="G92" s="1" t="s">
        <v>11</v>
      </c>
      <c r="H92" s="1">
        <v>2.1000000000000001E-2</v>
      </c>
      <c r="I92" s="2">
        <f t="shared" si="6"/>
        <v>10.583778966131906</v>
      </c>
      <c r="J92" s="2">
        <f t="shared" si="7"/>
        <v>10.650623885918003</v>
      </c>
      <c r="K92" s="2">
        <f t="shared" si="8"/>
        <v>8.0213903743315509E-2</v>
      </c>
    </row>
    <row r="93" spans="1:11" x14ac:dyDescent="0.3">
      <c r="A93">
        <v>92</v>
      </c>
      <c r="B93" t="s">
        <v>110</v>
      </c>
      <c r="C93" s="2">
        <v>0.33810000000000001</v>
      </c>
      <c r="D93" s="1">
        <v>1.4</v>
      </c>
      <c r="E93" s="1" t="s">
        <v>11</v>
      </c>
      <c r="F93" s="1">
        <v>1.7</v>
      </c>
      <c r="G93" s="1" t="s">
        <v>11</v>
      </c>
      <c r="H93" s="1">
        <v>1.4999999999999999E-2</v>
      </c>
      <c r="I93" s="2">
        <f t="shared" si="6"/>
        <v>6.1002661934338942</v>
      </c>
      <c r="J93" s="2">
        <f t="shared" si="7"/>
        <v>7.4977817213842046</v>
      </c>
      <c r="K93" s="2">
        <f t="shared" si="8"/>
        <v>5.3238686779059449E-2</v>
      </c>
    </row>
    <row r="94" spans="1:11" x14ac:dyDescent="0.3">
      <c r="A94">
        <v>93</v>
      </c>
      <c r="B94" t="s">
        <v>111</v>
      </c>
      <c r="C94" s="2">
        <v>0.34039999999999998</v>
      </c>
      <c r="D94" s="1">
        <v>2.5</v>
      </c>
      <c r="E94" s="1" t="s">
        <v>11</v>
      </c>
      <c r="F94" s="1">
        <v>3.1</v>
      </c>
      <c r="G94" s="1" t="s">
        <v>11</v>
      </c>
      <c r="H94" s="1">
        <v>2.3E-2</v>
      </c>
      <c r="I94" s="2">
        <f t="shared" si="6"/>
        <v>10.906286721504115</v>
      </c>
      <c r="J94" s="2">
        <f t="shared" si="7"/>
        <v>13.616333725029378</v>
      </c>
      <c r="K94" s="2">
        <f t="shared" si="8"/>
        <v>8.8131609870740313E-2</v>
      </c>
    </row>
    <row r="95" spans="1:11" x14ac:dyDescent="0.3">
      <c r="A95">
        <v>94</v>
      </c>
      <c r="B95" t="s">
        <v>112</v>
      </c>
      <c r="C95" s="2">
        <v>0.33929999999999999</v>
      </c>
      <c r="D95" s="1">
        <v>3.3</v>
      </c>
      <c r="E95" s="1" t="s">
        <v>11</v>
      </c>
      <c r="F95" s="1">
        <v>8.1999999999999993</v>
      </c>
      <c r="G95" s="1" t="s">
        <v>11</v>
      </c>
      <c r="H95" s="1">
        <v>2.1999999999999999E-2</v>
      </c>
      <c r="I95" s="2">
        <f t="shared" si="6"/>
        <v>14.478337754199821</v>
      </c>
      <c r="J95" s="2">
        <f t="shared" si="7"/>
        <v>36.206896551724135</v>
      </c>
      <c r="K95" s="2">
        <f t="shared" si="8"/>
        <v>8.3996463306808142E-2</v>
      </c>
    </row>
    <row r="96" spans="1:11" x14ac:dyDescent="0.3">
      <c r="A96">
        <v>95</v>
      </c>
      <c r="B96" t="s">
        <v>113</v>
      </c>
      <c r="C96" s="2">
        <v>0.32019999999999998</v>
      </c>
      <c r="D96" s="1">
        <v>3.3</v>
      </c>
      <c r="E96" s="1" t="s">
        <v>11</v>
      </c>
      <c r="F96" s="1">
        <v>3.2</v>
      </c>
      <c r="G96" s="1" t="s">
        <v>11</v>
      </c>
      <c r="H96" s="1">
        <v>2.7E-2</v>
      </c>
      <c r="I96" s="2">
        <f t="shared" si="6"/>
        <v>15.341973766396002</v>
      </c>
      <c r="J96" s="2">
        <f t="shared" si="7"/>
        <v>14.943785134291071</v>
      </c>
      <c r="K96" s="2">
        <f t="shared" si="8"/>
        <v>0.11242973141786385</v>
      </c>
    </row>
    <row r="97" spans="1:11" x14ac:dyDescent="0.3">
      <c r="A97">
        <v>96</v>
      </c>
      <c r="B97" t="s">
        <v>114</v>
      </c>
      <c r="C97" s="2">
        <v>0.33739999999999998</v>
      </c>
      <c r="D97" s="1">
        <v>3</v>
      </c>
      <c r="E97" s="1" t="s">
        <v>11</v>
      </c>
      <c r="F97" s="1">
        <v>1.5</v>
      </c>
      <c r="G97" s="1" t="s">
        <v>11</v>
      </c>
      <c r="H97" s="1">
        <v>2.3E-2</v>
      </c>
      <c r="I97" s="2">
        <f t="shared" si="6"/>
        <v>13.226141078838177</v>
      </c>
      <c r="J97" s="2">
        <f t="shared" si="7"/>
        <v>6.6241849436870197</v>
      </c>
      <c r="K97" s="2">
        <f t="shared" si="8"/>
        <v>8.8915234143449914E-2</v>
      </c>
    </row>
    <row r="98" spans="1:11" x14ac:dyDescent="0.3">
      <c r="A98">
        <v>97</v>
      </c>
      <c r="B98" t="s">
        <v>115</v>
      </c>
      <c r="C98" s="2">
        <v>0.32150000000000001</v>
      </c>
      <c r="D98" s="1">
        <v>3.1</v>
      </c>
      <c r="E98" s="1" t="s">
        <v>11</v>
      </c>
      <c r="F98" s="1">
        <v>2.2000000000000002</v>
      </c>
      <c r="G98" s="1" t="s">
        <v>11</v>
      </c>
      <c r="H98" s="1">
        <v>2.4E-2</v>
      </c>
      <c r="I98" s="2">
        <f t="shared" si="6"/>
        <v>14.346811819595645</v>
      </c>
      <c r="J98" s="2">
        <f t="shared" si="7"/>
        <v>10.217729393468121</v>
      </c>
      <c r="K98" s="2">
        <f t="shared" si="8"/>
        <v>9.7978227060653192E-2</v>
      </c>
    </row>
    <row r="99" spans="1:11" x14ac:dyDescent="0.3">
      <c r="A99">
        <v>98</v>
      </c>
      <c r="B99" t="s">
        <v>116</v>
      </c>
      <c r="C99" s="2">
        <v>0.34610000000000002</v>
      </c>
      <c r="D99" s="1">
        <v>3</v>
      </c>
      <c r="E99" s="1" t="s">
        <v>11</v>
      </c>
      <c r="F99" s="1">
        <v>9.1999999999999993</v>
      </c>
      <c r="G99" s="1" t="s">
        <v>11</v>
      </c>
      <c r="H99" s="1">
        <v>2.3E-2</v>
      </c>
      <c r="I99" s="2">
        <f t="shared" si="6"/>
        <v>12.893672349032073</v>
      </c>
      <c r="J99" s="2">
        <f t="shared" si="7"/>
        <v>39.829529037850328</v>
      </c>
      <c r="K99" s="2">
        <f t="shared" si="8"/>
        <v>8.6680150245593765E-2</v>
      </c>
    </row>
    <row r="100" spans="1:11" x14ac:dyDescent="0.3">
      <c r="A100">
        <v>99</v>
      </c>
      <c r="B100" t="s">
        <v>117</v>
      </c>
      <c r="C100" s="2">
        <v>0.33250000000000002</v>
      </c>
      <c r="D100" s="1">
        <v>1.5</v>
      </c>
      <c r="E100" s="1" t="s">
        <v>11</v>
      </c>
      <c r="F100" s="1">
        <v>4.4000000000000004</v>
      </c>
      <c r="G100" s="1" t="s">
        <v>11</v>
      </c>
      <c r="H100" s="1">
        <v>1.2E-2</v>
      </c>
      <c r="I100" s="2">
        <f t="shared" si="6"/>
        <v>6.6541353383458652</v>
      </c>
      <c r="J100" s="2">
        <f t="shared" si="7"/>
        <v>19.804511278195488</v>
      </c>
      <c r="K100" s="2">
        <f t="shared" si="8"/>
        <v>4.06015037593985E-2</v>
      </c>
    </row>
    <row r="101" spans="1:11" x14ac:dyDescent="0.3">
      <c r="A101">
        <v>100</v>
      </c>
      <c r="B101" t="s">
        <v>118</v>
      </c>
      <c r="C101" s="2">
        <v>0.35089999999999999</v>
      </c>
      <c r="D101" s="1">
        <v>3.9</v>
      </c>
      <c r="E101" s="1" t="s">
        <v>11</v>
      </c>
      <c r="F101" s="1">
        <v>3.4</v>
      </c>
      <c r="G101" s="1" t="s">
        <v>11</v>
      </c>
      <c r="H101" s="1">
        <v>2.8000000000000001E-2</v>
      </c>
      <c r="I101" s="2">
        <f t="shared" si="6"/>
        <v>16.564548304360216</v>
      </c>
      <c r="J101" s="2">
        <f t="shared" si="7"/>
        <v>14.491308064975778</v>
      </c>
      <c r="K101" s="2">
        <f t="shared" si="8"/>
        <v>0.10686805357651753</v>
      </c>
    </row>
    <row r="102" spans="1:11" x14ac:dyDescent="0.3">
      <c r="A102">
        <v>101</v>
      </c>
      <c r="B102" t="s">
        <v>119</v>
      </c>
      <c r="C102" s="2">
        <v>0.313</v>
      </c>
      <c r="D102" s="1">
        <v>1.7</v>
      </c>
      <c r="E102" s="1" t="s">
        <v>11</v>
      </c>
      <c r="F102" s="1">
        <v>5.3</v>
      </c>
      <c r="G102" s="1" t="s">
        <v>11</v>
      </c>
      <c r="H102" s="1">
        <v>1.2E-2</v>
      </c>
      <c r="I102" s="2">
        <f t="shared" si="6"/>
        <v>8.0271565495207664</v>
      </c>
      <c r="J102" s="2">
        <f t="shared" si="7"/>
        <v>25.351437699680513</v>
      </c>
      <c r="K102" s="2">
        <f t="shared" si="8"/>
        <v>4.3130990415335461E-2</v>
      </c>
    </row>
    <row r="103" spans="1:11" x14ac:dyDescent="0.3">
      <c r="A103">
        <v>102</v>
      </c>
      <c r="B103" t="s">
        <v>120</v>
      </c>
      <c r="C103" s="2">
        <v>0.30480000000000002</v>
      </c>
      <c r="D103" s="1">
        <v>2.7</v>
      </c>
      <c r="E103" s="1" t="s">
        <v>11</v>
      </c>
      <c r="F103" s="1">
        <v>8.1</v>
      </c>
      <c r="G103" s="1" t="s">
        <v>11</v>
      </c>
      <c r="H103" s="1">
        <v>2.7E-2</v>
      </c>
      <c r="I103" s="2">
        <f t="shared" si="6"/>
        <v>13.164370078740159</v>
      </c>
      <c r="J103" s="2">
        <f t="shared" si="7"/>
        <v>39.812992125984245</v>
      </c>
      <c r="K103" s="2">
        <f t="shared" si="8"/>
        <v>0.11811023622047244</v>
      </c>
    </row>
    <row r="104" spans="1:11" x14ac:dyDescent="0.3">
      <c r="A104">
        <v>103</v>
      </c>
      <c r="B104" t="s">
        <v>121</v>
      </c>
      <c r="C104" s="2">
        <v>0.315</v>
      </c>
      <c r="D104" s="1">
        <v>1.5</v>
      </c>
      <c r="E104" s="1" t="s">
        <v>11</v>
      </c>
      <c r="F104" s="1">
        <v>4.8</v>
      </c>
      <c r="G104" s="1" t="s">
        <v>11</v>
      </c>
      <c r="H104" s="1">
        <v>1.4E-2</v>
      </c>
      <c r="I104" s="2">
        <f t="shared" si="6"/>
        <v>7.0238095238095237</v>
      </c>
      <c r="J104" s="2">
        <f t="shared" si="7"/>
        <v>22.809523809523807</v>
      </c>
      <c r="K104" s="2">
        <f t="shared" si="8"/>
        <v>5.2380952380952382E-2</v>
      </c>
    </row>
    <row r="105" spans="1:11" x14ac:dyDescent="0.3">
      <c r="A105">
        <v>104</v>
      </c>
      <c r="B105" t="s">
        <v>122</v>
      </c>
      <c r="C105" s="2">
        <v>0.313</v>
      </c>
      <c r="D105" s="1">
        <v>1.5</v>
      </c>
      <c r="E105" s="1" t="s">
        <v>11</v>
      </c>
      <c r="F105" s="1">
        <v>1.5</v>
      </c>
      <c r="G105" s="1" t="s">
        <v>11</v>
      </c>
      <c r="H105" s="1">
        <v>1.2E-2</v>
      </c>
      <c r="I105" s="2">
        <f t="shared" si="6"/>
        <v>7.0686900958466454</v>
      </c>
      <c r="J105" s="2">
        <f t="shared" si="7"/>
        <v>7.140575079872205</v>
      </c>
      <c r="K105" s="2">
        <f t="shared" si="8"/>
        <v>4.3130990415335461E-2</v>
      </c>
    </row>
    <row r="106" spans="1:11" x14ac:dyDescent="0.3">
      <c r="A106">
        <v>105</v>
      </c>
      <c r="B106" t="s">
        <v>123</v>
      </c>
      <c r="C106" s="2">
        <v>0.31469999999999998</v>
      </c>
      <c r="D106" s="1">
        <v>2.9</v>
      </c>
      <c r="E106" s="1" t="s">
        <v>11</v>
      </c>
      <c r="F106" s="1">
        <v>9.5</v>
      </c>
      <c r="G106" s="1" t="s">
        <v>11</v>
      </c>
      <c r="H106" s="1">
        <v>2.1999999999999999E-2</v>
      </c>
      <c r="I106" s="2">
        <f t="shared" si="6"/>
        <v>13.703527168732126</v>
      </c>
      <c r="J106" s="2">
        <f t="shared" si="7"/>
        <v>45.233555767397526</v>
      </c>
      <c r="K106" s="2">
        <f t="shared" si="8"/>
        <v>9.0562440419447096E-2</v>
      </c>
    </row>
    <row r="107" spans="1:11" x14ac:dyDescent="0.3">
      <c r="A107">
        <v>106</v>
      </c>
      <c r="B107" t="s">
        <v>124</v>
      </c>
      <c r="C107" s="2">
        <v>0.31519999999999998</v>
      </c>
      <c r="D107" s="1">
        <v>1.5</v>
      </c>
      <c r="E107" s="1" t="s">
        <v>11</v>
      </c>
      <c r="F107" s="1">
        <v>1.6</v>
      </c>
      <c r="G107" s="1" t="s">
        <v>11</v>
      </c>
      <c r="H107" s="1">
        <v>1.2E-2</v>
      </c>
      <c r="I107" s="2">
        <f t="shared" si="6"/>
        <v>7.0193527918781733</v>
      </c>
      <c r="J107" s="2">
        <f t="shared" si="7"/>
        <v>7.5666243654822347</v>
      </c>
      <c r="K107" s="2">
        <f t="shared" si="8"/>
        <v>4.2829949238578684E-2</v>
      </c>
    </row>
    <row r="108" spans="1:11" x14ac:dyDescent="0.3">
      <c r="A108">
        <v>107</v>
      </c>
      <c r="B108" t="s">
        <v>125</v>
      </c>
      <c r="C108" s="2">
        <v>0.34339999999999998</v>
      </c>
      <c r="D108" s="1">
        <v>3.7</v>
      </c>
      <c r="E108" s="1" t="s">
        <v>11</v>
      </c>
      <c r="F108" s="1">
        <v>2.9</v>
      </c>
      <c r="G108" s="1" t="s">
        <v>11</v>
      </c>
      <c r="H108" s="1">
        <v>2.3E-2</v>
      </c>
      <c r="I108" s="2">
        <f t="shared" si="6"/>
        <v>16.052708211997675</v>
      </c>
      <c r="J108" s="2">
        <f t="shared" si="7"/>
        <v>12.623762376237623</v>
      </c>
      <c r="K108" s="2">
        <f t="shared" si="8"/>
        <v>8.7361677344205024E-2</v>
      </c>
    </row>
    <row r="109" spans="1:11" x14ac:dyDescent="0.3">
      <c r="A109">
        <v>108</v>
      </c>
      <c r="B109" t="s">
        <v>126</v>
      </c>
      <c r="C109" s="2">
        <v>0.32669999999999999</v>
      </c>
      <c r="D109" s="1">
        <v>3.5</v>
      </c>
      <c r="E109" s="1" t="s">
        <v>11</v>
      </c>
      <c r="F109" s="1">
        <v>2.6</v>
      </c>
      <c r="G109" s="1" t="s">
        <v>11</v>
      </c>
      <c r="H109" s="1">
        <v>2.1000000000000001E-2</v>
      </c>
      <c r="I109" s="2">
        <f t="shared" si="6"/>
        <v>15.95500459136823</v>
      </c>
      <c r="J109" s="2">
        <f t="shared" si="7"/>
        <v>11.89164370982553</v>
      </c>
      <c r="K109" s="2">
        <f t="shared" si="8"/>
        <v>8.2644628099173556E-2</v>
      </c>
    </row>
    <row r="110" spans="1:11" x14ac:dyDescent="0.3">
      <c r="A110">
        <v>109</v>
      </c>
      <c r="B110" t="s">
        <v>106</v>
      </c>
      <c r="C110" s="2">
        <v>0.32469999999999999</v>
      </c>
      <c r="D110" s="1">
        <v>9.1</v>
      </c>
      <c r="E110" s="1" t="s">
        <v>11</v>
      </c>
      <c r="F110" s="1">
        <v>3.9</v>
      </c>
      <c r="G110" s="1" t="s">
        <v>11</v>
      </c>
      <c r="H110" s="1">
        <v>1.6E-2</v>
      </c>
    </row>
    <row r="111" spans="1:11" x14ac:dyDescent="0.3">
      <c r="A111">
        <v>110</v>
      </c>
      <c r="B111" t="s">
        <v>62</v>
      </c>
      <c r="C111" s="2">
        <v>0</v>
      </c>
      <c r="D111" s="1">
        <v>2.4E-2</v>
      </c>
      <c r="E111" s="1" t="s">
        <v>63</v>
      </c>
      <c r="F111" s="1">
        <v>0.01</v>
      </c>
      <c r="G111" s="1" t="s">
        <v>63</v>
      </c>
      <c r="H111" s="1">
        <v>3.0000000000000001E-3</v>
      </c>
    </row>
    <row r="112" spans="1:11" x14ac:dyDescent="0.3">
      <c r="A112">
        <v>111</v>
      </c>
      <c r="B112" t="s">
        <v>62</v>
      </c>
      <c r="C112" s="2">
        <v>0</v>
      </c>
      <c r="D112" s="1">
        <v>3.9E-2</v>
      </c>
      <c r="E112" s="1" t="s">
        <v>63</v>
      </c>
      <c r="F112" s="1">
        <v>0.01</v>
      </c>
      <c r="G112" s="1" t="s">
        <v>63</v>
      </c>
      <c r="H112" s="1">
        <v>3.0000000000000001E-3</v>
      </c>
    </row>
    <row r="113" spans="1:8" x14ac:dyDescent="0.3">
      <c r="A113">
        <v>112</v>
      </c>
      <c r="B113" t="s">
        <v>62</v>
      </c>
      <c r="C113" s="2">
        <v>0</v>
      </c>
      <c r="D113" s="1">
        <v>1.2999999999999999E-2</v>
      </c>
      <c r="E113" s="1" t="s">
        <v>63</v>
      </c>
      <c r="F113" s="1">
        <v>0.01</v>
      </c>
      <c r="G113" s="1" t="s">
        <v>63</v>
      </c>
      <c r="H113" s="1">
        <v>3.0000000000000001E-3</v>
      </c>
    </row>
    <row r="114" spans="1:8" x14ac:dyDescent="0.3">
      <c r="D114" s="3">
        <f>AVERAGE(D111:D113)</f>
        <v>2.5333333333333333E-2</v>
      </c>
      <c r="F114">
        <f>AVERAGE(F111:F113)</f>
        <v>0.01</v>
      </c>
      <c r="H114">
        <f>AVERAGE(H111:H113)</f>
        <v>3.0000000000000005E-3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abSelected="1" workbookViewId="0"/>
  </sheetViews>
  <sheetFormatPr baseColWidth="10" defaultColWidth="11.44140625" defaultRowHeight="14.4" x14ac:dyDescent="0.3"/>
  <cols>
    <col min="8" max="8" width="16.109375" customWidth="1"/>
    <col min="9" max="9" width="14.5546875" customWidth="1"/>
    <col min="10" max="10" width="15.33203125" customWidth="1"/>
    <col min="19" max="19" width="14.88671875" customWidth="1"/>
    <col min="20" max="20" width="14.44140625" customWidth="1"/>
    <col min="21" max="21" width="14.6640625" customWidth="1"/>
  </cols>
  <sheetData>
    <row r="1" spans="1:10" x14ac:dyDescent="0.3">
      <c r="A1" t="s">
        <v>1</v>
      </c>
      <c r="B1" t="s">
        <v>2</v>
      </c>
      <c r="C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21</v>
      </c>
      <c r="B2" s="2">
        <v>0.35410000000000003</v>
      </c>
      <c r="C2">
        <v>4</v>
      </c>
      <c r="D2" t="s">
        <v>11</v>
      </c>
      <c r="E2">
        <v>2.2000000000000002</v>
      </c>
      <c r="F2" t="s">
        <v>11</v>
      </c>
      <c r="G2">
        <v>3.3000000000000002E-2</v>
      </c>
      <c r="H2" s="2">
        <v>16.889296808811068</v>
      </c>
      <c r="I2" s="2">
        <v>9.277040384072297</v>
      </c>
      <c r="J2" s="2">
        <v>0.12708274498729172</v>
      </c>
    </row>
    <row r="3" spans="1:10" x14ac:dyDescent="0.3">
      <c r="A3" t="s">
        <v>23</v>
      </c>
      <c r="B3" s="2">
        <v>0.33700000000000002</v>
      </c>
      <c r="C3">
        <v>1.8</v>
      </c>
      <c r="D3" t="s">
        <v>11</v>
      </c>
      <c r="E3">
        <v>1.8</v>
      </c>
      <c r="F3" t="s">
        <v>11</v>
      </c>
      <c r="G3">
        <v>1.6E-2</v>
      </c>
      <c r="H3" s="2">
        <v>7.9540059347181016</v>
      </c>
      <c r="I3" s="2">
        <v>7.9673590504451042</v>
      </c>
      <c r="J3" s="2">
        <v>5.7863501483679532E-2</v>
      </c>
    </row>
    <row r="4" spans="1:10" x14ac:dyDescent="0.3">
      <c r="A4" t="s">
        <v>34</v>
      </c>
      <c r="B4" s="2">
        <v>0.30130000000000001</v>
      </c>
      <c r="C4">
        <v>4.7</v>
      </c>
      <c r="D4" t="s">
        <v>11</v>
      </c>
      <c r="E4">
        <v>2.1</v>
      </c>
      <c r="F4" t="s">
        <v>11</v>
      </c>
      <c r="G4">
        <v>2.5000000000000001E-2</v>
      </c>
      <c r="H4" s="2">
        <v>23.333886491868572</v>
      </c>
      <c r="I4" s="2">
        <v>10.404912047792898</v>
      </c>
      <c r="J4" s="2">
        <v>0.10952538997676736</v>
      </c>
    </row>
    <row r="5" spans="1:10" x14ac:dyDescent="0.3">
      <c r="A5" t="s">
        <v>35</v>
      </c>
      <c r="B5" s="2">
        <v>0.3009</v>
      </c>
      <c r="C5">
        <v>1.6</v>
      </c>
      <c r="D5" t="s">
        <v>11</v>
      </c>
      <c r="E5">
        <v>1.5</v>
      </c>
      <c r="F5" t="s">
        <v>11</v>
      </c>
      <c r="G5">
        <v>1.2999999999999999E-2</v>
      </c>
      <c r="H5" s="2">
        <v>7.9112662013958124</v>
      </c>
      <c r="I5" s="2">
        <v>7.4277168494516461</v>
      </c>
      <c r="J5" s="2">
        <v>4.9850448654037885E-2</v>
      </c>
    </row>
    <row r="6" spans="1:10" x14ac:dyDescent="0.3">
      <c r="A6" t="s">
        <v>53</v>
      </c>
      <c r="B6" s="2">
        <v>0.31119999999999998</v>
      </c>
      <c r="C6">
        <v>4.8</v>
      </c>
      <c r="D6" t="s">
        <v>11</v>
      </c>
      <c r="E6">
        <v>1.9</v>
      </c>
      <c r="F6" t="s">
        <v>11</v>
      </c>
      <c r="G6">
        <v>0.03</v>
      </c>
      <c r="H6" s="2">
        <v>23.073586118251928</v>
      </c>
      <c r="I6" s="2">
        <v>9.1098971722365043</v>
      </c>
      <c r="J6" s="2">
        <v>0.13014138817480722</v>
      </c>
    </row>
    <row r="7" spans="1:10" x14ac:dyDescent="0.3">
      <c r="A7" t="s">
        <v>54</v>
      </c>
      <c r="B7" s="2">
        <v>0.34250000000000003</v>
      </c>
      <c r="C7">
        <v>2.4</v>
      </c>
      <c r="D7" t="s">
        <v>11</v>
      </c>
      <c r="E7">
        <v>1.5</v>
      </c>
      <c r="F7" t="s">
        <v>11</v>
      </c>
      <c r="G7">
        <v>1.7000000000000001E-2</v>
      </c>
      <c r="H7" s="2">
        <v>10.454014598540144</v>
      </c>
      <c r="I7" s="2">
        <v>6.5255474452554747</v>
      </c>
      <c r="J7" s="2">
        <v>6.1313868613138686E-2</v>
      </c>
    </row>
    <row r="8" spans="1:10" x14ac:dyDescent="0.3">
      <c r="A8" t="s">
        <v>32</v>
      </c>
      <c r="B8" s="2">
        <v>0.31480000000000002</v>
      </c>
      <c r="C8">
        <v>7</v>
      </c>
      <c r="D8" t="s">
        <v>11</v>
      </c>
      <c r="E8">
        <v>1.8</v>
      </c>
      <c r="F8" t="s">
        <v>11</v>
      </c>
      <c r="G8">
        <v>2.5999999999999999E-2</v>
      </c>
      <c r="H8" s="2">
        <v>33.292566709021607</v>
      </c>
      <c r="I8" s="2">
        <v>8.5292249047013975</v>
      </c>
      <c r="J8" s="2">
        <v>0.1095933926302414</v>
      </c>
    </row>
    <row r="9" spans="1:10" x14ac:dyDescent="0.3">
      <c r="A9" t="s">
        <v>33</v>
      </c>
      <c r="B9" s="2">
        <v>0.31359999999999999</v>
      </c>
      <c r="C9">
        <v>2.6</v>
      </c>
      <c r="D9" t="s">
        <v>11</v>
      </c>
      <c r="E9">
        <v>1.4</v>
      </c>
      <c r="F9" t="s">
        <v>11</v>
      </c>
      <c r="G9">
        <v>1.4999999999999999E-2</v>
      </c>
      <c r="H9" s="2">
        <v>12.374043367346941</v>
      </c>
      <c r="I9" s="2">
        <v>6.6485969387755111</v>
      </c>
      <c r="J9" s="2">
        <v>5.7397959183673478E-2</v>
      </c>
    </row>
    <row r="10" spans="1:10" x14ac:dyDescent="0.3">
      <c r="A10" t="s">
        <v>66</v>
      </c>
      <c r="B10" s="2">
        <v>0.31340000000000001</v>
      </c>
      <c r="C10">
        <v>6</v>
      </c>
      <c r="D10" t="s">
        <v>11</v>
      </c>
      <c r="E10">
        <v>2.2000000000000002</v>
      </c>
      <c r="F10" t="s">
        <v>11</v>
      </c>
      <c r="G10">
        <v>3.1E-2</v>
      </c>
      <c r="H10" s="2">
        <v>28.655073388640712</v>
      </c>
      <c r="I10" s="2">
        <v>10.481812380344611</v>
      </c>
      <c r="J10" s="2">
        <v>0.13401403956604976</v>
      </c>
    </row>
    <row r="11" spans="1:10" x14ac:dyDescent="0.3">
      <c r="A11" t="s">
        <v>67</v>
      </c>
      <c r="B11" s="2">
        <v>0.3468</v>
      </c>
      <c r="C11">
        <v>3.1</v>
      </c>
      <c r="D11" t="s">
        <v>11</v>
      </c>
      <c r="E11">
        <v>2</v>
      </c>
      <c r="F11" t="s">
        <v>11</v>
      </c>
      <c r="G11">
        <v>1.9E-2</v>
      </c>
      <c r="H11" s="2">
        <v>13.352076124567475</v>
      </c>
      <c r="I11" s="2">
        <v>8.6072664359861584</v>
      </c>
      <c r="J11" s="2">
        <v>6.920415224913494E-2</v>
      </c>
    </row>
    <row r="12" spans="1:10" x14ac:dyDescent="0.3">
      <c r="A12" t="s">
        <v>48</v>
      </c>
      <c r="B12" s="2">
        <v>0.35339999999999999</v>
      </c>
      <c r="C12">
        <v>6.8</v>
      </c>
      <c r="D12" t="s">
        <v>11</v>
      </c>
      <c r="E12">
        <v>2.2000000000000002</v>
      </c>
      <c r="F12" t="s">
        <v>11</v>
      </c>
      <c r="G12">
        <v>3.4000000000000002E-2</v>
      </c>
      <c r="H12" s="2">
        <v>28.807300509337857</v>
      </c>
      <c r="I12" s="2">
        <v>9.2954159592529741</v>
      </c>
      <c r="J12" s="2">
        <v>0.13157894736842107</v>
      </c>
    </row>
    <row r="13" spans="1:10" x14ac:dyDescent="0.3">
      <c r="A13" t="s">
        <v>52</v>
      </c>
      <c r="B13" s="2">
        <v>0.3906</v>
      </c>
      <c r="C13">
        <v>3.4</v>
      </c>
      <c r="D13" t="s">
        <v>11</v>
      </c>
      <c r="E13">
        <v>2.1</v>
      </c>
      <c r="F13" t="s">
        <v>11</v>
      </c>
      <c r="G13">
        <v>1.9E-2</v>
      </c>
      <c r="H13" s="2">
        <v>13.006912442396313</v>
      </c>
      <c r="I13" s="2">
        <v>8.0261136712749614</v>
      </c>
      <c r="J13" s="2">
        <v>6.1443932411674333E-2</v>
      </c>
    </row>
    <row r="14" spans="1:10" x14ac:dyDescent="0.3">
      <c r="A14" t="s">
        <v>72</v>
      </c>
      <c r="B14" s="2">
        <v>0.30080000000000001</v>
      </c>
      <c r="C14">
        <v>5.5</v>
      </c>
      <c r="D14" t="s">
        <v>11</v>
      </c>
      <c r="E14">
        <v>2</v>
      </c>
      <c r="F14" t="s">
        <v>11</v>
      </c>
      <c r="G14">
        <v>2.8000000000000001E-2</v>
      </c>
      <c r="H14" s="2">
        <v>27.36203457446808</v>
      </c>
      <c r="I14" s="2">
        <v>9.9235372340425538</v>
      </c>
      <c r="J14" s="2">
        <v>0.12466755319148937</v>
      </c>
    </row>
    <row r="15" spans="1:10" x14ac:dyDescent="0.3">
      <c r="A15" t="s">
        <v>73</v>
      </c>
      <c r="B15" s="2">
        <v>0.31269999999999998</v>
      </c>
      <c r="C15">
        <v>3.2</v>
      </c>
      <c r="D15" t="s">
        <v>11</v>
      </c>
      <c r="E15">
        <v>1.5</v>
      </c>
      <c r="F15" t="s">
        <v>11</v>
      </c>
      <c r="G15">
        <v>1.4999999999999999E-2</v>
      </c>
      <c r="H15" s="2">
        <v>15.287815797889351</v>
      </c>
      <c r="I15" s="2">
        <v>7.1474256475855462</v>
      </c>
      <c r="J15" s="2">
        <v>5.7563159577870171E-2</v>
      </c>
    </row>
    <row r="16" spans="1:10" x14ac:dyDescent="0.3">
      <c r="A16" t="s">
        <v>60</v>
      </c>
      <c r="B16" s="2">
        <v>0.36359999999999998</v>
      </c>
      <c r="C16">
        <v>3</v>
      </c>
      <c r="D16" t="s">
        <v>11</v>
      </c>
      <c r="E16">
        <v>3</v>
      </c>
      <c r="F16" t="s">
        <v>11</v>
      </c>
      <c r="G16">
        <v>3.4000000000000002E-2</v>
      </c>
      <c r="H16" s="2">
        <v>12.322607260726071</v>
      </c>
      <c r="I16" s="2">
        <v>12.334983498349835</v>
      </c>
      <c r="J16" s="2">
        <v>0.12788778877887791</v>
      </c>
    </row>
    <row r="17" spans="1:10" x14ac:dyDescent="0.3">
      <c r="A17" t="s">
        <v>50</v>
      </c>
      <c r="B17" s="2">
        <v>0.33050000000000002</v>
      </c>
      <c r="C17">
        <v>1.8</v>
      </c>
      <c r="D17" t="s">
        <v>11</v>
      </c>
      <c r="E17">
        <v>1.9</v>
      </c>
      <c r="F17" t="s">
        <v>11</v>
      </c>
      <c r="G17">
        <v>1.7000000000000001E-2</v>
      </c>
      <c r="H17" s="2">
        <v>8.1104387291981848</v>
      </c>
      <c r="I17" s="2">
        <v>8.5779122541603616</v>
      </c>
      <c r="J17" s="2">
        <v>6.3540090771558241E-2</v>
      </c>
    </row>
    <row r="18" spans="1:10" x14ac:dyDescent="0.3">
      <c r="A18" t="s">
        <v>57</v>
      </c>
      <c r="B18" s="2">
        <v>0.33429999999999999</v>
      </c>
      <c r="C18">
        <v>4.0999999999999996</v>
      </c>
      <c r="D18" t="s">
        <v>11</v>
      </c>
      <c r="E18">
        <v>3.1</v>
      </c>
      <c r="F18" t="s">
        <v>11</v>
      </c>
      <c r="G18">
        <v>3.1E-2</v>
      </c>
      <c r="H18" s="2">
        <v>18.338318875261738</v>
      </c>
      <c r="I18" s="2">
        <v>13.864792102901587</v>
      </c>
      <c r="J18" s="2">
        <v>0.125635656595872</v>
      </c>
    </row>
    <row r="19" spans="1:10" x14ac:dyDescent="0.3">
      <c r="A19" t="s">
        <v>49</v>
      </c>
      <c r="B19" s="2">
        <v>0.32350000000000001</v>
      </c>
      <c r="C19">
        <v>1.4</v>
      </c>
      <c r="D19" t="s">
        <v>11</v>
      </c>
      <c r="E19">
        <v>2</v>
      </c>
      <c r="F19" t="s">
        <v>11</v>
      </c>
      <c r="G19">
        <v>1.4999999999999999E-2</v>
      </c>
      <c r="H19" s="2">
        <v>6.4312210200927353</v>
      </c>
      <c r="I19" s="2">
        <v>9.2272024729520865</v>
      </c>
      <c r="J19" s="2">
        <v>5.5641421947449768E-2</v>
      </c>
    </row>
    <row r="20" spans="1:10" x14ac:dyDescent="0.3">
      <c r="A20" t="s">
        <v>38</v>
      </c>
      <c r="B20" s="2">
        <v>0.3417</v>
      </c>
      <c r="C20">
        <v>6.1</v>
      </c>
      <c r="D20" t="s">
        <v>11</v>
      </c>
      <c r="E20">
        <v>3.5</v>
      </c>
      <c r="F20" t="s">
        <v>11</v>
      </c>
      <c r="G20">
        <v>3.1E-2</v>
      </c>
      <c r="H20" s="2">
        <v>26.720807726075503</v>
      </c>
      <c r="I20" s="2">
        <v>15.320456540825287</v>
      </c>
      <c r="J20" s="2">
        <v>0.12291483757682177</v>
      </c>
    </row>
    <row r="21" spans="1:10" x14ac:dyDescent="0.3">
      <c r="A21" t="s">
        <v>39</v>
      </c>
      <c r="B21" s="2">
        <v>0.31879999999999997</v>
      </c>
      <c r="C21">
        <v>1.8</v>
      </c>
      <c r="D21" t="s">
        <v>11</v>
      </c>
      <c r="E21">
        <v>2.2999999999999998</v>
      </c>
      <c r="F21" t="s">
        <v>11</v>
      </c>
      <c r="G21">
        <v>1.7000000000000001E-2</v>
      </c>
      <c r="H21" s="2">
        <v>8.4080928481806794</v>
      </c>
      <c r="I21" s="2">
        <v>10.774780426599749</v>
      </c>
      <c r="J21" s="2">
        <v>6.5872020075282312E-2</v>
      </c>
    </row>
    <row r="22" spans="1:10" x14ac:dyDescent="0.3">
      <c r="A22" t="s">
        <v>25</v>
      </c>
      <c r="B22" s="2">
        <v>0.35570000000000002</v>
      </c>
      <c r="C22">
        <v>7</v>
      </c>
      <c r="D22" t="s">
        <v>11</v>
      </c>
      <c r="E22">
        <v>3.1</v>
      </c>
      <c r="F22" t="s">
        <v>11</v>
      </c>
      <c r="G22">
        <v>2.8000000000000001E-2</v>
      </c>
      <c r="H22" s="2">
        <v>29.464436322743886</v>
      </c>
      <c r="I22" s="2">
        <v>13.030643800955863</v>
      </c>
      <c r="J22" s="2">
        <v>0.10542592071970762</v>
      </c>
    </row>
    <row r="23" spans="1:10" x14ac:dyDescent="0.3">
      <c r="A23" t="s">
        <v>27</v>
      </c>
      <c r="B23" s="2">
        <v>0.31990000000000002</v>
      </c>
      <c r="C23">
        <v>1.9</v>
      </c>
      <c r="D23" t="s">
        <v>11</v>
      </c>
      <c r="E23">
        <v>2.2000000000000002</v>
      </c>
      <c r="F23" t="s">
        <v>11</v>
      </c>
      <c r="G23">
        <v>1.6E-2</v>
      </c>
      <c r="H23" s="2">
        <v>8.848077524226321</v>
      </c>
      <c r="I23" s="2">
        <v>10.268834010628325</v>
      </c>
      <c r="J23" s="2">
        <v>6.0956548921537984E-2</v>
      </c>
    </row>
    <row r="24" spans="1:10" x14ac:dyDescent="0.3">
      <c r="A24" t="s">
        <v>68</v>
      </c>
      <c r="B24" s="2">
        <v>0.30549999999999999</v>
      </c>
      <c r="C24">
        <v>4.7</v>
      </c>
      <c r="D24" t="s">
        <v>11</v>
      </c>
      <c r="E24">
        <v>3</v>
      </c>
      <c r="F24" t="s">
        <v>11</v>
      </c>
      <c r="G24">
        <v>2.7E-2</v>
      </c>
      <c r="H24" s="2">
        <v>23.013093289689039</v>
      </c>
      <c r="I24" s="2">
        <v>14.680851063829788</v>
      </c>
      <c r="J24" s="2">
        <v>0.11783960720130934</v>
      </c>
    </row>
    <row r="25" spans="1:10" x14ac:dyDescent="0.3">
      <c r="A25" t="s">
        <v>69</v>
      </c>
      <c r="B25" s="2">
        <v>0.32529999999999998</v>
      </c>
      <c r="C25">
        <v>2</v>
      </c>
      <c r="D25" t="s">
        <v>11</v>
      </c>
      <c r="E25">
        <v>2</v>
      </c>
      <c r="F25" t="s">
        <v>11</v>
      </c>
      <c r="G25">
        <v>1.6E-2</v>
      </c>
      <c r="H25" s="2">
        <v>9.1623117122656019</v>
      </c>
      <c r="I25" s="2">
        <v>9.1761450968336931</v>
      </c>
      <c r="J25" s="2">
        <v>5.994466646172765E-2</v>
      </c>
    </row>
    <row r="26" spans="1:10" x14ac:dyDescent="0.3">
      <c r="A26" t="s">
        <v>42</v>
      </c>
      <c r="B26" s="2">
        <v>0.30869999999999997</v>
      </c>
      <c r="C26">
        <v>6.6</v>
      </c>
      <c r="D26" t="s">
        <v>11</v>
      </c>
      <c r="E26">
        <v>2.6</v>
      </c>
      <c r="F26" t="s">
        <v>11</v>
      </c>
      <c r="G26">
        <v>3.1E-2</v>
      </c>
      <c r="H26" s="2">
        <v>32.006802721088441</v>
      </c>
      <c r="I26" s="2">
        <v>12.585034013605444</v>
      </c>
      <c r="J26" s="2">
        <v>0.1360544217687075</v>
      </c>
    </row>
    <row r="27" spans="1:10" x14ac:dyDescent="0.3">
      <c r="A27" t="s">
        <v>43</v>
      </c>
      <c r="B27" s="2">
        <v>0.31090000000000001</v>
      </c>
      <c r="C27">
        <v>1.6</v>
      </c>
      <c r="D27" t="s">
        <v>11</v>
      </c>
      <c r="E27">
        <v>1.9</v>
      </c>
      <c r="F27" t="s">
        <v>11</v>
      </c>
      <c r="G27">
        <v>1.7000000000000001E-2</v>
      </c>
      <c r="H27" s="2">
        <v>7.6568028304921194</v>
      </c>
      <c r="I27" s="2">
        <v>9.1186876809263424</v>
      </c>
      <c r="J27" s="2">
        <v>6.7545834673528468E-2</v>
      </c>
    </row>
    <row r="28" spans="1:10" x14ac:dyDescent="0.3">
      <c r="A28" t="s">
        <v>51</v>
      </c>
      <c r="B28" s="2">
        <v>0.35099999999999998</v>
      </c>
      <c r="C28">
        <v>7.2</v>
      </c>
      <c r="D28" t="s">
        <v>11</v>
      </c>
      <c r="E28">
        <v>2.8</v>
      </c>
      <c r="F28" t="s">
        <v>11</v>
      </c>
      <c r="G28">
        <v>3.2000000000000001E-2</v>
      </c>
      <c r="H28" s="2">
        <v>30.713675213675216</v>
      </c>
      <c r="I28" s="2">
        <v>11.923076923076923</v>
      </c>
      <c r="J28" s="2">
        <v>0.12393162393162394</v>
      </c>
    </row>
    <row r="29" spans="1:10" x14ac:dyDescent="0.3">
      <c r="A29" t="s">
        <v>10</v>
      </c>
      <c r="B29" s="2">
        <v>0.30709999999999998</v>
      </c>
      <c r="C29">
        <v>1.8</v>
      </c>
      <c r="D29" t="s">
        <v>11</v>
      </c>
      <c r="E29">
        <v>1.7</v>
      </c>
      <c r="F29" t="s">
        <v>11</v>
      </c>
      <c r="G29">
        <v>1.4E-2</v>
      </c>
      <c r="H29" s="2">
        <v>8.728427222403127</v>
      </c>
      <c r="I29" s="2">
        <v>8.2546401823510251</v>
      </c>
      <c r="J29" s="2">
        <v>5.3728427222403126E-2</v>
      </c>
    </row>
    <row r="30" spans="1:10" x14ac:dyDescent="0.3">
      <c r="A30" t="s">
        <v>28</v>
      </c>
      <c r="B30" s="2">
        <v>0.3453</v>
      </c>
      <c r="C30">
        <v>2.9</v>
      </c>
      <c r="D30" t="s">
        <v>11</v>
      </c>
      <c r="E30">
        <v>3</v>
      </c>
      <c r="F30" t="s">
        <v>11</v>
      </c>
      <c r="G30">
        <v>3.1E-2</v>
      </c>
      <c r="H30" s="2">
        <v>12.541268462206775</v>
      </c>
      <c r="I30" s="2">
        <v>12.988705473501302</v>
      </c>
      <c r="J30" s="2">
        <v>0.12163336229365769</v>
      </c>
    </row>
    <row r="31" spans="1:10" x14ac:dyDescent="0.3">
      <c r="A31" t="s">
        <v>29</v>
      </c>
      <c r="B31" s="2">
        <v>0.36940000000000001</v>
      </c>
      <c r="C31">
        <v>1.8</v>
      </c>
      <c r="D31" t="s">
        <v>11</v>
      </c>
      <c r="E31">
        <v>2.2000000000000002</v>
      </c>
      <c r="F31" t="s">
        <v>11</v>
      </c>
      <c r="G31">
        <v>1.7000000000000001E-2</v>
      </c>
      <c r="H31" s="2">
        <v>7.2563616675690321</v>
      </c>
      <c r="I31" s="2">
        <v>8.8927991337303762</v>
      </c>
      <c r="J31" s="2">
        <v>5.6848944233892799E-2</v>
      </c>
    </row>
    <row r="32" spans="1:10" x14ac:dyDescent="0.3">
      <c r="A32" t="s">
        <v>127</v>
      </c>
      <c r="B32" s="2">
        <v>0.35709999999999997</v>
      </c>
      <c r="C32">
        <v>4.0999999999999996</v>
      </c>
      <c r="D32" t="s">
        <v>11</v>
      </c>
      <c r="E32">
        <v>3.4</v>
      </c>
      <c r="F32" t="s">
        <v>11</v>
      </c>
      <c r="G32">
        <v>3.7999999999999999E-2</v>
      </c>
      <c r="H32" s="2">
        <v>17.167460095211425</v>
      </c>
      <c r="I32" s="2">
        <v>14.239708765051809</v>
      </c>
      <c r="J32" s="2">
        <v>0.14701764211705404</v>
      </c>
    </row>
    <row r="33" spans="1:10" x14ac:dyDescent="0.3">
      <c r="A33" t="s">
        <v>128</v>
      </c>
      <c r="B33" s="2">
        <v>0.35170000000000001</v>
      </c>
      <c r="C33">
        <v>1.8</v>
      </c>
      <c r="D33" t="s">
        <v>11</v>
      </c>
      <c r="E33">
        <v>2.5</v>
      </c>
      <c r="F33" t="s">
        <v>11</v>
      </c>
      <c r="G33">
        <v>2.1000000000000001E-2</v>
      </c>
      <c r="H33" s="2">
        <v>7.6215524594825137</v>
      </c>
      <c r="I33" s="2">
        <v>10.61984646005118</v>
      </c>
      <c r="J33" s="2">
        <v>7.6769974410008532E-2</v>
      </c>
    </row>
    <row r="34" spans="1:10" x14ac:dyDescent="0.3">
      <c r="A34" t="s">
        <v>46</v>
      </c>
      <c r="B34" s="2">
        <v>0.32190000000000002</v>
      </c>
      <c r="C34">
        <v>4.7</v>
      </c>
      <c r="D34" t="s">
        <v>11</v>
      </c>
      <c r="E34">
        <v>3.2</v>
      </c>
      <c r="F34" t="s">
        <v>11</v>
      </c>
      <c r="G34">
        <v>0.03</v>
      </c>
      <c r="H34" s="2">
        <v>21.84063373718546</v>
      </c>
      <c r="I34" s="2">
        <v>14.864864864864868</v>
      </c>
      <c r="J34" s="2">
        <v>0.12581547064305684</v>
      </c>
    </row>
    <row r="35" spans="1:10" x14ac:dyDescent="0.3">
      <c r="A35" t="s">
        <v>47</v>
      </c>
      <c r="B35" s="2">
        <v>0.32719999999999999</v>
      </c>
      <c r="C35">
        <v>1.6</v>
      </c>
      <c r="D35" t="s">
        <v>11</v>
      </c>
      <c r="E35">
        <v>2.2999999999999998</v>
      </c>
      <c r="F35" t="s">
        <v>11</v>
      </c>
      <c r="G35">
        <v>1.7000000000000001E-2</v>
      </c>
      <c r="H35" s="2">
        <v>7.2753667481662596</v>
      </c>
      <c r="I35" s="2">
        <v>10.498166259168704</v>
      </c>
      <c r="J35" s="2">
        <v>6.4180929095354528E-2</v>
      </c>
    </row>
    <row r="36" spans="1:10" x14ac:dyDescent="0.3">
      <c r="A36" t="s">
        <v>13</v>
      </c>
      <c r="B36" s="2">
        <v>0.33129999999999998</v>
      </c>
      <c r="C36">
        <v>5.9</v>
      </c>
      <c r="D36" t="s">
        <v>11</v>
      </c>
      <c r="E36">
        <v>3.6</v>
      </c>
      <c r="F36" t="s">
        <v>11</v>
      </c>
      <c r="G36">
        <v>3.1E-2</v>
      </c>
      <c r="H36" s="2">
        <v>26.654089948686995</v>
      </c>
      <c r="I36" s="2">
        <v>16.254150316933295</v>
      </c>
      <c r="J36" s="2">
        <v>0.12677331723513433</v>
      </c>
    </row>
    <row r="37" spans="1:10" x14ac:dyDescent="0.3">
      <c r="A37" t="s">
        <v>15</v>
      </c>
      <c r="B37" s="2">
        <v>0.32700000000000001</v>
      </c>
      <c r="C37">
        <v>2.2000000000000002</v>
      </c>
      <c r="D37" t="s">
        <v>11</v>
      </c>
      <c r="E37">
        <v>2.2000000000000002</v>
      </c>
      <c r="F37" t="s">
        <v>11</v>
      </c>
      <c r="G37">
        <v>1.4999999999999999E-2</v>
      </c>
      <c r="H37" s="2">
        <v>10.032110091743119</v>
      </c>
      <c r="I37" s="2">
        <v>10.045871559633031</v>
      </c>
      <c r="J37" s="2">
        <v>5.5045871559633031E-2</v>
      </c>
    </row>
    <row r="38" spans="1:10" x14ac:dyDescent="0.3">
      <c r="A38" t="s">
        <v>44</v>
      </c>
      <c r="B38" s="2">
        <v>0.32069999999999999</v>
      </c>
      <c r="C38">
        <v>4.3</v>
      </c>
      <c r="D38" t="s">
        <v>11</v>
      </c>
      <c r="E38">
        <v>3.5</v>
      </c>
      <c r="F38" t="s">
        <v>11</v>
      </c>
      <c r="G38">
        <v>0.03</v>
      </c>
      <c r="H38" s="2">
        <v>20.051449953227316</v>
      </c>
      <c r="I38" s="2">
        <v>16.323666978484567</v>
      </c>
      <c r="J38" s="2">
        <v>0.12628624883068287</v>
      </c>
    </row>
    <row r="39" spans="1:10" x14ac:dyDescent="0.3">
      <c r="A39" t="s">
        <v>45</v>
      </c>
      <c r="B39" s="2">
        <v>0.35859999999999997</v>
      </c>
      <c r="C39">
        <v>3.6</v>
      </c>
      <c r="D39" t="s">
        <v>11</v>
      </c>
      <c r="E39">
        <v>3.4</v>
      </c>
      <c r="F39" t="s">
        <v>11</v>
      </c>
      <c r="G39">
        <v>0.02</v>
      </c>
      <c r="H39" s="2">
        <v>15.004182933630789</v>
      </c>
      <c r="I39" s="2">
        <v>14.180145008365869</v>
      </c>
      <c r="J39" s="2">
        <v>7.1109871723368662E-2</v>
      </c>
    </row>
    <row r="40" spans="1:10" x14ac:dyDescent="0.3">
      <c r="A40" t="s">
        <v>30</v>
      </c>
      <c r="B40" s="2">
        <v>0.3256</v>
      </c>
      <c r="C40">
        <v>6.3</v>
      </c>
      <c r="D40" t="s">
        <v>11</v>
      </c>
      <c r="E40">
        <v>3.6</v>
      </c>
      <c r="F40" t="s">
        <v>11</v>
      </c>
      <c r="G40">
        <v>2.9000000000000001E-2</v>
      </c>
      <c r="H40" s="2">
        <v>28.96345208845209</v>
      </c>
      <c r="I40" s="2">
        <v>16.538697788697789</v>
      </c>
      <c r="J40" s="2">
        <v>0.11977886977886978</v>
      </c>
    </row>
    <row r="41" spans="1:10" x14ac:dyDescent="0.3">
      <c r="A41" t="s">
        <v>31</v>
      </c>
      <c r="B41" s="2">
        <v>0.35189999999999999</v>
      </c>
      <c r="C41">
        <v>2.4</v>
      </c>
      <c r="D41" t="s">
        <v>11</v>
      </c>
      <c r="E41">
        <v>2.5</v>
      </c>
      <c r="F41" t="s">
        <v>11</v>
      </c>
      <c r="G41">
        <v>1.7000000000000001E-2</v>
      </c>
      <c r="H41" s="2">
        <v>10.17476555839727</v>
      </c>
      <c r="I41" s="2">
        <v>10.613810741687981</v>
      </c>
      <c r="J41" s="2">
        <v>5.9676044330775793E-2</v>
      </c>
    </row>
    <row r="42" spans="1:10" x14ac:dyDescent="0.3">
      <c r="A42" t="s">
        <v>74</v>
      </c>
      <c r="B42" s="2">
        <v>0.3034</v>
      </c>
      <c r="C42">
        <v>7.1</v>
      </c>
      <c r="D42" t="s">
        <v>11</v>
      </c>
      <c r="E42">
        <v>3.3</v>
      </c>
      <c r="F42" t="s">
        <v>11</v>
      </c>
      <c r="G42">
        <v>2.9000000000000001E-2</v>
      </c>
      <c r="H42" s="2">
        <v>35.037903757415947</v>
      </c>
      <c r="I42" s="2">
        <v>16.26565589980224</v>
      </c>
      <c r="J42" s="2">
        <v>0.12854317732366513</v>
      </c>
    </row>
    <row r="43" spans="1:10" x14ac:dyDescent="0.3">
      <c r="A43" t="s">
        <v>75</v>
      </c>
      <c r="B43" s="2">
        <v>0.32319999999999999</v>
      </c>
      <c r="C43">
        <v>2.7</v>
      </c>
      <c r="D43" t="s">
        <v>11</v>
      </c>
      <c r="E43">
        <v>2.5</v>
      </c>
      <c r="F43" t="s">
        <v>11</v>
      </c>
      <c r="G43">
        <v>1.6E-2</v>
      </c>
      <c r="H43" s="2">
        <v>12.470606435643566</v>
      </c>
      <c r="I43" s="2">
        <v>11.556311881188119</v>
      </c>
      <c r="J43" s="2">
        <v>6.0334158415841596E-2</v>
      </c>
    </row>
    <row r="44" spans="1:10" x14ac:dyDescent="0.3">
      <c r="A44" t="s">
        <v>36</v>
      </c>
      <c r="B44" s="2">
        <v>0.38529999999999998</v>
      </c>
      <c r="C44">
        <v>1.4</v>
      </c>
      <c r="D44" t="s">
        <v>11</v>
      </c>
      <c r="E44">
        <v>1.9</v>
      </c>
      <c r="F44" t="s">
        <v>11</v>
      </c>
      <c r="G44">
        <v>2.1999999999999999E-2</v>
      </c>
      <c r="H44" s="2">
        <v>5.3996885543732169</v>
      </c>
      <c r="I44" s="2">
        <v>7.3579029327796528</v>
      </c>
      <c r="J44" s="2">
        <v>7.3968336361276935E-2</v>
      </c>
    </row>
    <row r="45" spans="1:10" x14ac:dyDescent="0.3">
      <c r="A45" t="s">
        <v>37</v>
      </c>
      <c r="B45" s="2">
        <v>0.3276</v>
      </c>
      <c r="C45">
        <v>2.2999999999999998</v>
      </c>
      <c r="D45" t="s">
        <v>11</v>
      </c>
      <c r="E45">
        <v>2.4</v>
      </c>
      <c r="F45" t="s">
        <v>11</v>
      </c>
      <c r="G45">
        <v>3.5999999999999997E-2</v>
      </c>
      <c r="H45" s="2">
        <v>10.471611721611723</v>
      </c>
      <c r="I45" s="2">
        <v>10.943223443223443</v>
      </c>
      <c r="J45" s="2">
        <v>0.15109890109890106</v>
      </c>
    </row>
    <row r="46" spans="1:10" x14ac:dyDescent="0.3">
      <c r="A46" t="s">
        <v>64</v>
      </c>
      <c r="B46" s="2">
        <v>0.3266</v>
      </c>
      <c r="C46">
        <v>4.3</v>
      </c>
      <c r="D46" t="s">
        <v>11</v>
      </c>
      <c r="E46">
        <v>2.7</v>
      </c>
      <c r="F46" t="s">
        <v>11</v>
      </c>
      <c r="G46">
        <v>3.9E-2</v>
      </c>
      <c r="H46" s="2">
        <v>19.68922229026332</v>
      </c>
      <c r="I46" s="2">
        <v>12.35456215554195</v>
      </c>
      <c r="J46" s="2">
        <v>0.16533986527862826</v>
      </c>
    </row>
    <row r="47" spans="1:10" x14ac:dyDescent="0.3">
      <c r="A47" t="s">
        <v>65</v>
      </c>
      <c r="B47" s="2">
        <v>0.30430000000000001</v>
      </c>
      <c r="C47">
        <v>1.4</v>
      </c>
      <c r="D47" t="s">
        <v>11</v>
      </c>
      <c r="E47">
        <v>1.9</v>
      </c>
      <c r="F47" t="s">
        <v>11</v>
      </c>
      <c r="G47">
        <v>2.4E-2</v>
      </c>
      <c r="H47" s="2">
        <v>6.8370029576076243</v>
      </c>
      <c r="I47" s="2">
        <v>9.3164640157739065</v>
      </c>
      <c r="J47" s="2">
        <v>0.1035162668419323</v>
      </c>
    </row>
    <row r="48" spans="1:10" x14ac:dyDescent="0.3">
      <c r="A48" t="s">
        <v>55</v>
      </c>
      <c r="B48" s="2">
        <v>0.32850000000000001</v>
      </c>
      <c r="C48">
        <v>5.3</v>
      </c>
      <c r="D48" t="s">
        <v>11</v>
      </c>
      <c r="E48">
        <v>2.8</v>
      </c>
      <c r="F48" t="s">
        <v>11</v>
      </c>
      <c r="G48">
        <v>3.3000000000000002E-2</v>
      </c>
      <c r="H48" s="2">
        <v>24.141552511415522</v>
      </c>
      <c r="I48" s="2">
        <v>12.739726027397257</v>
      </c>
      <c r="J48" s="2">
        <v>0.13698630136986301</v>
      </c>
    </row>
    <row r="49" spans="1:10" x14ac:dyDescent="0.3">
      <c r="A49" t="s">
        <v>56</v>
      </c>
      <c r="B49" s="2">
        <v>0.36409999999999998</v>
      </c>
      <c r="C49">
        <v>2.2000000000000002</v>
      </c>
      <c r="D49" t="s">
        <v>11</v>
      </c>
      <c r="E49">
        <v>2.2000000000000002</v>
      </c>
      <c r="F49" t="s">
        <v>11</v>
      </c>
      <c r="G49">
        <v>2.1000000000000001E-2</v>
      </c>
      <c r="H49" s="2">
        <v>9.0098873935731945</v>
      </c>
      <c r="I49" s="2">
        <v>9.0222466355396911</v>
      </c>
      <c r="J49" s="2">
        <v>7.4155451798956329E-2</v>
      </c>
    </row>
    <row r="50" spans="1:10" x14ac:dyDescent="0.3">
      <c r="A50" t="s">
        <v>40</v>
      </c>
      <c r="B50" s="2">
        <v>0.3216</v>
      </c>
      <c r="C50">
        <v>5.9</v>
      </c>
      <c r="D50" t="s">
        <v>11</v>
      </c>
      <c r="E50">
        <v>2.2999999999999998</v>
      </c>
      <c r="F50" t="s">
        <v>11</v>
      </c>
      <c r="G50">
        <v>3.4000000000000002E-2</v>
      </c>
      <c r="H50" s="2">
        <v>27.458022388059707</v>
      </c>
      <c r="I50" s="2">
        <v>10.680970149253731</v>
      </c>
      <c r="J50" s="2">
        <v>0.14458955223880599</v>
      </c>
    </row>
    <row r="51" spans="1:10" x14ac:dyDescent="0.3">
      <c r="A51" t="s">
        <v>41</v>
      </c>
      <c r="B51" s="2">
        <v>0.33479999999999999</v>
      </c>
      <c r="C51">
        <v>2.5</v>
      </c>
      <c r="D51" t="s">
        <v>11</v>
      </c>
      <c r="E51">
        <v>1.8</v>
      </c>
      <c r="F51" t="s">
        <v>11</v>
      </c>
      <c r="G51">
        <v>2.1999999999999999E-2</v>
      </c>
      <c r="H51" s="2">
        <v>11.14247311827957</v>
      </c>
      <c r="I51" s="2">
        <v>8.0197132616487465</v>
      </c>
      <c r="J51" s="2">
        <v>8.5125448028673834E-2</v>
      </c>
    </row>
    <row r="52" spans="1:10" x14ac:dyDescent="0.3">
      <c r="A52" t="s">
        <v>70</v>
      </c>
      <c r="B52" s="2">
        <v>0.3241</v>
      </c>
      <c r="C52">
        <v>4.4000000000000004</v>
      </c>
      <c r="D52" t="s">
        <v>11</v>
      </c>
      <c r="E52">
        <v>3.4</v>
      </c>
      <c r="F52" t="s">
        <v>11</v>
      </c>
      <c r="G52">
        <v>3.6999999999999998E-2</v>
      </c>
      <c r="H52" s="2">
        <v>20.303918543659368</v>
      </c>
      <c r="I52" s="2">
        <v>15.689601974699169</v>
      </c>
      <c r="J52" s="2">
        <v>0.15735883986423943</v>
      </c>
    </row>
    <row r="53" spans="1:10" x14ac:dyDescent="0.3">
      <c r="A53" t="s">
        <v>71</v>
      </c>
      <c r="B53" s="2">
        <v>0.32519999999999999</v>
      </c>
      <c r="C53">
        <v>1.9</v>
      </c>
      <c r="D53" t="s">
        <v>11</v>
      </c>
      <c r="E53">
        <v>2.2999999999999998</v>
      </c>
      <c r="F53" t="s">
        <v>11</v>
      </c>
      <c r="G53">
        <v>2.1999999999999999E-2</v>
      </c>
      <c r="H53" s="2">
        <v>8.7038745387453869</v>
      </c>
      <c r="I53" s="2">
        <v>10.562730627306273</v>
      </c>
      <c r="J53" s="2">
        <v>8.763837638376383E-2</v>
      </c>
    </row>
    <row r="54" spans="1:10" x14ac:dyDescent="0.3">
      <c r="A54" t="s">
        <v>16</v>
      </c>
      <c r="B54" s="2">
        <v>0.35489999999999999</v>
      </c>
      <c r="C54">
        <v>5.9</v>
      </c>
      <c r="D54" t="s">
        <v>11</v>
      </c>
      <c r="E54">
        <v>2.8</v>
      </c>
      <c r="F54" t="s">
        <v>11</v>
      </c>
      <c r="G54">
        <v>4.2999999999999997E-2</v>
      </c>
      <c r="H54" s="2">
        <v>24.88165680473373</v>
      </c>
      <c r="I54" s="2">
        <v>11.792054099746407</v>
      </c>
      <c r="J54" s="2">
        <v>0.16906170752324598</v>
      </c>
    </row>
    <row r="55" spans="1:10" x14ac:dyDescent="0.3">
      <c r="A55" t="s">
        <v>17</v>
      </c>
      <c r="B55" s="2">
        <v>0.31590000000000001</v>
      </c>
      <c r="C55">
        <v>1.4</v>
      </c>
      <c r="D55" t="s">
        <v>11</v>
      </c>
      <c r="E55">
        <v>1.8</v>
      </c>
      <c r="F55" t="s">
        <v>11</v>
      </c>
      <c r="G55">
        <v>2.3E-2</v>
      </c>
      <c r="H55" s="2">
        <v>6.5859449192782531</v>
      </c>
      <c r="I55" s="2">
        <v>8.4995251661918338</v>
      </c>
      <c r="J55" s="2">
        <v>9.4966761633428307E-2</v>
      </c>
    </row>
    <row r="56" spans="1:10" x14ac:dyDescent="0.3">
      <c r="A56" t="s">
        <v>129</v>
      </c>
      <c r="B56" s="2">
        <v>0.33910000000000001</v>
      </c>
      <c r="C56">
        <v>6.1</v>
      </c>
      <c r="D56" t="s">
        <v>11</v>
      </c>
      <c r="E56">
        <v>3.3</v>
      </c>
      <c r="F56" t="s">
        <v>11</v>
      </c>
      <c r="G56">
        <v>3.3000000000000002E-2</v>
      </c>
      <c r="H56" s="2">
        <v>26.925685638454734</v>
      </c>
      <c r="I56" s="2">
        <v>14.553229135948097</v>
      </c>
      <c r="J56" s="2">
        <v>0.13270421704511942</v>
      </c>
    </row>
    <row r="57" spans="1:10" x14ac:dyDescent="0.3">
      <c r="A57" t="s">
        <v>77</v>
      </c>
      <c r="B57" s="2">
        <v>0.31869999999999998</v>
      </c>
      <c r="C57">
        <v>2</v>
      </c>
      <c r="D57" t="s">
        <v>11</v>
      </c>
      <c r="E57">
        <v>1.9</v>
      </c>
      <c r="F57" t="s">
        <v>11</v>
      </c>
      <c r="G57">
        <v>1.7000000000000001E-2</v>
      </c>
      <c r="H57" s="2">
        <v>9.3520552243489181</v>
      </c>
      <c r="I57" s="2">
        <v>8.895513021650455</v>
      </c>
      <c r="J57" s="2">
        <v>6.589268904926264E-2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5ac009-2780-474d-ae1a-e7de7b40895b">
      <Terms xmlns="http://schemas.microsoft.com/office/infopath/2007/PartnerControls"/>
    </lcf76f155ced4ddcb4097134ff3c332f>
    <TaxCatchAll xmlns="ac371d7e-a586-483f-9eb3-3bd6211dff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EA91B94C1ADE419FBBF6DE17B4D46A" ma:contentTypeVersion="12" ma:contentTypeDescription="Ein neues Dokument erstellen." ma:contentTypeScope="" ma:versionID="b9bfaeebd2d67eb5921ea65a9f37acf3">
  <xsd:schema xmlns:xsd="http://www.w3.org/2001/XMLSchema" xmlns:xs="http://www.w3.org/2001/XMLSchema" xmlns:p="http://schemas.microsoft.com/office/2006/metadata/properties" xmlns:ns2="735ac009-2780-474d-ae1a-e7de7b40895b" xmlns:ns3="ac371d7e-a586-483f-9eb3-3bd6211dff66" targetNamespace="http://schemas.microsoft.com/office/2006/metadata/properties" ma:root="true" ma:fieldsID="3891d0f8e6d911c22196aa79bac00daa" ns2:_="" ns3:_="">
    <xsd:import namespace="735ac009-2780-474d-ae1a-e7de7b40895b"/>
    <xsd:import namespace="ac371d7e-a586-483f-9eb3-3bd6211df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ac009-2780-474d-ae1a-e7de7b408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d2f3aa19-da7d-4521-bc4a-7ede8af266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71d7e-a586-483f-9eb3-3bd6211dff6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22f4e63-c3e6-4e5a-ae4c-105907c07c17}" ma:internalName="TaxCatchAll" ma:showField="CatchAllData" ma:web="ac371d7e-a586-483f-9eb3-3bd6211dff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006B7F-5523-47DF-BAA7-A354FF8D213D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ac371d7e-a586-483f-9eb3-3bd6211dff66"/>
    <ds:schemaRef ds:uri="http://schemas.openxmlformats.org/package/2006/metadata/core-properties"/>
    <ds:schemaRef ds:uri="735ac009-2780-474d-ae1a-e7de7b40895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3FB42D-8B35-4CE1-92C3-34D0F9501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5ac009-2780-474d-ae1a-e7de7b40895b"/>
    <ds:schemaRef ds:uri="ac371d7e-a586-483f-9eb3-3bd6211dff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AF266E-E3D6-4D96-A375-B987580812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Datenerhebung </vt:lpstr>
      <vt:lpstr>Daten Sortiert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Ludwig</cp:lastModifiedBy>
  <cp:revision/>
  <dcterms:created xsi:type="dcterms:W3CDTF">2022-12-14T08:27:50Z</dcterms:created>
  <dcterms:modified xsi:type="dcterms:W3CDTF">2022-12-18T12:50:47Z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0x01010043EA91B94C1ADE419FBBF6DE17B4D46A</vt:lpwstr>
  </property>
  <property fmtid="{D5CDD505-2E9C-101B-9397-08002B2CF9AE}" pid="3" name="MediaServiceImageTags">
    <vt:lpwstr/>
  </property>
</Properties>
</file>