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buddenb\Desktop\"/>
    </mc:Choice>
  </mc:AlternateContent>
  <bookViews>
    <workbookView xWindow="0" yWindow="0" windowWidth="25200" windowHeight="1198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3" i="1" l="1"/>
  <c r="N5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37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N33" i="1"/>
  <c r="N23" i="1"/>
  <c r="N24" i="1"/>
  <c r="N25" i="1"/>
  <c r="N26" i="1"/>
  <c r="N27" i="1"/>
  <c r="N28" i="1"/>
  <c r="N29" i="1"/>
  <c r="N30" i="1"/>
  <c r="N31" i="1"/>
  <c r="N22" i="1"/>
  <c r="M31" i="1"/>
  <c r="M30" i="1"/>
  <c r="M29" i="1"/>
  <c r="M28" i="1"/>
  <c r="M27" i="1"/>
  <c r="M26" i="1"/>
  <c r="M25" i="1"/>
  <c r="M24" i="1"/>
  <c r="M23" i="1"/>
  <c r="M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3" i="1"/>
</calcChain>
</file>

<file path=xl/sharedStrings.xml><?xml version="1.0" encoding="utf-8"?>
<sst xmlns="http://schemas.openxmlformats.org/spreadsheetml/2006/main" count="59" uniqueCount="54">
  <si>
    <t>V1 (Serie, lang)</t>
  </si>
  <si>
    <t>Mittelwert</t>
  </si>
  <si>
    <t>Standartabweichung</t>
  </si>
  <si>
    <t>Q5</t>
  </si>
  <si>
    <t>Q95</t>
  </si>
  <si>
    <t>Ablage-Tiefe</t>
  </si>
  <si>
    <t>Pflanzen-Nr.</t>
  </si>
  <si>
    <t>Position Saatgut</t>
  </si>
  <si>
    <t>Abstand zum vorherigen Saatgut</t>
  </si>
  <si>
    <t>Ich versuche jetzt herauszufinden, wie viel Körner ich bemessen muss um ein annähernd belastbares Ergebnis zu bekommen</t>
  </si>
  <si>
    <t>Selbstverständlich ist es umso genauer, wenn ich möglichst viele Körner auf Ablagetiefe messe.</t>
  </si>
  <si>
    <t>Ich versuche herauszufinden wie hoch die Differenz ist, wenn ich nur 25 Körner bemesse anstatt 50 Körner.</t>
  </si>
  <si>
    <t>Hierfür bin ich angefangen die Mittelwerte aus 25er Schritten und 50er Schritten zu binden und miteinander zu vergleichen</t>
  </si>
  <si>
    <t>Hier sehen sie Messergebnisse bei denen auf 15 Meter (Insgesamt 482 Pflanzen) die Saatkörner auf die Aussaattiefe bemessen wurden.</t>
  </si>
  <si>
    <t>50er Schritte</t>
  </si>
  <si>
    <t>Differenz</t>
  </si>
  <si>
    <t>0-50</t>
  </si>
  <si>
    <t>51-100</t>
  </si>
  <si>
    <t>101-150</t>
  </si>
  <si>
    <t>151-200</t>
  </si>
  <si>
    <t>201-250</t>
  </si>
  <si>
    <t>251-300</t>
  </si>
  <si>
    <t>301-350</t>
  </si>
  <si>
    <t>351-400</t>
  </si>
  <si>
    <t>401-450</t>
  </si>
  <si>
    <t>451-482</t>
  </si>
  <si>
    <t>25er Schritte</t>
  </si>
  <si>
    <t>0-25</t>
  </si>
  <si>
    <t>26-51</t>
  </si>
  <si>
    <t>52-77</t>
  </si>
  <si>
    <t>78-103</t>
  </si>
  <si>
    <t>104-128</t>
  </si>
  <si>
    <t>129-154</t>
  </si>
  <si>
    <t>155-180</t>
  </si>
  <si>
    <t>181-206</t>
  </si>
  <si>
    <t>207-232</t>
  </si>
  <si>
    <t>233-258</t>
  </si>
  <si>
    <t>259-284</t>
  </si>
  <si>
    <t>285-310</t>
  </si>
  <si>
    <t>311-336</t>
  </si>
  <si>
    <t>337-362</t>
  </si>
  <si>
    <t>363-388</t>
  </si>
  <si>
    <t>389-414</t>
  </si>
  <si>
    <t>415-440</t>
  </si>
  <si>
    <t>441-446</t>
  </si>
  <si>
    <t>447-472</t>
  </si>
  <si>
    <t>Abweichung der Beiden Verfahren:</t>
  </si>
  <si>
    <t>Die Genauigkeit sinkt um</t>
  </si>
  <si>
    <t xml:space="preserve">Meine Frage an sie ist, ob man dieses Problem so lösen kann oder ob ich anders Vorgehen muss. </t>
  </si>
  <si>
    <t>Haben sie einen anderen Ansatz der Zielführender ist ?</t>
  </si>
  <si>
    <t>Ich würde mich über eine kurze Rückmeldung freuen, sie dürfen diese Datei gerne bearbeiten.</t>
  </si>
  <si>
    <t>Mit freundlichen Grüßen</t>
  </si>
  <si>
    <t>Malte Buddenberg</t>
  </si>
  <si>
    <t>wenn statt 50 Pflanzen nur noch 25 Pflanzen untersucht werden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</si>
</sst>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9" formatCode="0.00\ &quot;%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0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0" borderId="12" xfId="0" applyNumberFormat="1" applyBorder="1"/>
    <xf numFmtId="169" fontId="1" fillId="0" borderId="0" xfId="0" applyNumberFormat="1" applyFon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84"/>
  <sheetViews>
    <sheetView tabSelected="1" topLeftCell="C43" workbookViewId="0">
      <selection activeCell="N64" sqref="N64"/>
    </sheetView>
  </sheetViews>
  <sheetFormatPr baseColWidth="10" defaultRowHeight="15" x14ac:dyDescent="0.25"/>
  <cols>
    <col min="1" max="1" width="12.5703125" customWidth="1"/>
    <col min="2" max="2" width="14.7109375" customWidth="1"/>
    <col min="4" max="4" width="12" bestFit="1" customWidth="1"/>
  </cols>
  <sheetData>
    <row r="1" spans="2:2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22" x14ac:dyDescent="0.25">
      <c r="B2" s="2" t="s">
        <v>6</v>
      </c>
      <c r="C2" s="3" t="s">
        <v>5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7</v>
      </c>
      <c r="I2" s="4" t="s">
        <v>8</v>
      </c>
    </row>
    <row r="3" spans="2:22" x14ac:dyDescent="0.25">
      <c r="B3" s="5">
        <v>1</v>
      </c>
      <c r="C3" s="6">
        <v>-40</v>
      </c>
      <c r="D3" s="6">
        <v>-32.334024896265561</v>
      </c>
      <c r="E3" s="6">
        <f>_xlfn.STDEV.P($C$3:$C$484)</f>
        <v>7.3254546814403687</v>
      </c>
      <c r="F3" s="6">
        <v>-20</v>
      </c>
      <c r="G3" s="6">
        <v>-42</v>
      </c>
      <c r="H3" s="6">
        <v>0</v>
      </c>
      <c r="I3" s="7"/>
    </row>
    <row r="4" spans="2:22" x14ac:dyDescent="0.25">
      <c r="B4" s="5">
        <v>2</v>
      </c>
      <c r="C4" s="6">
        <v>-40</v>
      </c>
      <c r="D4" s="6">
        <v>-32.334024896265561</v>
      </c>
      <c r="E4" s="6">
        <f>_xlfn.STDEV.P($C$3:$C$484)</f>
        <v>7.3254546814403687</v>
      </c>
      <c r="F4" s="6">
        <v>-20</v>
      </c>
      <c r="G4" s="6">
        <v>-42</v>
      </c>
      <c r="H4" s="6">
        <v>34</v>
      </c>
      <c r="I4" s="7">
        <v>34</v>
      </c>
    </row>
    <row r="5" spans="2:22" x14ac:dyDescent="0.25">
      <c r="B5" s="5">
        <v>3</v>
      </c>
      <c r="C5" s="6">
        <v>-40</v>
      </c>
      <c r="D5" s="6">
        <v>-32.334024896265561</v>
      </c>
      <c r="E5" s="6">
        <f>_xlfn.STDEV.P($C$3:$C$484)</f>
        <v>7.3254546814403687</v>
      </c>
      <c r="F5" s="6">
        <v>-20</v>
      </c>
      <c r="G5" s="6">
        <v>-42</v>
      </c>
      <c r="H5" s="6">
        <v>52.7</v>
      </c>
      <c r="I5" s="7">
        <v>18.7</v>
      </c>
    </row>
    <row r="6" spans="2:22" x14ac:dyDescent="0.25">
      <c r="B6" s="5">
        <v>4</v>
      </c>
      <c r="C6" s="6">
        <v>-45</v>
      </c>
      <c r="D6" s="6">
        <v>-32.334024896265561</v>
      </c>
      <c r="E6" s="6">
        <f>_xlfn.STDEV.P($C$3:$C$484)</f>
        <v>7.3254546814403687</v>
      </c>
      <c r="F6" s="6">
        <v>-20</v>
      </c>
      <c r="G6" s="6">
        <v>-42</v>
      </c>
      <c r="H6" s="6">
        <v>88.9</v>
      </c>
      <c r="I6" s="7">
        <v>36.200000000000003</v>
      </c>
      <c r="K6" s="22" t="s">
        <v>13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2:22" x14ac:dyDescent="0.25">
      <c r="B7" s="5">
        <v>5</v>
      </c>
      <c r="C7" s="6">
        <v>-40</v>
      </c>
      <c r="D7" s="6">
        <v>-32.334024896265561</v>
      </c>
      <c r="E7" s="6">
        <f>_xlfn.STDEV.P($C$3:$C$484)</f>
        <v>7.3254546814403687</v>
      </c>
      <c r="F7" s="6">
        <v>-20</v>
      </c>
      <c r="G7" s="6">
        <v>-42</v>
      </c>
      <c r="H7" s="6">
        <v>98.5</v>
      </c>
      <c r="I7" s="7">
        <v>9.6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2:22" x14ac:dyDescent="0.25">
      <c r="B8" s="5">
        <v>6</v>
      </c>
      <c r="C8" s="6">
        <v>-40</v>
      </c>
      <c r="D8" s="6">
        <v>-32.334024896265561</v>
      </c>
      <c r="E8" s="6">
        <f>_xlfn.STDEV.P($C$3:$C$484)</f>
        <v>7.3254546814403687</v>
      </c>
      <c r="F8" s="6">
        <v>-20</v>
      </c>
      <c r="G8" s="6">
        <v>-42</v>
      </c>
      <c r="H8" s="6">
        <v>160.6</v>
      </c>
      <c r="I8" s="7">
        <v>62.1</v>
      </c>
      <c r="K8" s="22" t="s">
        <v>9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2:22" x14ac:dyDescent="0.25">
      <c r="B9" s="5">
        <v>7</v>
      </c>
      <c r="C9" s="6">
        <v>-40</v>
      </c>
      <c r="D9" s="6">
        <v>-32.334024896265561</v>
      </c>
      <c r="E9" s="6">
        <f>_xlfn.STDEV.P($C$3:$C$484)</f>
        <v>7.3254546814403687</v>
      </c>
      <c r="F9" s="6">
        <v>-20</v>
      </c>
      <c r="G9" s="6">
        <v>-42</v>
      </c>
      <c r="H9" s="6">
        <v>168.5</v>
      </c>
      <c r="I9" s="7">
        <v>7.9</v>
      </c>
      <c r="K9" s="22" t="s">
        <v>10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2:22" x14ac:dyDescent="0.25">
      <c r="B10" s="5">
        <v>8</v>
      </c>
      <c r="C10" s="6">
        <v>-30</v>
      </c>
      <c r="D10" s="6">
        <v>-32.334024896265561</v>
      </c>
      <c r="E10" s="6">
        <f>_xlfn.STDEV.P($C$3:$C$484)</f>
        <v>7.3254546814403687</v>
      </c>
      <c r="F10" s="6">
        <v>-20</v>
      </c>
      <c r="G10" s="6">
        <v>-42</v>
      </c>
      <c r="H10" s="6">
        <v>178.9</v>
      </c>
      <c r="I10" s="7">
        <v>10.4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2:22" x14ac:dyDescent="0.25">
      <c r="B11" s="5">
        <v>9</v>
      </c>
      <c r="C11" s="6">
        <v>-35</v>
      </c>
      <c r="D11" s="6">
        <v>-32.334024896265561</v>
      </c>
      <c r="E11" s="6">
        <f>_xlfn.STDEV.P($C$3:$C$484)</f>
        <v>7.3254546814403687</v>
      </c>
      <c r="F11" s="6">
        <v>-20</v>
      </c>
      <c r="G11" s="6">
        <v>-42</v>
      </c>
      <c r="H11" s="6">
        <v>189.4</v>
      </c>
      <c r="I11" s="7">
        <v>10.5</v>
      </c>
      <c r="K11" s="22" t="s">
        <v>11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2:22" x14ac:dyDescent="0.25">
      <c r="B12" s="5">
        <v>10</v>
      </c>
      <c r="C12" s="6">
        <v>-33</v>
      </c>
      <c r="D12" s="6">
        <v>-32.334024896265561</v>
      </c>
      <c r="E12" s="6">
        <f>_xlfn.STDEV.P($C$3:$C$484)</f>
        <v>7.3254546814403687</v>
      </c>
      <c r="F12" s="6">
        <v>-20</v>
      </c>
      <c r="G12" s="6">
        <v>-42</v>
      </c>
      <c r="H12" s="6">
        <v>199</v>
      </c>
      <c r="I12" s="7">
        <v>9.6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2:22" x14ac:dyDescent="0.25">
      <c r="B13" s="5">
        <v>11</v>
      </c>
      <c r="C13" s="6">
        <v>-37</v>
      </c>
      <c r="D13" s="6">
        <v>-32.334024896265561</v>
      </c>
      <c r="E13" s="6">
        <f>_xlfn.STDEV.P($C$3:$C$484)</f>
        <v>7.3254546814403687</v>
      </c>
      <c r="F13" s="6">
        <v>-20</v>
      </c>
      <c r="G13" s="6">
        <v>-42</v>
      </c>
      <c r="H13" s="6">
        <v>208</v>
      </c>
      <c r="I13" s="7">
        <v>9</v>
      </c>
      <c r="K13" s="22" t="s">
        <v>12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2:22" x14ac:dyDescent="0.25">
      <c r="B14" s="5">
        <v>12</v>
      </c>
      <c r="C14" s="6">
        <v>-15</v>
      </c>
      <c r="D14" s="6">
        <v>-32.334024896265561</v>
      </c>
      <c r="E14" s="6">
        <f>_xlfn.STDEV.P($C$3:$C$484)</f>
        <v>7.3254546814403687</v>
      </c>
      <c r="F14" s="6">
        <v>-20</v>
      </c>
      <c r="G14" s="6">
        <v>-42</v>
      </c>
      <c r="H14" s="6">
        <v>228.8</v>
      </c>
      <c r="I14" s="7">
        <v>20.8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2:22" x14ac:dyDescent="0.25">
      <c r="B15" s="5">
        <v>13</v>
      </c>
      <c r="C15" s="6">
        <v>-30</v>
      </c>
      <c r="D15" s="6">
        <v>-32.334024896265561</v>
      </c>
      <c r="E15" s="6">
        <f>_xlfn.STDEV.P($C$3:$C$484)</f>
        <v>7.3254546814403687</v>
      </c>
      <c r="F15" s="6">
        <v>-20</v>
      </c>
      <c r="G15" s="6">
        <v>-42</v>
      </c>
      <c r="H15" s="6">
        <v>292.89999999999998</v>
      </c>
      <c r="I15" s="7">
        <v>64.099999999999994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2:22" x14ac:dyDescent="0.25">
      <c r="B16" s="5">
        <v>14</v>
      </c>
      <c r="C16" s="6">
        <v>-35</v>
      </c>
      <c r="D16" s="6">
        <v>-32.334024896265561</v>
      </c>
      <c r="E16" s="6">
        <f>_xlfn.STDEV.P($C$3:$C$484)</f>
        <v>7.3254546814403687</v>
      </c>
      <c r="F16" s="6">
        <v>-20</v>
      </c>
      <c r="G16" s="6">
        <v>-42</v>
      </c>
      <c r="H16" s="6">
        <v>418.6</v>
      </c>
      <c r="I16" s="7">
        <v>125.7</v>
      </c>
    </row>
    <row r="17" spans="2:14" x14ac:dyDescent="0.25">
      <c r="B17" s="5">
        <v>15</v>
      </c>
      <c r="C17" s="6">
        <v>-30</v>
      </c>
      <c r="D17" s="6">
        <v>-32.334024896265561</v>
      </c>
      <c r="E17" s="6">
        <f>_xlfn.STDEV.P($C$3:$C$484)</f>
        <v>7.3254546814403687</v>
      </c>
      <c r="F17" s="6">
        <v>-20</v>
      </c>
      <c r="G17" s="6">
        <v>-42</v>
      </c>
      <c r="H17" s="6">
        <v>431.4</v>
      </c>
      <c r="I17" s="7">
        <v>12.8</v>
      </c>
    </row>
    <row r="18" spans="2:14" x14ac:dyDescent="0.25">
      <c r="B18" s="5">
        <v>16</v>
      </c>
      <c r="C18" s="6">
        <v>-40</v>
      </c>
      <c r="D18" s="6">
        <v>-32.334024896265561</v>
      </c>
      <c r="E18" s="6">
        <f>_xlfn.STDEV.P($C$3:$C$484)</f>
        <v>7.3254546814403687</v>
      </c>
      <c r="F18" s="6">
        <v>-20</v>
      </c>
      <c r="G18" s="6">
        <v>-42</v>
      </c>
      <c r="H18" s="6">
        <v>454.6</v>
      </c>
      <c r="I18" s="7">
        <v>23.2</v>
      </c>
    </row>
    <row r="19" spans="2:14" ht="15.75" thickBot="1" x14ac:dyDescent="0.3">
      <c r="B19" s="5">
        <v>17</v>
      </c>
      <c r="C19" s="6">
        <v>-30</v>
      </c>
      <c r="D19" s="6">
        <v>-32.334024896265561</v>
      </c>
      <c r="E19" s="6">
        <f>_xlfn.STDEV.P($C$3:$C$484)</f>
        <v>7.3254546814403687</v>
      </c>
      <c r="F19" s="6">
        <v>-20</v>
      </c>
      <c r="G19" s="6">
        <v>-42</v>
      </c>
      <c r="H19" s="6">
        <v>536.1</v>
      </c>
      <c r="I19" s="7">
        <v>81.5</v>
      </c>
    </row>
    <row r="20" spans="2:14" x14ac:dyDescent="0.25">
      <c r="B20" s="5">
        <v>18</v>
      </c>
      <c r="C20" s="6">
        <v>-42</v>
      </c>
      <c r="D20" s="6">
        <v>-32.334024896265561</v>
      </c>
      <c r="E20" s="6">
        <f>_xlfn.STDEV.P($C$3:$C$484)</f>
        <v>7.3254546814403687</v>
      </c>
      <c r="F20" s="6">
        <v>-20</v>
      </c>
      <c r="G20" s="6">
        <v>-42</v>
      </c>
      <c r="H20" s="6">
        <v>561.9</v>
      </c>
      <c r="I20" s="7">
        <v>25.8</v>
      </c>
      <c r="K20" s="11" t="s">
        <v>14</v>
      </c>
      <c r="L20" s="12"/>
      <c r="M20" s="12" t="s">
        <v>1</v>
      </c>
      <c r="N20" s="13" t="s">
        <v>15</v>
      </c>
    </row>
    <row r="21" spans="2:14" x14ac:dyDescent="0.25">
      <c r="B21" s="5">
        <v>19</v>
      </c>
      <c r="C21" s="6">
        <v>-42</v>
      </c>
      <c r="D21" s="6">
        <v>-32.334024896265561</v>
      </c>
      <c r="E21" s="6">
        <f>_xlfn.STDEV.P($C$3:$C$484)</f>
        <v>7.3254546814403687</v>
      </c>
      <c r="F21" s="6">
        <v>-20</v>
      </c>
      <c r="G21" s="6">
        <v>-42</v>
      </c>
      <c r="H21" s="6">
        <v>565.9</v>
      </c>
      <c r="I21" s="7">
        <v>4</v>
      </c>
      <c r="K21" s="14"/>
      <c r="L21" s="6"/>
      <c r="M21" s="6"/>
      <c r="N21" s="15"/>
    </row>
    <row r="22" spans="2:14" x14ac:dyDescent="0.25">
      <c r="B22" s="5">
        <v>20</v>
      </c>
      <c r="C22" s="6">
        <v>-40</v>
      </c>
      <c r="D22" s="6">
        <v>-32.334024896265561</v>
      </c>
      <c r="E22" s="6">
        <f>_xlfn.STDEV.P($C$3:$C$484)</f>
        <v>7.3254546814403687</v>
      </c>
      <c r="F22" s="6">
        <v>-20</v>
      </c>
      <c r="G22" s="6">
        <v>-42</v>
      </c>
      <c r="H22" s="6">
        <v>601.20000000000005</v>
      </c>
      <c r="I22" s="7">
        <v>35.299999999999997</v>
      </c>
      <c r="K22" s="14" t="s">
        <v>16</v>
      </c>
      <c r="L22" s="6"/>
      <c r="M22" s="16">
        <f>AVERAGE(Tabelle1!C3:C52)</f>
        <v>-32.979999999999997</v>
      </c>
      <c r="N22" s="15">
        <f>ABS(M22-$D$3)</f>
        <v>0.64597510373443612</v>
      </c>
    </row>
    <row r="23" spans="2:14" x14ac:dyDescent="0.25">
      <c r="B23" s="5">
        <v>21</v>
      </c>
      <c r="C23" s="6">
        <v>-30</v>
      </c>
      <c r="D23" s="6">
        <v>-32.334024896265561</v>
      </c>
      <c r="E23" s="6">
        <f>_xlfn.STDEV.P($C$3:$C$484)</f>
        <v>7.3254546814403687</v>
      </c>
      <c r="F23" s="6">
        <v>-20</v>
      </c>
      <c r="G23" s="6">
        <v>-42</v>
      </c>
      <c r="H23" s="6">
        <v>644.70000000000005</v>
      </c>
      <c r="I23" s="7">
        <v>43.5</v>
      </c>
      <c r="K23" s="14" t="s">
        <v>17</v>
      </c>
      <c r="L23" s="6"/>
      <c r="M23" s="6">
        <f>AVERAGE(Tabelle1!C53:C102)</f>
        <v>-32.78</v>
      </c>
      <c r="N23" s="15">
        <f t="shared" ref="N23:N31" si="0">ABS(M23-$D$3)</f>
        <v>0.44597510373444038</v>
      </c>
    </row>
    <row r="24" spans="2:14" x14ac:dyDescent="0.25">
      <c r="B24" s="5">
        <v>22</v>
      </c>
      <c r="C24" s="6">
        <v>-40</v>
      </c>
      <c r="D24" s="6">
        <v>-32.334024896265561</v>
      </c>
      <c r="E24" s="6">
        <f>_xlfn.STDEV.P($C$3:$C$484)</f>
        <v>7.3254546814403687</v>
      </c>
      <c r="F24" s="6">
        <v>-20</v>
      </c>
      <c r="G24" s="6">
        <v>-42</v>
      </c>
      <c r="H24" s="6">
        <v>688.4</v>
      </c>
      <c r="I24" s="7">
        <v>43.7</v>
      </c>
      <c r="K24" s="14" t="s">
        <v>18</v>
      </c>
      <c r="L24" s="6"/>
      <c r="M24" s="6">
        <f>AVERAGE(Tabelle1!C103:C152)</f>
        <v>-35.24</v>
      </c>
      <c r="N24" s="15">
        <f t="shared" si="0"/>
        <v>2.9059751037344412</v>
      </c>
    </row>
    <row r="25" spans="2:14" x14ac:dyDescent="0.25">
      <c r="B25" s="5">
        <v>23</v>
      </c>
      <c r="C25" s="6">
        <v>-41</v>
      </c>
      <c r="D25" s="6">
        <v>-32.334024896265561</v>
      </c>
      <c r="E25" s="6">
        <f>_xlfn.STDEV.P($C$3:$C$484)</f>
        <v>7.3254546814403687</v>
      </c>
      <c r="F25" s="6">
        <v>-20</v>
      </c>
      <c r="G25" s="6">
        <v>-42</v>
      </c>
      <c r="H25" s="6">
        <v>705</v>
      </c>
      <c r="I25" s="7">
        <v>16.600000000000001</v>
      </c>
      <c r="K25" s="14" t="s">
        <v>19</v>
      </c>
      <c r="L25" s="6"/>
      <c r="M25" s="6">
        <f>AVERAGE(Tabelle1!C153:C202)</f>
        <v>-29.34</v>
      </c>
      <c r="N25" s="15">
        <f t="shared" si="0"/>
        <v>2.9940248962655609</v>
      </c>
    </row>
    <row r="26" spans="2:14" x14ac:dyDescent="0.25">
      <c r="B26" s="5">
        <v>24</v>
      </c>
      <c r="C26" s="6">
        <v>-33</v>
      </c>
      <c r="D26" s="6">
        <v>-32.334024896265561</v>
      </c>
      <c r="E26" s="6">
        <f>_xlfn.STDEV.P($C$3:$C$484)</f>
        <v>7.3254546814403687</v>
      </c>
      <c r="F26" s="6">
        <v>-20</v>
      </c>
      <c r="G26" s="6">
        <v>-42</v>
      </c>
      <c r="H26" s="6">
        <v>706.8</v>
      </c>
      <c r="I26" s="7">
        <v>1.8</v>
      </c>
      <c r="K26" s="14" t="s">
        <v>20</v>
      </c>
      <c r="L26" s="6"/>
      <c r="M26" s="6">
        <f>AVERAGE(Tabelle1!C203:C252)</f>
        <v>-35.299999999999997</v>
      </c>
      <c r="N26" s="15">
        <f t="shared" si="0"/>
        <v>2.9659751037344364</v>
      </c>
    </row>
    <row r="27" spans="2:14" x14ac:dyDescent="0.25">
      <c r="B27" s="5">
        <v>25</v>
      </c>
      <c r="C27" s="6">
        <v>-35</v>
      </c>
      <c r="D27" s="6">
        <v>-32.334024896265561</v>
      </c>
      <c r="E27" s="6">
        <f>_xlfn.STDEV.P($C$3:$C$484)</f>
        <v>7.3254546814403687</v>
      </c>
      <c r="F27" s="6">
        <v>-20</v>
      </c>
      <c r="G27" s="6">
        <v>-42</v>
      </c>
      <c r="H27" s="6">
        <v>753.2</v>
      </c>
      <c r="I27" s="7">
        <v>46.4</v>
      </c>
      <c r="K27" s="14" t="s">
        <v>21</v>
      </c>
      <c r="L27" s="6"/>
      <c r="M27" s="6">
        <f>AVERAGE(Tabelle1!C253:C302)</f>
        <v>-32.200000000000003</v>
      </c>
      <c r="N27" s="15">
        <f t="shared" si="0"/>
        <v>0.13402489626555791</v>
      </c>
    </row>
    <row r="28" spans="2:14" x14ac:dyDescent="0.25">
      <c r="B28" s="5">
        <v>26</v>
      </c>
      <c r="C28" s="6">
        <v>-27</v>
      </c>
      <c r="D28" s="6">
        <v>-32.334024896265561</v>
      </c>
      <c r="E28" s="6">
        <f>_xlfn.STDEV.P($C$3:$C$484)</f>
        <v>7.3254546814403687</v>
      </c>
      <c r="F28" s="6">
        <v>-20</v>
      </c>
      <c r="G28" s="6">
        <v>-42</v>
      </c>
      <c r="H28" s="6">
        <v>768.2</v>
      </c>
      <c r="I28" s="7">
        <v>15</v>
      </c>
      <c r="K28" s="14" t="s">
        <v>22</v>
      </c>
      <c r="L28" s="6"/>
      <c r="M28" s="6">
        <f>AVERAGE(Tabelle1!C303:C352)</f>
        <v>-28.22</v>
      </c>
      <c r="N28" s="15">
        <f t="shared" si="0"/>
        <v>4.1140248962655619</v>
      </c>
    </row>
    <row r="29" spans="2:14" x14ac:dyDescent="0.25">
      <c r="B29" s="5">
        <v>27</v>
      </c>
      <c r="C29" s="6">
        <v>-22</v>
      </c>
      <c r="D29" s="6">
        <v>-32.334024896265561</v>
      </c>
      <c r="E29" s="6">
        <f>_xlfn.STDEV.P($C$3:$C$484)</f>
        <v>7.3254546814403687</v>
      </c>
      <c r="F29" s="6">
        <v>-20</v>
      </c>
      <c r="G29" s="6">
        <v>-42</v>
      </c>
      <c r="H29" s="6">
        <v>849.4</v>
      </c>
      <c r="I29" s="7">
        <v>81.2</v>
      </c>
      <c r="K29" s="14" t="s">
        <v>23</v>
      </c>
      <c r="L29" s="6"/>
      <c r="M29" s="6">
        <f>AVERAGE(Tabelle1!C353:C402)</f>
        <v>-32.26</v>
      </c>
      <c r="N29" s="15">
        <f t="shared" si="0"/>
        <v>7.4024896265562745E-2</v>
      </c>
    </row>
    <row r="30" spans="2:14" x14ac:dyDescent="0.25">
      <c r="B30" s="5">
        <v>28</v>
      </c>
      <c r="C30" s="6">
        <v>-28</v>
      </c>
      <c r="D30" s="6">
        <v>-32.334024896265561</v>
      </c>
      <c r="E30" s="6">
        <f>_xlfn.STDEV.P($C$3:$C$484)</f>
        <v>7.3254546814403687</v>
      </c>
      <c r="F30" s="6">
        <v>-20</v>
      </c>
      <c r="G30" s="6">
        <v>-42</v>
      </c>
      <c r="H30" s="6">
        <v>853.9</v>
      </c>
      <c r="I30" s="7">
        <v>4.5</v>
      </c>
      <c r="K30" s="14" t="s">
        <v>24</v>
      </c>
      <c r="L30" s="6"/>
      <c r="M30" s="6">
        <f>AVERAGE(Tabelle1!C403:C452)</f>
        <v>-32.14</v>
      </c>
      <c r="N30" s="15">
        <f t="shared" si="0"/>
        <v>0.19402489626556019</v>
      </c>
    </row>
    <row r="31" spans="2:14" x14ac:dyDescent="0.25">
      <c r="B31" s="5">
        <v>29</v>
      </c>
      <c r="C31" s="6">
        <v>-35</v>
      </c>
      <c r="D31" s="6">
        <v>-32.334024896265561</v>
      </c>
      <c r="E31" s="6">
        <f>_xlfn.STDEV.P($C$3:$C$484)</f>
        <v>7.3254546814403687</v>
      </c>
      <c r="F31" s="6">
        <v>-20</v>
      </c>
      <c r="G31" s="6">
        <v>-42</v>
      </c>
      <c r="H31" s="6">
        <v>854</v>
      </c>
      <c r="I31" s="7">
        <v>0.1</v>
      </c>
      <c r="K31" s="14" t="s">
        <v>25</v>
      </c>
      <c r="L31" s="6"/>
      <c r="M31" s="6">
        <f>AVERAGE(Tabelle1!C453:C484)</f>
        <v>-33.1875</v>
      </c>
      <c r="N31" s="15">
        <f t="shared" si="0"/>
        <v>0.85347510373443924</v>
      </c>
    </row>
    <row r="32" spans="2:14" x14ac:dyDescent="0.25">
      <c r="B32" s="5">
        <v>30</v>
      </c>
      <c r="C32" s="6">
        <v>-28</v>
      </c>
      <c r="D32" s="6">
        <v>-32.334024896265561</v>
      </c>
      <c r="E32" s="6">
        <f>_xlfn.STDEV.P($C$3:$C$484)</f>
        <v>7.3254546814403687</v>
      </c>
      <c r="F32" s="6">
        <v>-20</v>
      </c>
      <c r="G32" s="6">
        <v>-42</v>
      </c>
      <c r="H32" s="6">
        <v>864.8</v>
      </c>
      <c r="I32" s="7">
        <v>10.8</v>
      </c>
      <c r="K32" s="14"/>
      <c r="L32" s="6"/>
      <c r="M32" s="6"/>
      <c r="N32" s="15"/>
    </row>
    <row r="33" spans="2:14" ht="15.75" thickBot="1" x14ac:dyDescent="0.3">
      <c r="B33" s="5">
        <v>31</v>
      </c>
      <c r="C33" s="6">
        <v>-25</v>
      </c>
      <c r="D33" s="6">
        <v>-32.334024896265561</v>
      </c>
      <c r="E33" s="6">
        <f>_xlfn.STDEV.P($C$3:$C$484)</f>
        <v>7.3254546814403687</v>
      </c>
      <c r="F33" s="6">
        <v>-20</v>
      </c>
      <c r="G33" s="6">
        <v>-42</v>
      </c>
      <c r="H33" s="6">
        <v>899.8</v>
      </c>
      <c r="I33" s="7">
        <v>35</v>
      </c>
      <c r="K33" s="17"/>
      <c r="L33" s="18"/>
      <c r="M33" s="18" t="s">
        <v>1</v>
      </c>
      <c r="N33" s="19">
        <f>AVERAGE(N22:N31)</f>
        <v>1.5327499999999996</v>
      </c>
    </row>
    <row r="34" spans="2:14" ht="15.75" thickBot="1" x14ac:dyDescent="0.3">
      <c r="B34" s="5">
        <v>32</v>
      </c>
      <c r="C34" s="6">
        <v>-27</v>
      </c>
      <c r="D34" s="6">
        <v>-32.334024896265561</v>
      </c>
      <c r="E34" s="6">
        <f>_xlfn.STDEV.P($C$3:$C$484)</f>
        <v>7.3254546814403687</v>
      </c>
      <c r="F34" s="6">
        <v>-20</v>
      </c>
      <c r="G34" s="6">
        <v>-42</v>
      </c>
      <c r="H34" s="6">
        <v>909.5</v>
      </c>
      <c r="I34" s="7">
        <v>9.6999999999999993</v>
      </c>
    </row>
    <row r="35" spans="2:14" x14ac:dyDescent="0.25">
      <c r="B35" s="5">
        <v>33</v>
      </c>
      <c r="C35" s="6">
        <v>-25</v>
      </c>
      <c r="D35" s="6">
        <v>-32.334024896265561</v>
      </c>
      <c r="E35" s="6">
        <f>_xlfn.STDEV.P($C$3:$C$484)</f>
        <v>7.3254546814403687</v>
      </c>
      <c r="F35" s="6">
        <v>-20</v>
      </c>
      <c r="G35" s="6">
        <v>-42</v>
      </c>
      <c r="H35" s="6">
        <v>936.5</v>
      </c>
      <c r="I35" s="7">
        <v>27</v>
      </c>
      <c r="K35" s="11" t="s">
        <v>26</v>
      </c>
      <c r="L35" s="12"/>
      <c r="M35" s="12" t="s">
        <v>1</v>
      </c>
      <c r="N35" s="13" t="s">
        <v>15</v>
      </c>
    </row>
    <row r="36" spans="2:14" x14ac:dyDescent="0.25">
      <c r="B36" s="5">
        <v>34</v>
      </c>
      <c r="C36" s="6">
        <v>-22</v>
      </c>
      <c r="D36" s="6">
        <v>-32.334024896265561</v>
      </c>
      <c r="E36" s="6">
        <f>_xlfn.STDEV.P($C$3:$C$484)</f>
        <v>7.3254546814403687</v>
      </c>
      <c r="F36" s="6">
        <v>-20</v>
      </c>
      <c r="G36" s="6">
        <v>-42</v>
      </c>
      <c r="H36" s="6">
        <v>946.4</v>
      </c>
      <c r="I36" s="7">
        <v>9.9</v>
      </c>
      <c r="K36" s="14"/>
      <c r="L36" s="6"/>
      <c r="M36" s="6"/>
      <c r="N36" s="15"/>
    </row>
    <row r="37" spans="2:14" x14ac:dyDescent="0.25">
      <c r="B37" s="5">
        <v>35</v>
      </c>
      <c r="C37" s="6">
        <v>-30</v>
      </c>
      <c r="D37" s="6">
        <v>-32.334024896265561</v>
      </c>
      <c r="E37" s="6">
        <f>_xlfn.STDEV.P($C$3:$C$484)</f>
        <v>7.3254546814403687</v>
      </c>
      <c r="F37" s="6">
        <v>-20</v>
      </c>
      <c r="G37" s="6">
        <v>-42</v>
      </c>
      <c r="H37" s="6">
        <v>991</v>
      </c>
      <c r="I37" s="7">
        <v>44.6</v>
      </c>
      <c r="K37" s="20" t="s">
        <v>27</v>
      </c>
      <c r="L37" s="6"/>
      <c r="M37" s="6">
        <f>AVERAGE(Tabelle1!C3:C27)</f>
        <v>-36.119999999999997</v>
      </c>
      <c r="N37" s="15">
        <f>ABS(M37-$D$3)</f>
        <v>3.7859751037344367</v>
      </c>
    </row>
    <row r="38" spans="2:14" x14ac:dyDescent="0.25">
      <c r="B38" s="5">
        <v>36</v>
      </c>
      <c r="C38" s="6">
        <v>-20</v>
      </c>
      <c r="D38" s="6">
        <v>-32.334024896265561</v>
      </c>
      <c r="E38" s="6">
        <f>_xlfn.STDEV.P($C$3:$C$484)</f>
        <v>7.3254546814403687</v>
      </c>
      <c r="F38" s="6">
        <v>-20</v>
      </c>
      <c r="G38" s="6">
        <v>-42</v>
      </c>
      <c r="H38" s="6">
        <v>1002.8</v>
      </c>
      <c r="I38" s="7">
        <v>11.8</v>
      </c>
      <c r="K38" s="20" t="s">
        <v>28</v>
      </c>
      <c r="L38" s="6"/>
      <c r="M38" s="6">
        <f>AVERAGE(Tabelle1!C28:C52)</f>
        <v>-29.84</v>
      </c>
      <c r="N38" s="15">
        <f t="shared" ref="N38:N55" si="1">ABS(M38-$D$3)</f>
        <v>2.4940248962655609</v>
      </c>
    </row>
    <row r="39" spans="2:14" x14ac:dyDescent="0.25">
      <c r="B39" s="5">
        <v>37</v>
      </c>
      <c r="C39" s="6">
        <v>-27</v>
      </c>
      <c r="D39" s="6">
        <v>-32.334024896265561</v>
      </c>
      <c r="E39" s="6">
        <f>_xlfn.STDEV.P($C$3:$C$484)</f>
        <v>7.3254546814403687</v>
      </c>
      <c r="F39" s="6">
        <v>-20</v>
      </c>
      <c r="G39" s="6">
        <v>-42</v>
      </c>
      <c r="H39" s="6">
        <v>1025</v>
      </c>
      <c r="I39" s="7">
        <v>22.2</v>
      </c>
      <c r="K39" s="20" t="s">
        <v>29</v>
      </c>
      <c r="L39" s="6"/>
      <c r="M39" s="6">
        <f>AVERAGE(Tabelle1!C53:C78)</f>
        <v>-34</v>
      </c>
      <c r="N39" s="15">
        <f t="shared" si="1"/>
        <v>1.6659751037344392</v>
      </c>
    </row>
    <row r="40" spans="2:14" x14ac:dyDescent="0.25">
      <c r="B40" s="5">
        <v>38</v>
      </c>
      <c r="C40" s="6">
        <v>-15</v>
      </c>
      <c r="D40" s="6">
        <v>-32.334024896265561</v>
      </c>
      <c r="E40" s="6">
        <f>_xlfn.STDEV.P($C$3:$C$484)</f>
        <v>7.3254546814403687</v>
      </c>
      <c r="F40" s="6">
        <v>-20</v>
      </c>
      <c r="G40" s="6">
        <v>-42</v>
      </c>
      <c r="H40" s="6">
        <v>1117</v>
      </c>
      <c r="I40" s="7">
        <v>92</v>
      </c>
      <c r="K40" s="20" t="s">
        <v>30</v>
      </c>
      <c r="L40" s="6"/>
      <c r="M40" s="6">
        <f>AVERAGE(Tabelle1!C79:C104)</f>
        <v>-31.153846153846153</v>
      </c>
      <c r="N40" s="15">
        <f t="shared" si="1"/>
        <v>1.1801787424194075</v>
      </c>
    </row>
    <row r="41" spans="2:14" x14ac:dyDescent="0.25">
      <c r="B41" s="5">
        <v>39</v>
      </c>
      <c r="C41" s="6">
        <v>-35</v>
      </c>
      <c r="D41" s="6">
        <v>-32.334024896265561</v>
      </c>
      <c r="E41" s="6">
        <f>_xlfn.STDEV.P($C$3:$C$484)</f>
        <v>7.3254546814403687</v>
      </c>
      <c r="F41" s="6">
        <v>-20</v>
      </c>
      <c r="G41" s="6">
        <v>-42</v>
      </c>
      <c r="H41" s="6">
        <v>1154</v>
      </c>
      <c r="I41" s="7">
        <v>37</v>
      </c>
      <c r="K41" s="20" t="s">
        <v>31</v>
      </c>
      <c r="L41" s="6"/>
      <c r="M41" s="6">
        <f>AVERAGE(Tabelle1!C105:C130)</f>
        <v>-35.115384615384613</v>
      </c>
      <c r="N41" s="15">
        <f t="shared" si="1"/>
        <v>2.7813597191190524</v>
      </c>
    </row>
    <row r="42" spans="2:14" x14ac:dyDescent="0.25">
      <c r="B42" s="5">
        <v>40</v>
      </c>
      <c r="C42" s="6">
        <v>-35</v>
      </c>
      <c r="D42" s="6">
        <v>-32.334024896265561</v>
      </c>
      <c r="E42" s="6">
        <f>_xlfn.STDEV.P($C$3:$C$484)</f>
        <v>7.3254546814403687</v>
      </c>
      <c r="F42" s="6">
        <v>-20</v>
      </c>
      <c r="G42" s="6">
        <v>-42</v>
      </c>
      <c r="H42" s="6">
        <v>1161.4000000000001</v>
      </c>
      <c r="I42" s="7">
        <v>7.4</v>
      </c>
      <c r="K42" s="20" t="s">
        <v>32</v>
      </c>
      <c r="L42" s="6"/>
      <c r="M42" s="6">
        <f>AVERAGE(Tabelle1!C131:C156)</f>
        <v>-35.653846153846153</v>
      </c>
      <c r="N42" s="15">
        <f t="shared" si="1"/>
        <v>3.3198212575805925</v>
      </c>
    </row>
    <row r="43" spans="2:14" x14ac:dyDescent="0.25">
      <c r="B43" s="5">
        <v>41</v>
      </c>
      <c r="C43" s="6">
        <v>-31</v>
      </c>
      <c r="D43" s="6">
        <v>-32.334024896265561</v>
      </c>
      <c r="E43" s="6">
        <f>_xlfn.STDEV.P($C$3:$C$484)</f>
        <v>7.3254546814403687</v>
      </c>
      <c r="F43" s="6">
        <v>-20</v>
      </c>
      <c r="G43" s="6">
        <v>-42</v>
      </c>
      <c r="H43" s="6">
        <v>1193.5999999999999</v>
      </c>
      <c r="I43" s="7">
        <v>32.200000000000003</v>
      </c>
      <c r="K43" s="20" t="s">
        <v>33</v>
      </c>
      <c r="L43" s="6"/>
      <c r="M43" s="6">
        <f>AVERAGE(Tabelle1!C157:C182)</f>
        <v>-31.96153846153846</v>
      </c>
      <c r="N43" s="15">
        <f t="shared" si="1"/>
        <v>0.37248643472710086</v>
      </c>
    </row>
    <row r="44" spans="2:14" x14ac:dyDescent="0.25">
      <c r="B44" s="5">
        <v>42</v>
      </c>
      <c r="C44" s="6">
        <v>-30</v>
      </c>
      <c r="D44" s="6">
        <v>-32.334024896265561</v>
      </c>
      <c r="E44" s="6">
        <f>_xlfn.STDEV.P($C$3:$C$484)</f>
        <v>7.3254546814403687</v>
      </c>
      <c r="F44" s="6">
        <v>-20</v>
      </c>
      <c r="G44" s="6">
        <v>-42</v>
      </c>
      <c r="H44" s="6">
        <v>1212.5</v>
      </c>
      <c r="I44" s="7">
        <v>18.899999999999999</v>
      </c>
      <c r="K44" s="20" t="s">
        <v>34</v>
      </c>
      <c r="L44" s="6"/>
      <c r="M44" s="6">
        <f>AVERAGE(Tabelle1!C183:C208)</f>
        <v>-26.884615384615383</v>
      </c>
      <c r="N44" s="15">
        <f t="shared" si="1"/>
        <v>5.4494095116501775</v>
      </c>
    </row>
    <row r="45" spans="2:14" x14ac:dyDescent="0.25">
      <c r="B45" s="5">
        <v>43</v>
      </c>
      <c r="C45" s="6">
        <v>-31</v>
      </c>
      <c r="D45" s="6">
        <v>-32.334024896265561</v>
      </c>
      <c r="E45" s="6">
        <f>_xlfn.STDEV.P($C$3:$C$484)</f>
        <v>7.3254546814403687</v>
      </c>
      <c r="F45" s="6">
        <v>-20</v>
      </c>
      <c r="G45" s="6">
        <v>-42</v>
      </c>
      <c r="H45" s="6">
        <v>1313.9</v>
      </c>
      <c r="I45" s="7">
        <v>101.4</v>
      </c>
      <c r="K45" s="20" t="s">
        <v>35</v>
      </c>
      <c r="L45" s="6"/>
      <c r="M45" s="6">
        <f>AVERAGE(Tabelle1!C209:C234)</f>
        <v>-35.92307692307692</v>
      </c>
      <c r="N45" s="15">
        <f t="shared" si="1"/>
        <v>3.589052026811359</v>
      </c>
    </row>
    <row r="46" spans="2:14" x14ac:dyDescent="0.25">
      <c r="B46" s="5">
        <v>44</v>
      </c>
      <c r="C46" s="6">
        <v>-30</v>
      </c>
      <c r="D46" s="6">
        <v>-32.334024896265561</v>
      </c>
      <c r="E46" s="6">
        <f>_xlfn.STDEV.P($C$3:$C$484)</f>
        <v>7.3254546814403687</v>
      </c>
      <c r="F46" s="6">
        <v>-20</v>
      </c>
      <c r="G46" s="6">
        <v>-42</v>
      </c>
      <c r="H46" s="6">
        <v>1385.9</v>
      </c>
      <c r="I46" s="7">
        <v>72</v>
      </c>
      <c r="K46" s="20" t="s">
        <v>36</v>
      </c>
      <c r="L46" s="6"/>
      <c r="M46" s="6">
        <f>AVERAGE(Tabelle1!C235:C260)</f>
        <v>-35.46153846153846</v>
      </c>
      <c r="N46" s="15">
        <f t="shared" si="1"/>
        <v>3.1275135652728991</v>
      </c>
    </row>
    <row r="47" spans="2:14" x14ac:dyDescent="0.25">
      <c r="B47" s="5">
        <v>45</v>
      </c>
      <c r="C47" s="6">
        <v>-40</v>
      </c>
      <c r="D47" s="6">
        <v>-32.334024896265561</v>
      </c>
      <c r="E47" s="6">
        <f>_xlfn.STDEV.P($C$3:$C$484)</f>
        <v>7.3254546814403687</v>
      </c>
      <c r="F47" s="6">
        <v>-20</v>
      </c>
      <c r="G47" s="6">
        <v>-42</v>
      </c>
      <c r="H47" s="6">
        <v>1390.3</v>
      </c>
      <c r="I47" s="7">
        <v>4.4000000000000004</v>
      </c>
      <c r="K47" s="20" t="s">
        <v>37</v>
      </c>
      <c r="L47" s="6"/>
      <c r="M47" s="6">
        <f>AVERAGE(Tabelle1!C261:C286)</f>
        <v>-30.846153846153847</v>
      </c>
      <c r="N47" s="15">
        <f t="shared" si="1"/>
        <v>1.4878710501117141</v>
      </c>
    </row>
    <row r="48" spans="2:14" x14ac:dyDescent="0.25">
      <c r="B48" s="5">
        <v>46</v>
      </c>
      <c r="C48" s="6">
        <v>-37</v>
      </c>
      <c r="D48" s="6">
        <v>-32.334024896265561</v>
      </c>
      <c r="E48" s="6">
        <f>_xlfn.STDEV.P($C$3:$C$484)</f>
        <v>7.3254546814403687</v>
      </c>
      <c r="F48" s="6">
        <v>-20</v>
      </c>
      <c r="G48" s="6">
        <v>-42</v>
      </c>
      <c r="H48" s="6">
        <v>1441.8</v>
      </c>
      <c r="I48" s="7">
        <v>51.5</v>
      </c>
      <c r="K48" s="20" t="s">
        <v>38</v>
      </c>
      <c r="L48" s="6"/>
      <c r="M48" s="6">
        <f>AVERAGE(Tabelle1!C287:C312)</f>
        <v>-30.576923076923077</v>
      </c>
      <c r="N48" s="15">
        <f t="shared" si="1"/>
        <v>1.7571018193424841</v>
      </c>
    </row>
    <row r="49" spans="2:14" x14ac:dyDescent="0.25">
      <c r="B49" s="5">
        <v>47</v>
      </c>
      <c r="C49" s="6">
        <v>-30</v>
      </c>
      <c r="D49" s="6">
        <v>-32.334024896265561</v>
      </c>
      <c r="E49" s="6">
        <f>_xlfn.STDEV.P($C$3:$C$484)</f>
        <v>7.3254546814403687</v>
      </c>
      <c r="F49" s="6">
        <v>-20</v>
      </c>
      <c r="G49" s="6">
        <v>-42</v>
      </c>
      <c r="H49" s="6">
        <v>1448.3</v>
      </c>
      <c r="I49" s="7">
        <v>6.5</v>
      </c>
      <c r="K49" s="20" t="s">
        <v>39</v>
      </c>
      <c r="L49" s="6"/>
      <c r="M49" s="6">
        <f>AVERAGE(Tabelle1!C313:C338)</f>
        <v>-28.53846153846154</v>
      </c>
      <c r="N49" s="15">
        <f t="shared" si="1"/>
        <v>3.7955633578040207</v>
      </c>
    </row>
    <row r="50" spans="2:14" x14ac:dyDescent="0.25">
      <c r="B50" s="5">
        <v>48</v>
      </c>
      <c r="C50" s="6">
        <v>-40</v>
      </c>
      <c r="D50" s="6">
        <v>-32.334024896265561</v>
      </c>
      <c r="E50" s="6">
        <f>_xlfn.STDEV.P($C$3:$C$484)</f>
        <v>7.3254546814403687</v>
      </c>
      <c r="F50" s="6">
        <v>-20</v>
      </c>
      <c r="G50" s="6">
        <v>-42</v>
      </c>
      <c r="H50" s="6">
        <v>1454.9</v>
      </c>
      <c r="I50" s="7">
        <v>6.6</v>
      </c>
      <c r="K50" s="20" t="s">
        <v>40</v>
      </c>
      <c r="L50" s="6"/>
      <c r="M50" s="6">
        <f>AVERAGE(Tabelle1!C339:C364)</f>
        <v>-31.653846153846153</v>
      </c>
      <c r="N50" s="15">
        <f t="shared" si="1"/>
        <v>0.68017874241940746</v>
      </c>
    </row>
    <row r="51" spans="2:14" x14ac:dyDescent="0.25">
      <c r="B51" s="5">
        <v>49</v>
      </c>
      <c r="C51" s="6">
        <v>-36</v>
      </c>
      <c r="D51" s="6">
        <v>-32.334024896265561</v>
      </c>
      <c r="E51" s="6">
        <f>_xlfn.STDEV.P($C$3:$C$484)</f>
        <v>7.3254546814403687</v>
      </c>
      <c r="F51" s="6">
        <v>-20</v>
      </c>
      <c r="G51" s="6">
        <v>-42</v>
      </c>
      <c r="H51" s="6">
        <v>1457.9</v>
      </c>
      <c r="I51" s="7">
        <v>3</v>
      </c>
      <c r="K51" s="20" t="s">
        <v>41</v>
      </c>
      <c r="L51" s="6"/>
      <c r="M51" s="6">
        <f>AVERAGE(Tabelle1!C365:C390)</f>
        <v>-31.576923076923077</v>
      </c>
      <c r="N51" s="15">
        <f t="shared" si="1"/>
        <v>0.75710181934248411</v>
      </c>
    </row>
    <row r="52" spans="2:14" x14ac:dyDescent="0.25">
      <c r="B52" s="5">
        <v>50</v>
      </c>
      <c r="C52" s="6">
        <v>-40</v>
      </c>
      <c r="D52" s="6">
        <v>-32.334024896265561</v>
      </c>
      <c r="E52" s="6">
        <f>_xlfn.STDEV.P($C$3:$C$484)</f>
        <v>7.3254546814403687</v>
      </c>
      <c r="F52" s="6">
        <v>-20</v>
      </c>
      <c r="G52" s="6">
        <v>-42</v>
      </c>
      <c r="H52" s="6">
        <v>1466.4</v>
      </c>
      <c r="I52" s="7">
        <v>8.5</v>
      </c>
      <c r="K52" s="20" t="s">
        <v>42</v>
      </c>
      <c r="L52" s="6"/>
      <c r="M52" s="6">
        <f>AVERAGE(Tabelle1!C391:C416)</f>
        <v>-31.153846153846153</v>
      </c>
      <c r="N52" s="15">
        <f t="shared" si="1"/>
        <v>1.1801787424194075</v>
      </c>
    </row>
    <row r="53" spans="2:14" x14ac:dyDescent="0.25">
      <c r="B53" s="5">
        <v>51</v>
      </c>
      <c r="C53" s="6">
        <v>-22</v>
      </c>
      <c r="D53" s="6">
        <v>-32.334024896265561</v>
      </c>
      <c r="E53" s="6">
        <f>_xlfn.STDEV.P($C$3:$C$484)</f>
        <v>7.3254546814403687</v>
      </c>
      <c r="F53" s="6">
        <v>-20</v>
      </c>
      <c r="G53" s="6">
        <v>-42</v>
      </c>
      <c r="H53" s="6">
        <v>1490</v>
      </c>
      <c r="I53" s="7">
        <v>23.6</v>
      </c>
      <c r="K53" s="20" t="s">
        <v>43</v>
      </c>
      <c r="L53" s="6"/>
      <c r="M53" s="6">
        <f>AVERAGE(Tabelle1!C416:C442)</f>
        <v>-32.407407407407405</v>
      </c>
      <c r="N53" s="15">
        <f t="shared" si="1"/>
        <v>7.338251114184402E-2</v>
      </c>
    </row>
    <row r="54" spans="2:14" x14ac:dyDescent="0.25">
      <c r="B54" s="5">
        <v>52</v>
      </c>
      <c r="C54" s="6">
        <v>-38</v>
      </c>
      <c r="D54" s="6">
        <v>-32.334024896265561</v>
      </c>
      <c r="E54" s="6">
        <f>_xlfn.STDEV.P($C$3:$C$484)</f>
        <v>7.3254546814403687</v>
      </c>
      <c r="F54" s="6">
        <v>-20</v>
      </c>
      <c r="G54" s="6">
        <v>-42</v>
      </c>
      <c r="H54" s="6">
        <v>1549.1</v>
      </c>
      <c r="I54" s="7">
        <v>59.1</v>
      </c>
      <c r="K54" s="20" t="s">
        <v>44</v>
      </c>
      <c r="L54" s="6"/>
      <c r="M54" s="6">
        <f>AVERAGE(Tabelle1!C443:C468)</f>
        <v>-32.07692307692308</v>
      </c>
      <c r="N54" s="15">
        <f t="shared" si="1"/>
        <v>0.25710181934248055</v>
      </c>
    </row>
    <row r="55" spans="2:14" x14ac:dyDescent="0.25">
      <c r="B55" s="5">
        <v>53</v>
      </c>
      <c r="C55" s="6">
        <v>-35</v>
      </c>
      <c r="D55" s="6">
        <v>-32.334024896265561</v>
      </c>
      <c r="E55" s="6">
        <f>_xlfn.STDEV.P($C$3:$C$484)</f>
        <v>7.3254546814403687</v>
      </c>
      <c r="F55" s="6">
        <v>-20</v>
      </c>
      <c r="G55" s="6">
        <v>-42</v>
      </c>
      <c r="H55" s="6">
        <v>1612</v>
      </c>
      <c r="I55" s="7">
        <v>62.9</v>
      </c>
      <c r="K55" s="20" t="s">
        <v>45</v>
      </c>
      <c r="L55" s="6"/>
      <c r="M55" s="6">
        <f>AVERAGE(Tabelle1!C469:C494)</f>
        <v>-34</v>
      </c>
      <c r="N55" s="15">
        <f t="shared" si="1"/>
        <v>1.6659751037344392</v>
      </c>
    </row>
    <row r="56" spans="2:14" x14ac:dyDescent="0.25">
      <c r="B56" s="5">
        <v>54</v>
      </c>
      <c r="C56" s="6">
        <v>-30</v>
      </c>
      <c r="D56" s="6">
        <v>-32.334024896265561</v>
      </c>
      <c r="E56" s="6">
        <f>_xlfn.STDEV.P($C$3:$C$484)</f>
        <v>7.3254546814403687</v>
      </c>
      <c r="F56" s="6">
        <v>-20</v>
      </c>
      <c r="G56" s="6">
        <v>-42</v>
      </c>
      <c r="H56" s="6">
        <v>1617.6</v>
      </c>
      <c r="I56" s="7">
        <v>5.6</v>
      </c>
      <c r="K56" s="14"/>
      <c r="L56" s="6"/>
      <c r="M56" s="6"/>
      <c r="N56" s="15"/>
    </row>
    <row r="57" spans="2:14" ht="15.75" thickBot="1" x14ac:dyDescent="0.3">
      <c r="B57" s="5">
        <v>55</v>
      </c>
      <c r="C57" s="6">
        <v>-28</v>
      </c>
      <c r="D57" s="6">
        <v>-32.334024896265561</v>
      </c>
      <c r="E57" s="6">
        <f>_xlfn.STDEV.P($C$3:$C$484)</f>
        <v>7.3254546814403687</v>
      </c>
      <c r="F57" s="6">
        <v>-20</v>
      </c>
      <c r="G57" s="6">
        <v>-42</v>
      </c>
      <c r="H57" s="6">
        <v>1648.4</v>
      </c>
      <c r="I57" s="7">
        <v>30.8</v>
      </c>
      <c r="K57" s="17"/>
      <c r="L57" s="18"/>
      <c r="M57" s="18" t="s">
        <v>1</v>
      </c>
      <c r="N57" s="19">
        <f>AVERAGE(N37:N55)</f>
        <v>2.0747500698407002</v>
      </c>
    </row>
    <row r="58" spans="2:14" x14ac:dyDescent="0.25">
      <c r="B58" s="5">
        <v>56</v>
      </c>
      <c r="C58" s="6">
        <v>-30</v>
      </c>
      <c r="D58" s="6">
        <v>-32.334024896265561</v>
      </c>
      <c r="E58" s="6">
        <f>_xlfn.STDEV.P($C$3:$C$484)</f>
        <v>7.3254546814403687</v>
      </c>
      <c r="F58" s="6">
        <v>-20</v>
      </c>
      <c r="G58" s="6">
        <v>-42</v>
      </c>
      <c r="H58" s="6">
        <v>1652.7</v>
      </c>
      <c r="I58" s="7">
        <v>4.3</v>
      </c>
    </row>
    <row r="59" spans="2:14" x14ac:dyDescent="0.25">
      <c r="B59" s="5">
        <v>57</v>
      </c>
      <c r="C59" s="6">
        <v>-40</v>
      </c>
      <c r="D59" s="6">
        <v>-32.334024896265561</v>
      </c>
      <c r="E59" s="6">
        <f>_xlfn.STDEV.P($C$3:$C$484)</f>
        <v>7.3254546814403687</v>
      </c>
      <c r="F59" s="6">
        <v>-20</v>
      </c>
      <c r="G59" s="6">
        <v>-42</v>
      </c>
      <c r="H59" s="6">
        <v>1686.1</v>
      </c>
      <c r="I59" s="7">
        <v>33.4</v>
      </c>
    </row>
    <row r="60" spans="2:14" x14ac:dyDescent="0.25">
      <c r="B60" s="5">
        <v>58</v>
      </c>
      <c r="C60" s="6">
        <v>-35</v>
      </c>
      <c r="D60" s="6">
        <v>-32.334024896265561</v>
      </c>
      <c r="E60" s="6">
        <f>_xlfn.STDEV.P($C$3:$C$484)</f>
        <v>7.3254546814403687</v>
      </c>
      <c r="F60" s="6">
        <v>-20</v>
      </c>
      <c r="G60" s="6">
        <v>-42</v>
      </c>
      <c r="H60" s="6">
        <v>1691.1</v>
      </c>
      <c r="I60" s="7">
        <v>5</v>
      </c>
    </row>
    <row r="61" spans="2:14" x14ac:dyDescent="0.25">
      <c r="B61" s="5">
        <v>59</v>
      </c>
      <c r="C61" s="6">
        <v>-30</v>
      </c>
      <c r="D61" s="6">
        <v>-32.334024896265561</v>
      </c>
      <c r="E61" s="6">
        <f>_xlfn.STDEV.P($C$3:$C$484)</f>
        <v>7.3254546814403687</v>
      </c>
      <c r="F61" s="6">
        <v>-20</v>
      </c>
      <c r="G61" s="6">
        <v>-42</v>
      </c>
      <c r="H61" s="6">
        <v>1694.2</v>
      </c>
      <c r="I61" s="7">
        <v>3.1</v>
      </c>
      <c r="K61" t="s">
        <v>46</v>
      </c>
    </row>
    <row r="62" spans="2:14" x14ac:dyDescent="0.25">
      <c r="B62" s="5">
        <v>60</v>
      </c>
      <c r="C62" s="6">
        <v>-21</v>
      </c>
      <c r="D62" s="6">
        <v>-32.334024896265561</v>
      </c>
      <c r="E62" s="6">
        <f>_xlfn.STDEV.P($C$3:$C$484)</f>
        <v>7.3254546814403687</v>
      </c>
      <c r="F62" s="6">
        <v>-20</v>
      </c>
      <c r="G62" s="6">
        <v>-42</v>
      </c>
      <c r="H62" s="6">
        <v>1701.9</v>
      </c>
      <c r="I62" s="7">
        <v>7.7</v>
      </c>
    </row>
    <row r="63" spans="2:14" x14ac:dyDescent="0.25">
      <c r="B63" s="5">
        <v>61</v>
      </c>
      <c r="C63" s="6">
        <v>-20</v>
      </c>
      <c r="D63" s="6">
        <v>-32.334024896265561</v>
      </c>
      <c r="E63" s="6">
        <f>_xlfn.STDEV.P($C$3:$C$484)</f>
        <v>7.3254546814403687</v>
      </c>
      <c r="F63" s="6">
        <v>-20</v>
      </c>
      <c r="G63" s="6">
        <v>-42</v>
      </c>
      <c r="H63" s="6">
        <v>1709.7</v>
      </c>
      <c r="I63" s="7">
        <v>7.8</v>
      </c>
      <c r="K63" t="s">
        <v>47</v>
      </c>
      <c r="M63" s="21">
        <f>100-(N33*100)/N57</f>
        <v>26.123631839777005</v>
      </c>
      <c r="N63" t="s">
        <v>53</v>
      </c>
    </row>
    <row r="64" spans="2:14" x14ac:dyDescent="0.25">
      <c r="B64" s="5">
        <v>62</v>
      </c>
      <c r="C64" s="6">
        <v>-30</v>
      </c>
      <c r="D64" s="6">
        <v>-32.334024896265561</v>
      </c>
      <c r="E64" s="6">
        <f>_xlfn.STDEV.P($C$3:$C$484)</f>
        <v>7.3254546814403687</v>
      </c>
      <c r="F64" s="6">
        <v>-20</v>
      </c>
      <c r="G64" s="6">
        <v>-42</v>
      </c>
      <c r="H64" s="6">
        <v>1714.6</v>
      </c>
      <c r="I64" s="7">
        <v>4.9000000000000004</v>
      </c>
    </row>
    <row r="65" spans="2:11" x14ac:dyDescent="0.25">
      <c r="B65" s="5">
        <v>63</v>
      </c>
      <c r="C65" s="6">
        <v>-30</v>
      </c>
      <c r="D65" s="6">
        <v>-32.334024896265561</v>
      </c>
      <c r="E65" s="6">
        <f>_xlfn.STDEV.P($C$3:$C$484)</f>
        <v>7.3254546814403687</v>
      </c>
      <c r="F65" s="6">
        <v>-20</v>
      </c>
      <c r="G65" s="6">
        <v>-42</v>
      </c>
      <c r="H65" s="6">
        <v>1721.5</v>
      </c>
      <c r="I65" s="7">
        <v>6.9</v>
      </c>
    </row>
    <row r="66" spans="2:11" x14ac:dyDescent="0.25">
      <c r="B66" s="5">
        <v>64</v>
      </c>
      <c r="C66" s="6">
        <v>-35</v>
      </c>
      <c r="D66" s="6">
        <v>-32.334024896265561</v>
      </c>
      <c r="E66" s="6">
        <f>_xlfn.STDEV.P($C$3:$C$484)</f>
        <v>7.3254546814403687</v>
      </c>
      <c r="F66" s="6">
        <v>-20</v>
      </c>
      <c r="G66" s="6">
        <v>-42</v>
      </c>
      <c r="H66" s="6">
        <v>1776.8</v>
      </c>
      <c r="I66" s="7">
        <v>55.3</v>
      </c>
    </row>
    <row r="67" spans="2:11" x14ac:dyDescent="0.25">
      <c r="B67" s="5">
        <v>65</v>
      </c>
      <c r="C67" s="6">
        <v>-40</v>
      </c>
      <c r="D67" s="6">
        <v>-32.334024896265561</v>
      </c>
      <c r="E67" s="6">
        <f>_xlfn.STDEV.P($C$3:$C$484)</f>
        <v>7.3254546814403687</v>
      </c>
      <c r="F67" s="6">
        <v>-20</v>
      </c>
      <c r="G67" s="6">
        <v>-42</v>
      </c>
      <c r="H67" s="6">
        <v>1784.5</v>
      </c>
      <c r="I67" s="7">
        <v>7.7</v>
      </c>
      <c r="K67" t="s">
        <v>48</v>
      </c>
    </row>
    <row r="68" spans="2:11" x14ac:dyDescent="0.25">
      <c r="B68" s="5">
        <v>66</v>
      </c>
      <c r="C68" s="6">
        <v>-35</v>
      </c>
      <c r="D68" s="6">
        <v>-32.334024896265561</v>
      </c>
      <c r="E68" s="6">
        <f>_xlfn.STDEV.P($C$3:$C$484)</f>
        <v>7.3254546814403687</v>
      </c>
      <c r="F68" s="6">
        <v>-20</v>
      </c>
      <c r="G68" s="6">
        <v>-42</v>
      </c>
      <c r="H68" s="6">
        <v>1806.9</v>
      </c>
      <c r="I68" s="7">
        <v>22.4</v>
      </c>
      <c r="K68" t="s">
        <v>49</v>
      </c>
    </row>
    <row r="69" spans="2:11" x14ac:dyDescent="0.25">
      <c r="B69" s="5">
        <v>67</v>
      </c>
      <c r="C69" s="6">
        <v>-40</v>
      </c>
      <c r="D69" s="6">
        <v>-32.334024896265561</v>
      </c>
      <c r="E69" s="6">
        <f>_xlfn.STDEV.P($C$3:$C$484)</f>
        <v>7.3254546814403687</v>
      </c>
      <c r="F69" s="6">
        <v>-20</v>
      </c>
      <c r="G69" s="6">
        <v>-42</v>
      </c>
      <c r="H69" s="6">
        <v>1832.1</v>
      </c>
      <c r="I69" s="7">
        <v>25.2</v>
      </c>
    </row>
    <row r="70" spans="2:11" x14ac:dyDescent="0.25">
      <c r="B70" s="5">
        <v>68</v>
      </c>
      <c r="C70" s="6">
        <v>-41</v>
      </c>
      <c r="D70" s="6">
        <v>-32.334024896265561</v>
      </c>
      <c r="E70" s="6">
        <f>_xlfn.STDEV.P($C$3:$C$484)</f>
        <v>7.3254546814403687</v>
      </c>
      <c r="F70" s="6">
        <v>-20</v>
      </c>
      <c r="G70" s="6">
        <v>-42</v>
      </c>
      <c r="H70" s="6">
        <v>1833.1</v>
      </c>
      <c r="I70" s="7">
        <v>1</v>
      </c>
      <c r="K70" t="s">
        <v>50</v>
      </c>
    </row>
    <row r="71" spans="2:11" x14ac:dyDescent="0.25">
      <c r="B71" s="5">
        <v>69</v>
      </c>
      <c r="C71" s="6">
        <v>-55</v>
      </c>
      <c r="D71" s="6">
        <v>-32.334024896265561</v>
      </c>
      <c r="E71" s="6">
        <f>_xlfn.STDEV.P($C$3:$C$484)</f>
        <v>7.3254546814403687</v>
      </c>
      <c r="F71" s="6">
        <v>-20</v>
      </c>
      <c r="G71" s="6">
        <v>-42</v>
      </c>
      <c r="H71" s="6">
        <v>1837.9</v>
      </c>
      <c r="I71" s="7">
        <v>4.8</v>
      </c>
    </row>
    <row r="72" spans="2:11" x14ac:dyDescent="0.25">
      <c r="B72" s="5">
        <v>70</v>
      </c>
      <c r="C72" s="6">
        <v>-35</v>
      </c>
      <c r="D72" s="6">
        <v>-32.334024896265561</v>
      </c>
      <c r="E72" s="6">
        <f>_xlfn.STDEV.P($C$3:$C$484)</f>
        <v>7.3254546814403687</v>
      </c>
      <c r="F72" s="6">
        <v>-20</v>
      </c>
      <c r="G72" s="6">
        <v>-42</v>
      </c>
      <c r="H72" s="6">
        <v>1841.6</v>
      </c>
      <c r="I72" s="7">
        <v>3.7</v>
      </c>
      <c r="K72" t="s">
        <v>51</v>
      </c>
    </row>
    <row r="73" spans="2:11" x14ac:dyDescent="0.25">
      <c r="B73" s="5">
        <v>71</v>
      </c>
      <c r="C73" s="6">
        <v>-35</v>
      </c>
      <c r="D73" s="6">
        <v>-32.334024896265561</v>
      </c>
      <c r="E73" s="6">
        <f>_xlfn.STDEV.P($C$3:$C$484)</f>
        <v>7.3254546814403687</v>
      </c>
      <c r="F73" s="6">
        <v>-20</v>
      </c>
      <c r="G73" s="6">
        <v>-42</v>
      </c>
      <c r="H73" s="6">
        <v>1849.8</v>
      </c>
      <c r="I73" s="7">
        <v>8.1999999999999993</v>
      </c>
    </row>
    <row r="74" spans="2:11" x14ac:dyDescent="0.25">
      <c r="B74" s="5">
        <v>72</v>
      </c>
      <c r="C74" s="6">
        <v>-36</v>
      </c>
      <c r="D74" s="6">
        <v>-32.334024896265561</v>
      </c>
      <c r="E74" s="6">
        <f>_xlfn.STDEV.P($C$3:$C$484)</f>
        <v>7.3254546814403687</v>
      </c>
      <c r="F74" s="6">
        <v>-20</v>
      </c>
      <c r="G74" s="6">
        <v>-42</v>
      </c>
      <c r="H74" s="6">
        <v>1852.2</v>
      </c>
      <c r="I74" s="7">
        <v>2.4</v>
      </c>
      <c r="K74" t="s">
        <v>52</v>
      </c>
    </row>
    <row r="75" spans="2:11" x14ac:dyDescent="0.25">
      <c r="B75" s="5">
        <v>73</v>
      </c>
      <c r="C75" s="6">
        <v>-33</v>
      </c>
      <c r="D75" s="6">
        <v>-32.334024896265561</v>
      </c>
      <c r="E75" s="6">
        <f>_xlfn.STDEV.P($C$3:$C$484)</f>
        <v>7.3254546814403687</v>
      </c>
      <c r="F75" s="6">
        <v>-20</v>
      </c>
      <c r="G75" s="6">
        <v>-42</v>
      </c>
      <c r="H75" s="6">
        <v>1862.1</v>
      </c>
      <c r="I75" s="7">
        <v>9.9</v>
      </c>
    </row>
    <row r="76" spans="2:11" x14ac:dyDescent="0.25">
      <c r="B76" s="5">
        <v>74</v>
      </c>
      <c r="C76" s="6">
        <v>-40</v>
      </c>
      <c r="D76" s="6">
        <v>-32.334024896265561</v>
      </c>
      <c r="E76" s="6">
        <f>_xlfn.STDEV.P($C$3:$C$484)</f>
        <v>7.3254546814403687</v>
      </c>
      <c r="F76" s="6">
        <v>-20</v>
      </c>
      <c r="G76" s="6">
        <v>-42</v>
      </c>
      <c r="H76" s="6">
        <v>1877.3</v>
      </c>
      <c r="I76" s="7">
        <v>15.2</v>
      </c>
    </row>
    <row r="77" spans="2:11" x14ac:dyDescent="0.25">
      <c r="B77" s="5">
        <v>75</v>
      </c>
      <c r="C77" s="6">
        <v>-30</v>
      </c>
      <c r="D77" s="6">
        <v>-32.334024896265561</v>
      </c>
      <c r="E77" s="6">
        <f>_xlfn.STDEV.P($C$3:$C$484)</f>
        <v>7.3254546814403687</v>
      </c>
      <c r="F77" s="6">
        <v>-20</v>
      </c>
      <c r="G77" s="6">
        <v>-42</v>
      </c>
      <c r="H77" s="6">
        <v>1948.3</v>
      </c>
      <c r="I77" s="7">
        <v>71</v>
      </c>
    </row>
    <row r="78" spans="2:11" x14ac:dyDescent="0.25">
      <c r="B78" s="5">
        <v>76</v>
      </c>
      <c r="C78" s="6">
        <v>-40</v>
      </c>
      <c r="D78" s="6">
        <v>-32.334024896265561</v>
      </c>
      <c r="E78" s="6">
        <f>_xlfn.STDEV.P($C$3:$C$484)</f>
        <v>7.3254546814403687</v>
      </c>
      <c r="F78" s="6">
        <v>-20</v>
      </c>
      <c r="G78" s="6">
        <v>-42</v>
      </c>
      <c r="H78" s="6">
        <v>1982.5</v>
      </c>
      <c r="I78" s="7">
        <v>34.200000000000003</v>
      </c>
    </row>
    <row r="79" spans="2:11" x14ac:dyDescent="0.25">
      <c r="B79" s="5">
        <v>77</v>
      </c>
      <c r="C79" s="6">
        <v>-40</v>
      </c>
      <c r="D79" s="6">
        <v>-32.334024896265561</v>
      </c>
      <c r="E79" s="6">
        <f>_xlfn.STDEV.P($C$3:$C$484)</f>
        <v>7.3254546814403687</v>
      </c>
      <c r="F79" s="6">
        <v>-20</v>
      </c>
      <c r="G79" s="6">
        <v>-42</v>
      </c>
      <c r="H79" s="6">
        <v>2037.5</v>
      </c>
      <c r="I79" s="7">
        <v>55</v>
      </c>
    </row>
    <row r="80" spans="2:11" x14ac:dyDescent="0.25">
      <c r="B80" s="5">
        <v>78</v>
      </c>
      <c r="C80" s="6">
        <v>-40</v>
      </c>
      <c r="D80" s="6">
        <v>-32.334024896265561</v>
      </c>
      <c r="E80" s="6">
        <f>_xlfn.STDEV.P($C$3:$C$484)</f>
        <v>7.3254546814403687</v>
      </c>
      <c r="F80" s="6">
        <v>-20</v>
      </c>
      <c r="G80" s="6">
        <v>-42</v>
      </c>
      <c r="H80" s="6">
        <v>2061.8000000000002</v>
      </c>
      <c r="I80" s="7">
        <v>24.3</v>
      </c>
    </row>
    <row r="81" spans="2:9" x14ac:dyDescent="0.25">
      <c r="B81" s="5">
        <v>79</v>
      </c>
      <c r="C81" s="6">
        <v>-45</v>
      </c>
      <c r="D81" s="6">
        <v>-32.334024896265561</v>
      </c>
      <c r="E81" s="6">
        <f>_xlfn.STDEV.P($C$3:$C$484)</f>
        <v>7.3254546814403687</v>
      </c>
      <c r="F81" s="6">
        <v>-20</v>
      </c>
      <c r="G81" s="6">
        <v>-42</v>
      </c>
      <c r="H81" s="6">
        <v>2068</v>
      </c>
      <c r="I81" s="7">
        <v>6.2</v>
      </c>
    </row>
    <row r="82" spans="2:9" x14ac:dyDescent="0.25">
      <c r="B82" s="5">
        <v>80</v>
      </c>
      <c r="C82" s="6">
        <v>-40</v>
      </c>
      <c r="D82" s="6">
        <v>-32.334024896265561</v>
      </c>
      <c r="E82" s="6">
        <f>_xlfn.STDEV.P($C$3:$C$484)</f>
        <v>7.3254546814403687</v>
      </c>
      <c r="F82" s="6">
        <v>-20</v>
      </c>
      <c r="G82" s="6">
        <v>-42</v>
      </c>
      <c r="H82" s="6">
        <v>2109.8000000000002</v>
      </c>
      <c r="I82" s="7">
        <v>41.8</v>
      </c>
    </row>
    <row r="83" spans="2:9" x14ac:dyDescent="0.25">
      <c r="B83" s="5">
        <v>81</v>
      </c>
      <c r="C83" s="6">
        <v>-30</v>
      </c>
      <c r="D83" s="6">
        <v>-32.334024896265561</v>
      </c>
      <c r="E83" s="6">
        <f>_xlfn.STDEV.P($C$3:$C$484)</f>
        <v>7.3254546814403687</v>
      </c>
      <c r="F83" s="6">
        <v>-20</v>
      </c>
      <c r="G83" s="6">
        <v>-42</v>
      </c>
      <c r="H83" s="6">
        <v>2188.8000000000002</v>
      </c>
      <c r="I83" s="7">
        <v>79</v>
      </c>
    </row>
    <row r="84" spans="2:9" x14ac:dyDescent="0.25">
      <c r="B84" s="5">
        <v>82</v>
      </c>
      <c r="C84" s="6">
        <v>-30</v>
      </c>
      <c r="D84" s="6">
        <v>-32.334024896265561</v>
      </c>
      <c r="E84" s="6">
        <f>_xlfn.STDEV.P($C$3:$C$484)</f>
        <v>7.3254546814403687</v>
      </c>
      <c r="F84" s="6">
        <v>-20</v>
      </c>
      <c r="G84" s="6">
        <v>-42</v>
      </c>
      <c r="H84" s="6">
        <v>2313.8000000000002</v>
      </c>
      <c r="I84" s="7">
        <v>125</v>
      </c>
    </row>
    <row r="85" spans="2:9" x14ac:dyDescent="0.25">
      <c r="B85" s="5">
        <v>83</v>
      </c>
      <c r="C85" s="6">
        <v>-33</v>
      </c>
      <c r="D85" s="6">
        <v>-32.334024896265561</v>
      </c>
      <c r="E85" s="6">
        <f>_xlfn.STDEV.P($C$3:$C$484)</f>
        <v>7.3254546814403687</v>
      </c>
      <c r="F85" s="6">
        <v>-20</v>
      </c>
      <c r="G85" s="6">
        <v>-42</v>
      </c>
      <c r="H85" s="6">
        <v>2361.4</v>
      </c>
      <c r="I85" s="7">
        <v>47.6</v>
      </c>
    </row>
    <row r="86" spans="2:9" x14ac:dyDescent="0.25">
      <c r="B86" s="5">
        <v>84</v>
      </c>
      <c r="C86" s="6">
        <v>-35</v>
      </c>
      <c r="D86" s="6">
        <v>-32.334024896265561</v>
      </c>
      <c r="E86" s="6">
        <f>_xlfn.STDEV.P($C$3:$C$484)</f>
        <v>7.3254546814403687</v>
      </c>
      <c r="F86" s="6">
        <v>-20</v>
      </c>
      <c r="G86" s="6">
        <v>-42</v>
      </c>
      <c r="H86" s="6">
        <v>2363.1999999999998</v>
      </c>
      <c r="I86" s="7">
        <v>1.8</v>
      </c>
    </row>
    <row r="87" spans="2:9" x14ac:dyDescent="0.25">
      <c r="B87" s="5">
        <v>85</v>
      </c>
      <c r="C87" s="6">
        <v>-33</v>
      </c>
      <c r="D87" s="6">
        <v>-32.334024896265561</v>
      </c>
      <c r="E87" s="6">
        <f>_xlfn.STDEV.P($C$3:$C$484)</f>
        <v>7.3254546814403687</v>
      </c>
      <c r="F87" s="6">
        <v>-20</v>
      </c>
      <c r="G87" s="6">
        <v>-42</v>
      </c>
      <c r="H87" s="6">
        <v>2367.1</v>
      </c>
      <c r="I87" s="7">
        <v>3.9</v>
      </c>
    </row>
    <row r="88" spans="2:9" x14ac:dyDescent="0.25">
      <c r="B88" s="5">
        <v>86</v>
      </c>
      <c r="C88" s="6">
        <v>-35</v>
      </c>
      <c r="D88" s="6">
        <v>-32.334024896265561</v>
      </c>
      <c r="E88" s="6">
        <f>_xlfn.STDEV.P($C$3:$C$484)</f>
        <v>7.3254546814403687</v>
      </c>
      <c r="F88" s="6">
        <v>-20</v>
      </c>
      <c r="G88" s="6">
        <v>-42</v>
      </c>
      <c r="H88" s="6">
        <v>2391.3000000000002</v>
      </c>
      <c r="I88" s="7">
        <v>24.2</v>
      </c>
    </row>
    <row r="89" spans="2:9" x14ac:dyDescent="0.25">
      <c r="B89" s="5">
        <v>87</v>
      </c>
      <c r="C89" s="6">
        <v>-36</v>
      </c>
      <c r="D89" s="6">
        <v>-32.334024896265561</v>
      </c>
      <c r="E89" s="6">
        <f>_xlfn.STDEV.P($C$3:$C$484)</f>
        <v>7.3254546814403687</v>
      </c>
      <c r="F89" s="6">
        <v>-20</v>
      </c>
      <c r="G89" s="6">
        <v>-42</v>
      </c>
      <c r="H89" s="6">
        <v>2401</v>
      </c>
      <c r="I89" s="7">
        <v>9.6999999999999993</v>
      </c>
    </row>
    <row r="90" spans="2:9" x14ac:dyDescent="0.25">
      <c r="B90" s="5">
        <v>88</v>
      </c>
      <c r="C90" s="6">
        <v>-40</v>
      </c>
      <c r="D90" s="6">
        <v>-32.334024896265561</v>
      </c>
      <c r="E90" s="6">
        <f>_xlfn.STDEV.P($C$3:$C$484)</f>
        <v>7.3254546814403687</v>
      </c>
      <c r="F90" s="6">
        <v>-20</v>
      </c>
      <c r="G90" s="6">
        <v>-42</v>
      </c>
      <c r="H90" s="6">
        <v>2425.1999999999998</v>
      </c>
      <c r="I90" s="7">
        <v>24.2</v>
      </c>
    </row>
    <row r="91" spans="2:9" x14ac:dyDescent="0.25">
      <c r="B91" s="5">
        <v>89</v>
      </c>
      <c r="C91" s="6">
        <v>-30</v>
      </c>
      <c r="D91" s="6">
        <v>-32.334024896265561</v>
      </c>
      <c r="E91" s="6">
        <f>_xlfn.STDEV.P($C$3:$C$484)</f>
        <v>7.3254546814403687</v>
      </c>
      <c r="F91" s="6">
        <v>-20</v>
      </c>
      <c r="G91" s="6">
        <v>-42</v>
      </c>
      <c r="H91" s="6">
        <v>2437.5</v>
      </c>
      <c r="I91" s="7">
        <v>12.3</v>
      </c>
    </row>
    <row r="92" spans="2:9" x14ac:dyDescent="0.25">
      <c r="B92" s="5">
        <v>90</v>
      </c>
      <c r="C92" s="6">
        <v>-35</v>
      </c>
      <c r="D92" s="6">
        <v>-32.334024896265561</v>
      </c>
      <c r="E92" s="6">
        <f>_xlfn.STDEV.P($C$3:$C$484)</f>
        <v>7.3254546814403687</v>
      </c>
      <c r="F92" s="6">
        <v>-20</v>
      </c>
      <c r="G92" s="6">
        <v>-42</v>
      </c>
      <c r="H92" s="6">
        <v>2450.6</v>
      </c>
      <c r="I92" s="7">
        <v>13.1</v>
      </c>
    </row>
    <row r="93" spans="2:9" x14ac:dyDescent="0.25">
      <c r="B93" s="5">
        <v>91</v>
      </c>
      <c r="C93" s="6">
        <v>-30</v>
      </c>
      <c r="D93" s="6">
        <v>-32.334024896265561</v>
      </c>
      <c r="E93" s="6">
        <f>_xlfn.STDEV.P($C$3:$C$484)</f>
        <v>7.3254546814403687</v>
      </c>
      <c r="F93" s="6">
        <v>-20</v>
      </c>
      <c r="G93" s="6">
        <v>-42</v>
      </c>
      <c r="H93" s="6">
        <v>2466.9</v>
      </c>
      <c r="I93" s="7">
        <v>16.3</v>
      </c>
    </row>
    <row r="94" spans="2:9" x14ac:dyDescent="0.25">
      <c r="B94" s="5">
        <v>92</v>
      </c>
      <c r="C94" s="6">
        <v>-25</v>
      </c>
      <c r="D94" s="6">
        <v>-32.334024896265561</v>
      </c>
      <c r="E94" s="6">
        <f>_xlfn.STDEV.P($C$3:$C$484)</f>
        <v>7.3254546814403687</v>
      </c>
      <c r="F94" s="6">
        <v>-20</v>
      </c>
      <c r="G94" s="6">
        <v>-42</v>
      </c>
      <c r="H94" s="6">
        <v>2496.9</v>
      </c>
      <c r="I94" s="7">
        <v>30</v>
      </c>
    </row>
    <row r="95" spans="2:9" x14ac:dyDescent="0.25">
      <c r="B95" s="5">
        <v>93</v>
      </c>
      <c r="C95" s="6">
        <v>-25</v>
      </c>
      <c r="D95" s="6">
        <v>-32.334024896265561</v>
      </c>
      <c r="E95" s="6">
        <f>_xlfn.STDEV.P($C$3:$C$484)</f>
        <v>7.3254546814403687</v>
      </c>
      <c r="F95" s="6">
        <v>-20</v>
      </c>
      <c r="G95" s="6">
        <v>-42</v>
      </c>
      <c r="H95" s="6">
        <v>2503.8000000000002</v>
      </c>
      <c r="I95" s="7">
        <v>6.9</v>
      </c>
    </row>
    <row r="96" spans="2:9" x14ac:dyDescent="0.25">
      <c r="B96" s="5">
        <v>94</v>
      </c>
      <c r="C96" s="6">
        <v>-30</v>
      </c>
      <c r="D96" s="6">
        <v>-32.334024896265561</v>
      </c>
      <c r="E96" s="6">
        <f>_xlfn.STDEV.P($C$3:$C$484)</f>
        <v>7.3254546814403687</v>
      </c>
      <c r="F96" s="6">
        <v>-20</v>
      </c>
      <c r="G96" s="6">
        <v>-42</v>
      </c>
      <c r="H96" s="6">
        <v>2525.6999999999998</v>
      </c>
      <c r="I96" s="7">
        <v>21.9</v>
      </c>
    </row>
    <row r="97" spans="2:9" x14ac:dyDescent="0.25">
      <c r="B97" s="5">
        <v>95</v>
      </c>
      <c r="C97" s="6">
        <v>-23</v>
      </c>
      <c r="D97" s="6">
        <v>-32.334024896265561</v>
      </c>
      <c r="E97" s="6">
        <f>_xlfn.STDEV.P($C$3:$C$484)</f>
        <v>7.3254546814403687</v>
      </c>
      <c r="F97" s="6">
        <v>-20</v>
      </c>
      <c r="G97" s="6">
        <v>-42</v>
      </c>
      <c r="H97" s="6">
        <v>2558.5</v>
      </c>
      <c r="I97" s="7">
        <v>32.799999999999997</v>
      </c>
    </row>
    <row r="98" spans="2:9" x14ac:dyDescent="0.25">
      <c r="B98" s="5">
        <v>96</v>
      </c>
      <c r="C98" s="6">
        <v>-20</v>
      </c>
      <c r="D98" s="6">
        <v>-32.334024896265561</v>
      </c>
      <c r="E98" s="6">
        <f>_xlfn.STDEV.P($C$3:$C$484)</f>
        <v>7.3254546814403687</v>
      </c>
      <c r="F98" s="6">
        <v>-20</v>
      </c>
      <c r="G98" s="6">
        <v>-42</v>
      </c>
      <c r="H98" s="6">
        <v>2576.5</v>
      </c>
      <c r="I98" s="7">
        <v>18</v>
      </c>
    </row>
    <row r="99" spans="2:9" x14ac:dyDescent="0.25">
      <c r="B99" s="5">
        <v>97</v>
      </c>
      <c r="C99" s="6">
        <v>-30</v>
      </c>
      <c r="D99" s="6">
        <v>-32.334024896265561</v>
      </c>
      <c r="E99" s="6">
        <f>_xlfn.STDEV.P($C$3:$C$484)</f>
        <v>7.3254546814403687</v>
      </c>
      <c r="F99" s="6">
        <v>-20</v>
      </c>
      <c r="G99" s="6">
        <v>-42</v>
      </c>
      <c r="H99" s="6">
        <v>2601.1</v>
      </c>
      <c r="I99" s="7">
        <v>24.6</v>
      </c>
    </row>
    <row r="100" spans="2:9" x14ac:dyDescent="0.25">
      <c r="B100" s="5">
        <v>98</v>
      </c>
      <c r="C100" s="6">
        <v>-25</v>
      </c>
      <c r="D100" s="6">
        <v>-32.334024896265561</v>
      </c>
      <c r="E100" s="6">
        <f>_xlfn.STDEV.P($C$3:$C$484)</f>
        <v>7.3254546814403687</v>
      </c>
      <c r="F100" s="6">
        <v>-20</v>
      </c>
      <c r="G100" s="6">
        <v>-42</v>
      </c>
      <c r="H100" s="6">
        <v>2601.5</v>
      </c>
      <c r="I100" s="7">
        <v>0.4</v>
      </c>
    </row>
    <row r="101" spans="2:9" x14ac:dyDescent="0.25">
      <c r="B101" s="5">
        <v>99</v>
      </c>
      <c r="C101" s="6">
        <v>-30</v>
      </c>
      <c r="D101" s="6">
        <v>-32.334024896265561</v>
      </c>
      <c r="E101" s="6">
        <f>_xlfn.STDEV.P($C$3:$C$484)</f>
        <v>7.3254546814403687</v>
      </c>
      <c r="F101" s="6">
        <v>-20</v>
      </c>
      <c r="G101" s="6">
        <v>-42</v>
      </c>
      <c r="H101" s="6">
        <v>2631.7</v>
      </c>
      <c r="I101" s="7">
        <v>30.2</v>
      </c>
    </row>
    <row r="102" spans="2:9" x14ac:dyDescent="0.25">
      <c r="B102" s="5">
        <v>100</v>
      </c>
      <c r="C102" s="6">
        <v>-15</v>
      </c>
      <c r="D102" s="6">
        <v>-32.334024896265561</v>
      </c>
      <c r="E102" s="6">
        <f>_xlfn.STDEV.P($C$3:$C$484)</f>
        <v>7.3254546814403687</v>
      </c>
      <c r="F102" s="6">
        <v>-20</v>
      </c>
      <c r="G102" s="6">
        <v>-42</v>
      </c>
      <c r="H102" s="6">
        <v>2637.5</v>
      </c>
      <c r="I102" s="7">
        <v>5.8</v>
      </c>
    </row>
    <row r="103" spans="2:9" x14ac:dyDescent="0.25">
      <c r="B103" s="5">
        <v>101</v>
      </c>
      <c r="C103" s="6">
        <v>-25</v>
      </c>
      <c r="D103" s="6">
        <v>-32.334024896265561</v>
      </c>
      <c r="E103" s="6">
        <f>_xlfn.STDEV.P($C$3:$C$484)</f>
        <v>7.3254546814403687</v>
      </c>
      <c r="F103" s="6">
        <v>-20</v>
      </c>
      <c r="G103" s="6">
        <v>-42</v>
      </c>
      <c r="H103" s="6">
        <v>2671.2</v>
      </c>
      <c r="I103" s="7">
        <v>33.700000000000003</v>
      </c>
    </row>
    <row r="104" spans="2:9" x14ac:dyDescent="0.25">
      <c r="B104" s="5">
        <v>102</v>
      </c>
      <c r="C104" s="6">
        <v>-30</v>
      </c>
      <c r="D104" s="6">
        <v>-32.334024896265561</v>
      </c>
      <c r="E104" s="6">
        <f>_xlfn.STDEV.P($C$3:$C$484)</f>
        <v>7.3254546814403687</v>
      </c>
      <c r="F104" s="6">
        <v>-20</v>
      </c>
      <c r="G104" s="6">
        <v>-42</v>
      </c>
      <c r="H104" s="6">
        <v>2684.8</v>
      </c>
      <c r="I104" s="7">
        <v>13.6</v>
      </c>
    </row>
    <row r="105" spans="2:9" x14ac:dyDescent="0.25">
      <c r="B105" s="5">
        <v>103</v>
      </c>
      <c r="C105" s="6">
        <v>-22</v>
      </c>
      <c r="D105" s="6">
        <v>-32.334024896265561</v>
      </c>
      <c r="E105" s="6">
        <f>_xlfn.STDEV.P($C$3:$C$484)</f>
        <v>7.3254546814403687</v>
      </c>
      <c r="F105" s="6">
        <v>-20</v>
      </c>
      <c r="G105" s="6">
        <v>-42</v>
      </c>
      <c r="H105" s="6">
        <v>2712.1</v>
      </c>
      <c r="I105" s="7">
        <v>27.3</v>
      </c>
    </row>
    <row r="106" spans="2:9" x14ac:dyDescent="0.25">
      <c r="B106" s="5">
        <v>104</v>
      </c>
      <c r="C106" s="6">
        <v>-18</v>
      </c>
      <c r="D106" s="6">
        <v>-32.334024896265561</v>
      </c>
      <c r="E106" s="6">
        <f>_xlfn.STDEV.P($C$3:$C$484)</f>
        <v>7.3254546814403687</v>
      </c>
      <c r="F106" s="6">
        <v>-20</v>
      </c>
      <c r="G106" s="6">
        <v>-42</v>
      </c>
      <c r="H106" s="6">
        <v>2895.4</v>
      </c>
      <c r="I106" s="7">
        <v>183.3</v>
      </c>
    </row>
    <row r="107" spans="2:9" x14ac:dyDescent="0.25">
      <c r="B107" s="5">
        <v>105</v>
      </c>
      <c r="C107" s="6">
        <v>-28</v>
      </c>
      <c r="D107" s="6">
        <v>-32.334024896265561</v>
      </c>
      <c r="E107" s="6">
        <f>_xlfn.STDEV.P($C$3:$C$484)</f>
        <v>7.3254546814403687</v>
      </c>
      <c r="F107" s="6">
        <v>-20</v>
      </c>
      <c r="G107" s="6">
        <v>-42</v>
      </c>
      <c r="H107" s="6">
        <v>2973.6</v>
      </c>
      <c r="I107" s="7">
        <v>78.2</v>
      </c>
    </row>
    <row r="108" spans="2:9" x14ac:dyDescent="0.25">
      <c r="B108" s="5">
        <v>106</v>
      </c>
      <c r="C108" s="6">
        <v>-25</v>
      </c>
      <c r="D108" s="6">
        <v>-32.334024896265561</v>
      </c>
      <c r="E108" s="6">
        <f>_xlfn.STDEV.P($C$3:$C$484)</f>
        <v>7.3254546814403687</v>
      </c>
      <c r="F108" s="6">
        <v>-20</v>
      </c>
      <c r="G108" s="6">
        <v>-42</v>
      </c>
      <c r="H108" s="6">
        <v>3003.6</v>
      </c>
      <c r="I108" s="7">
        <v>30</v>
      </c>
    </row>
    <row r="109" spans="2:9" x14ac:dyDescent="0.25">
      <c r="B109" s="5">
        <v>107</v>
      </c>
      <c r="C109" s="6">
        <v>-36</v>
      </c>
      <c r="D109" s="6">
        <v>-32.334024896265561</v>
      </c>
      <c r="E109" s="6">
        <f>_xlfn.STDEV.P($C$3:$C$484)</f>
        <v>7.3254546814403687</v>
      </c>
      <c r="F109" s="6">
        <v>-20</v>
      </c>
      <c r="G109" s="6">
        <v>-42</v>
      </c>
      <c r="H109" s="6">
        <v>3051.6</v>
      </c>
      <c r="I109" s="7">
        <v>48</v>
      </c>
    </row>
    <row r="110" spans="2:9" x14ac:dyDescent="0.25">
      <c r="B110" s="5">
        <v>108</v>
      </c>
      <c r="C110" s="6">
        <v>-40</v>
      </c>
      <c r="D110" s="6">
        <v>-32.334024896265561</v>
      </c>
      <c r="E110" s="6">
        <f>_xlfn.STDEV.P($C$3:$C$484)</f>
        <v>7.3254546814403687</v>
      </c>
      <c r="F110" s="6">
        <v>-20</v>
      </c>
      <c r="G110" s="6">
        <v>-42</v>
      </c>
      <c r="H110" s="6">
        <v>3085.5</v>
      </c>
      <c r="I110" s="7">
        <v>33.9</v>
      </c>
    </row>
    <row r="111" spans="2:9" x14ac:dyDescent="0.25">
      <c r="B111" s="5">
        <v>109</v>
      </c>
      <c r="C111" s="6">
        <v>-35</v>
      </c>
      <c r="D111" s="6">
        <v>-32.334024896265561</v>
      </c>
      <c r="E111" s="6">
        <f>_xlfn.STDEV.P($C$3:$C$484)</f>
        <v>7.3254546814403687</v>
      </c>
      <c r="F111" s="6">
        <v>-20</v>
      </c>
      <c r="G111" s="6">
        <v>-42</v>
      </c>
      <c r="H111" s="6">
        <v>3093.6</v>
      </c>
      <c r="I111" s="7">
        <v>8.1</v>
      </c>
    </row>
    <row r="112" spans="2:9" x14ac:dyDescent="0.25">
      <c r="B112" s="5">
        <v>110</v>
      </c>
      <c r="C112" s="6">
        <v>-30</v>
      </c>
      <c r="D112" s="6">
        <v>-32.334024896265561</v>
      </c>
      <c r="E112" s="6">
        <f>_xlfn.STDEV.P($C$3:$C$484)</f>
        <v>7.3254546814403687</v>
      </c>
      <c r="F112" s="6">
        <v>-20</v>
      </c>
      <c r="G112" s="6">
        <v>-42</v>
      </c>
      <c r="H112" s="6">
        <v>3119.3</v>
      </c>
      <c r="I112" s="7">
        <v>25.7</v>
      </c>
    </row>
    <row r="113" spans="2:9" x14ac:dyDescent="0.25">
      <c r="B113" s="5">
        <v>111</v>
      </c>
      <c r="C113" s="6">
        <v>-55</v>
      </c>
      <c r="D113" s="6">
        <v>-32.334024896265561</v>
      </c>
      <c r="E113" s="6">
        <f>_xlfn.STDEV.P($C$3:$C$484)</f>
        <v>7.3254546814403687</v>
      </c>
      <c r="F113" s="6">
        <v>-20</v>
      </c>
      <c r="G113" s="6">
        <v>-42</v>
      </c>
      <c r="H113" s="6">
        <v>3134.4</v>
      </c>
      <c r="I113" s="7">
        <v>15.1</v>
      </c>
    </row>
    <row r="114" spans="2:9" x14ac:dyDescent="0.25">
      <c r="B114" s="5">
        <v>112</v>
      </c>
      <c r="C114" s="6">
        <v>-50</v>
      </c>
      <c r="D114" s="6">
        <v>-32.334024896265561</v>
      </c>
      <c r="E114" s="6">
        <f>_xlfn.STDEV.P($C$3:$C$484)</f>
        <v>7.3254546814403687</v>
      </c>
      <c r="F114" s="6">
        <v>-20</v>
      </c>
      <c r="G114" s="6">
        <v>-42</v>
      </c>
      <c r="H114" s="6">
        <v>3144.7</v>
      </c>
      <c r="I114" s="7">
        <v>10.3</v>
      </c>
    </row>
    <row r="115" spans="2:9" x14ac:dyDescent="0.25">
      <c r="B115" s="5">
        <v>113</v>
      </c>
      <c r="C115" s="6">
        <v>-50</v>
      </c>
      <c r="D115" s="6">
        <v>-32.334024896265561</v>
      </c>
      <c r="E115" s="6">
        <f>_xlfn.STDEV.P($C$3:$C$484)</f>
        <v>7.3254546814403687</v>
      </c>
      <c r="F115" s="6">
        <v>-20</v>
      </c>
      <c r="G115" s="6">
        <v>-42</v>
      </c>
      <c r="H115" s="6">
        <v>3211.3</v>
      </c>
      <c r="I115" s="7">
        <v>66.599999999999994</v>
      </c>
    </row>
    <row r="116" spans="2:9" x14ac:dyDescent="0.25">
      <c r="B116" s="5">
        <v>114</v>
      </c>
      <c r="C116" s="6">
        <v>-40</v>
      </c>
      <c r="D116" s="6">
        <v>-32.334024896265561</v>
      </c>
      <c r="E116" s="6">
        <f>_xlfn.STDEV.P($C$3:$C$484)</f>
        <v>7.3254546814403687</v>
      </c>
      <c r="F116" s="6">
        <v>-20</v>
      </c>
      <c r="G116" s="6">
        <v>-42</v>
      </c>
      <c r="H116" s="6">
        <v>3238.3</v>
      </c>
      <c r="I116" s="7">
        <v>27</v>
      </c>
    </row>
    <row r="117" spans="2:9" x14ac:dyDescent="0.25">
      <c r="B117" s="5">
        <v>115</v>
      </c>
      <c r="C117" s="6">
        <v>-40</v>
      </c>
      <c r="D117" s="6">
        <v>-32.334024896265561</v>
      </c>
      <c r="E117" s="6">
        <f>_xlfn.STDEV.P($C$3:$C$484)</f>
        <v>7.3254546814403687</v>
      </c>
      <c r="F117" s="6">
        <v>-20</v>
      </c>
      <c r="G117" s="6">
        <v>-42</v>
      </c>
      <c r="H117" s="6">
        <v>3314.6</v>
      </c>
      <c r="I117" s="7">
        <v>76.3</v>
      </c>
    </row>
    <row r="118" spans="2:9" x14ac:dyDescent="0.25">
      <c r="B118" s="5">
        <v>116</v>
      </c>
      <c r="C118" s="6">
        <v>-43</v>
      </c>
      <c r="D118" s="6">
        <v>-32.334024896265561</v>
      </c>
      <c r="E118" s="6">
        <f>_xlfn.STDEV.P($C$3:$C$484)</f>
        <v>7.3254546814403687</v>
      </c>
      <c r="F118" s="6">
        <v>-20</v>
      </c>
      <c r="G118" s="6">
        <v>-42</v>
      </c>
      <c r="H118" s="6">
        <v>3332.1</v>
      </c>
      <c r="I118" s="7">
        <v>17.5</v>
      </c>
    </row>
    <row r="119" spans="2:9" x14ac:dyDescent="0.25">
      <c r="B119" s="5">
        <v>117</v>
      </c>
      <c r="C119" s="6">
        <v>-35</v>
      </c>
      <c r="D119" s="6">
        <v>-32.334024896265561</v>
      </c>
      <c r="E119" s="6">
        <f>_xlfn.STDEV.P($C$3:$C$484)</f>
        <v>7.3254546814403687</v>
      </c>
      <c r="F119" s="6">
        <v>-20</v>
      </c>
      <c r="G119" s="6">
        <v>-42</v>
      </c>
      <c r="H119" s="6">
        <v>3340.1</v>
      </c>
      <c r="I119" s="7">
        <v>8</v>
      </c>
    </row>
    <row r="120" spans="2:9" x14ac:dyDescent="0.25">
      <c r="B120" s="5">
        <v>118</v>
      </c>
      <c r="C120" s="6">
        <v>-15</v>
      </c>
      <c r="D120" s="6">
        <v>-32.334024896265561</v>
      </c>
      <c r="E120" s="6">
        <f>_xlfn.STDEV.P($C$3:$C$484)</f>
        <v>7.3254546814403687</v>
      </c>
      <c r="F120" s="6">
        <v>-20</v>
      </c>
      <c r="G120" s="6">
        <v>-42</v>
      </c>
      <c r="H120" s="6">
        <v>3373.6</v>
      </c>
      <c r="I120" s="7">
        <v>33.5</v>
      </c>
    </row>
    <row r="121" spans="2:9" x14ac:dyDescent="0.25">
      <c r="B121" s="5">
        <v>119</v>
      </c>
      <c r="C121" s="6">
        <v>-37</v>
      </c>
      <c r="D121" s="6">
        <v>-32.334024896265561</v>
      </c>
      <c r="E121" s="6">
        <f>_xlfn.STDEV.P($C$3:$C$484)</f>
        <v>7.3254546814403687</v>
      </c>
      <c r="F121" s="6">
        <v>-20</v>
      </c>
      <c r="G121" s="6">
        <v>-42</v>
      </c>
      <c r="H121" s="6">
        <v>3465.2</v>
      </c>
      <c r="I121" s="7">
        <v>91.6</v>
      </c>
    </row>
    <row r="122" spans="2:9" x14ac:dyDescent="0.25">
      <c r="B122" s="5">
        <v>120</v>
      </c>
      <c r="C122" s="6">
        <v>-35</v>
      </c>
      <c r="D122" s="6">
        <v>-32.334024896265561</v>
      </c>
      <c r="E122" s="6">
        <f>_xlfn.STDEV.P($C$3:$C$484)</f>
        <v>7.3254546814403687</v>
      </c>
      <c r="F122" s="6">
        <v>-20</v>
      </c>
      <c r="G122" s="6">
        <v>-42</v>
      </c>
      <c r="H122" s="6">
        <v>3480.2</v>
      </c>
      <c r="I122" s="7">
        <v>15</v>
      </c>
    </row>
    <row r="123" spans="2:9" x14ac:dyDescent="0.25">
      <c r="B123" s="5">
        <v>121</v>
      </c>
      <c r="C123" s="6">
        <v>-32</v>
      </c>
      <c r="D123" s="6">
        <v>-32.334024896265561</v>
      </c>
      <c r="E123" s="6">
        <f>_xlfn.STDEV.P($C$3:$C$484)</f>
        <v>7.3254546814403687</v>
      </c>
      <c r="F123" s="6">
        <v>-20</v>
      </c>
      <c r="G123" s="6">
        <v>-42</v>
      </c>
      <c r="H123" s="6">
        <v>3510.8</v>
      </c>
      <c r="I123" s="7">
        <v>30.6</v>
      </c>
    </row>
    <row r="124" spans="2:9" x14ac:dyDescent="0.25">
      <c r="B124" s="5">
        <v>122</v>
      </c>
      <c r="C124" s="6">
        <v>-33</v>
      </c>
      <c r="D124" s="6">
        <v>-32.334024896265561</v>
      </c>
      <c r="E124" s="6">
        <f>_xlfn.STDEV.P($C$3:$C$484)</f>
        <v>7.3254546814403687</v>
      </c>
      <c r="F124" s="6">
        <v>-20</v>
      </c>
      <c r="G124" s="6">
        <v>-42</v>
      </c>
      <c r="H124" s="6">
        <v>3521.2</v>
      </c>
      <c r="I124" s="7">
        <v>10.4</v>
      </c>
    </row>
    <row r="125" spans="2:9" x14ac:dyDescent="0.25">
      <c r="B125" s="5">
        <v>123</v>
      </c>
      <c r="C125" s="6">
        <v>-22</v>
      </c>
      <c r="D125" s="6">
        <v>-32.334024896265561</v>
      </c>
      <c r="E125" s="6">
        <f>_xlfn.STDEV.P($C$3:$C$484)</f>
        <v>7.3254546814403687</v>
      </c>
      <c r="F125" s="6">
        <v>-20</v>
      </c>
      <c r="G125" s="6">
        <v>-42</v>
      </c>
      <c r="H125" s="6">
        <v>3539</v>
      </c>
      <c r="I125" s="7">
        <v>17.8</v>
      </c>
    </row>
    <row r="126" spans="2:9" x14ac:dyDescent="0.25">
      <c r="B126" s="5">
        <v>124</v>
      </c>
      <c r="C126" s="6">
        <v>-45</v>
      </c>
      <c r="D126" s="6">
        <v>-32.334024896265561</v>
      </c>
      <c r="E126" s="6">
        <f>_xlfn.STDEV.P($C$3:$C$484)</f>
        <v>7.3254546814403687</v>
      </c>
      <c r="F126" s="6">
        <v>-20</v>
      </c>
      <c r="G126" s="6">
        <v>-42</v>
      </c>
      <c r="H126" s="6">
        <v>3574.4</v>
      </c>
      <c r="I126" s="7">
        <v>35.4</v>
      </c>
    </row>
    <row r="127" spans="2:9" x14ac:dyDescent="0.25">
      <c r="B127" s="5">
        <v>125</v>
      </c>
      <c r="C127" s="6">
        <v>-36</v>
      </c>
      <c r="D127" s="6">
        <v>-32.334024896265561</v>
      </c>
      <c r="E127" s="6">
        <f>_xlfn.STDEV.P($C$3:$C$484)</f>
        <v>7.3254546814403687</v>
      </c>
      <c r="F127" s="6">
        <v>-20</v>
      </c>
      <c r="G127" s="6">
        <v>-42</v>
      </c>
      <c r="H127" s="6">
        <v>3606.8</v>
      </c>
      <c r="I127" s="7">
        <v>32.4</v>
      </c>
    </row>
    <row r="128" spans="2:9" x14ac:dyDescent="0.25">
      <c r="B128" s="5">
        <v>126</v>
      </c>
      <c r="C128" s="6">
        <v>-36</v>
      </c>
      <c r="D128" s="6">
        <v>-32.334024896265561</v>
      </c>
      <c r="E128" s="6">
        <f>_xlfn.STDEV.P($C$3:$C$484)</f>
        <v>7.3254546814403687</v>
      </c>
      <c r="F128" s="6">
        <v>-20</v>
      </c>
      <c r="G128" s="6">
        <v>-42</v>
      </c>
      <c r="H128" s="6">
        <v>3654.4</v>
      </c>
      <c r="I128" s="7">
        <v>47.6</v>
      </c>
    </row>
    <row r="129" spans="2:9" x14ac:dyDescent="0.25">
      <c r="B129" s="5">
        <v>127</v>
      </c>
      <c r="C129" s="6">
        <v>-35</v>
      </c>
      <c r="D129" s="6">
        <v>-32.334024896265561</v>
      </c>
      <c r="E129" s="6">
        <f>_xlfn.STDEV.P($C$3:$C$484)</f>
        <v>7.3254546814403687</v>
      </c>
      <c r="F129" s="6">
        <v>-20</v>
      </c>
      <c r="G129" s="6">
        <v>-42</v>
      </c>
      <c r="H129" s="6">
        <v>3790</v>
      </c>
      <c r="I129" s="7">
        <v>135.6</v>
      </c>
    </row>
    <row r="130" spans="2:9" x14ac:dyDescent="0.25">
      <c r="B130" s="5">
        <v>128</v>
      </c>
      <c r="C130" s="6">
        <v>-40</v>
      </c>
      <c r="D130" s="6">
        <v>-32.334024896265561</v>
      </c>
      <c r="E130" s="6">
        <f>_xlfn.STDEV.P($C$3:$C$484)</f>
        <v>7.3254546814403687</v>
      </c>
      <c r="F130" s="6">
        <v>-20</v>
      </c>
      <c r="G130" s="6">
        <v>-42</v>
      </c>
      <c r="H130" s="6">
        <v>3817.2</v>
      </c>
      <c r="I130" s="7">
        <v>27.2</v>
      </c>
    </row>
    <row r="131" spans="2:9" x14ac:dyDescent="0.25">
      <c r="B131" s="5">
        <v>129</v>
      </c>
      <c r="C131" s="6">
        <v>-37</v>
      </c>
      <c r="D131" s="6">
        <v>-32.334024896265561</v>
      </c>
      <c r="E131" s="6">
        <f>_xlfn.STDEV.P($C$3:$C$484)</f>
        <v>7.3254546814403687</v>
      </c>
      <c r="F131" s="6">
        <v>-20</v>
      </c>
      <c r="G131" s="6">
        <v>-42</v>
      </c>
      <c r="H131" s="6">
        <v>3843.2</v>
      </c>
      <c r="I131" s="7">
        <v>26</v>
      </c>
    </row>
    <row r="132" spans="2:9" x14ac:dyDescent="0.25">
      <c r="B132" s="5">
        <v>130</v>
      </c>
      <c r="C132" s="6">
        <v>-39</v>
      </c>
      <c r="D132" s="6">
        <v>-32.334024896265561</v>
      </c>
      <c r="E132" s="6">
        <f>_xlfn.STDEV.P($C$3:$C$484)</f>
        <v>7.3254546814403687</v>
      </c>
      <c r="F132" s="6">
        <v>-20</v>
      </c>
      <c r="G132" s="6">
        <v>-42</v>
      </c>
      <c r="H132" s="6">
        <v>3864.7</v>
      </c>
      <c r="I132" s="7">
        <v>21.5</v>
      </c>
    </row>
    <row r="133" spans="2:9" x14ac:dyDescent="0.25">
      <c r="B133" s="5">
        <v>131</v>
      </c>
      <c r="C133" s="6">
        <v>-41</v>
      </c>
      <c r="D133" s="6">
        <v>-32.334024896265561</v>
      </c>
      <c r="E133" s="6">
        <f>_xlfn.STDEV.P($C$3:$C$484)</f>
        <v>7.3254546814403687</v>
      </c>
      <c r="F133" s="6">
        <v>-20</v>
      </c>
      <c r="G133" s="6">
        <v>-42</v>
      </c>
      <c r="H133" s="6">
        <v>3899.2</v>
      </c>
      <c r="I133" s="7">
        <v>34.5</v>
      </c>
    </row>
    <row r="134" spans="2:9" x14ac:dyDescent="0.25">
      <c r="B134" s="5">
        <v>132</v>
      </c>
      <c r="C134" s="6">
        <v>-34</v>
      </c>
      <c r="D134" s="6">
        <v>-32.334024896265561</v>
      </c>
      <c r="E134" s="6">
        <f>_xlfn.STDEV.P($C$3:$C$484)</f>
        <v>7.3254546814403687</v>
      </c>
      <c r="F134" s="6">
        <v>-20</v>
      </c>
      <c r="G134" s="6">
        <v>-42</v>
      </c>
      <c r="H134" s="6">
        <v>3907.2</v>
      </c>
      <c r="I134" s="7">
        <v>8</v>
      </c>
    </row>
    <row r="135" spans="2:9" x14ac:dyDescent="0.25">
      <c r="B135" s="5">
        <v>133</v>
      </c>
      <c r="C135" s="6">
        <v>-40</v>
      </c>
      <c r="D135" s="6">
        <v>-32.334024896265561</v>
      </c>
      <c r="E135" s="6">
        <f>_xlfn.STDEV.P($C$3:$C$484)</f>
        <v>7.3254546814403687</v>
      </c>
      <c r="F135" s="6">
        <v>-20</v>
      </c>
      <c r="G135" s="6">
        <v>-42</v>
      </c>
      <c r="H135" s="6">
        <v>3918.8</v>
      </c>
      <c r="I135" s="7">
        <v>11.6</v>
      </c>
    </row>
    <row r="136" spans="2:9" x14ac:dyDescent="0.25">
      <c r="B136" s="5">
        <v>134</v>
      </c>
      <c r="C136" s="6">
        <v>-40</v>
      </c>
      <c r="D136" s="6">
        <v>-32.334024896265561</v>
      </c>
      <c r="E136" s="6">
        <f>_xlfn.STDEV.P($C$3:$C$484)</f>
        <v>7.3254546814403687</v>
      </c>
      <c r="F136" s="6">
        <v>-20</v>
      </c>
      <c r="G136" s="6">
        <v>-42</v>
      </c>
      <c r="H136" s="6">
        <v>3923</v>
      </c>
      <c r="I136" s="7">
        <v>4.2</v>
      </c>
    </row>
    <row r="137" spans="2:9" x14ac:dyDescent="0.25">
      <c r="B137" s="5">
        <v>135</v>
      </c>
      <c r="C137" s="6">
        <v>-40</v>
      </c>
      <c r="D137" s="6">
        <v>-32.334024896265561</v>
      </c>
      <c r="E137" s="6">
        <f>_xlfn.STDEV.P($C$3:$C$484)</f>
        <v>7.3254546814403687</v>
      </c>
      <c r="F137" s="6">
        <v>-20</v>
      </c>
      <c r="G137" s="6">
        <v>-42</v>
      </c>
      <c r="H137" s="6">
        <v>3953.8</v>
      </c>
      <c r="I137" s="7">
        <v>30.8</v>
      </c>
    </row>
    <row r="138" spans="2:9" x14ac:dyDescent="0.25">
      <c r="B138" s="5">
        <v>136</v>
      </c>
      <c r="C138" s="6">
        <v>-30</v>
      </c>
      <c r="D138" s="6">
        <v>-32.334024896265561</v>
      </c>
      <c r="E138" s="6">
        <f>_xlfn.STDEV.P($C$3:$C$484)</f>
        <v>7.3254546814403687</v>
      </c>
      <c r="F138" s="6">
        <v>-20</v>
      </c>
      <c r="G138" s="6">
        <v>-42</v>
      </c>
      <c r="H138" s="6">
        <v>4069.2</v>
      </c>
      <c r="I138" s="7">
        <v>115.4</v>
      </c>
    </row>
    <row r="139" spans="2:9" x14ac:dyDescent="0.25">
      <c r="B139" s="5">
        <v>137</v>
      </c>
      <c r="C139" s="6">
        <v>-14</v>
      </c>
      <c r="D139" s="6">
        <v>-32.334024896265561</v>
      </c>
      <c r="E139" s="6">
        <f>_xlfn.STDEV.P($C$3:$C$484)</f>
        <v>7.3254546814403687</v>
      </c>
      <c r="F139" s="6">
        <v>-20</v>
      </c>
      <c r="G139" s="6">
        <v>-42</v>
      </c>
      <c r="H139" s="6">
        <v>4094.4</v>
      </c>
      <c r="I139" s="7">
        <v>25.2</v>
      </c>
    </row>
    <row r="140" spans="2:9" x14ac:dyDescent="0.25">
      <c r="B140" s="5">
        <v>138</v>
      </c>
      <c r="C140" s="6">
        <v>-36</v>
      </c>
      <c r="D140" s="6">
        <v>-32.334024896265561</v>
      </c>
      <c r="E140" s="6">
        <f>_xlfn.STDEV.P($C$3:$C$484)</f>
        <v>7.3254546814403687</v>
      </c>
      <c r="F140" s="6">
        <v>-20</v>
      </c>
      <c r="G140" s="6">
        <v>-42</v>
      </c>
      <c r="H140" s="6">
        <v>4096.2</v>
      </c>
      <c r="I140" s="7">
        <v>1.8</v>
      </c>
    </row>
    <row r="141" spans="2:9" x14ac:dyDescent="0.25">
      <c r="B141" s="5">
        <v>139</v>
      </c>
      <c r="C141" s="6">
        <v>-45</v>
      </c>
      <c r="D141" s="6">
        <v>-32.334024896265561</v>
      </c>
      <c r="E141" s="6">
        <f>_xlfn.STDEV.P($C$3:$C$484)</f>
        <v>7.3254546814403687</v>
      </c>
      <c r="F141" s="6">
        <v>-20</v>
      </c>
      <c r="G141" s="6">
        <v>-42</v>
      </c>
      <c r="H141" s="6">
        <v>4102.8</v>
      </c>
      <c r="I141" s="7">
        <v>6.6</v>
      </c>
    </row>
    <row r="142" spans="2:9" x14ac:dyDescent="0.25">
      <c r="B142" s="5">
        <v>140</v>
      </c>
      <c r="C142" s="6">
        <v>-42</v>
      </c>
      <c r="D142" s="6">
        <v>-32.334024896265561</v>
      </c>
      <c r="E142" s="6">
        <f>_xlfn.STDEV.P($C$3:$C$484)</f>
        <v>7.3254546814403687</v>
      </c>
      <c r="F142" s="6">
        <v>-20</v>
      </c>
      <c r="G142" s="6">
        <v>-42</v>
      </c>
      <c r="H142" s="6">
        <v>4108</v>
      </c>
      <c r="I142" s="7">
        <v>5.2</v>
      </c>
    </row>
    <row r="143" spans="2:9" x14ac:dyDescent="0.25">
      <c r="B143" s="5">
        <v>141</v>
      </c>
      <c r="C143" s="6">
        <v>-40</v>
      </c>
      <c r="D143" s="6">
        <v>-32.334024896265561</v>
      </c>
      <c r="E143" s="6">
        <f>_xlfn.STDEV.P($C$3:$C$484)</f>
        <v>7.3254546814403687</v>
      </c>
      <c r="F143" s="6">
        <v>-20</v>
      </c>
      <c r="G143" s="6">
        <v>-42</v>
      </c>
      <c r="H143" s="6">
        <v>4137.1000000000004</v>
      </c>
      <c r="I143" s="7">
        <v>29.1</v>
      </c>
    </row>
    <row r="144" spans="2:9" x14ac:dyDescent="0.25">
      <c r="B144" s="5">
        <v>142</v>
      </c>
      <c r="C144" s="6">
        <v>-33</v>
      </c>
      <c r="D144" s="6">
        <v>-32.334024896265561</v>
      </c>
      <c r="E144" s="6">
        <f>_xlfn.STDEV.P($C$3:$C$484)</f>
        <v>7.3254546814403687</v>
      </c>
      <c r="F144" s="6">
        <v>-20</v>
      </c>
      <c r="G144" s="6">
        <v>-42</v>
      </c>
      <c r="H144" s="6">
        <v>4157</v>
      </c>
      <c r="I144" s="7">
        <v>19.899999999999999</v>
      </c>
    </row>
    <row r="145" spans="2:9" x14ac:dyDescent="0.25">
      <c r="B145" s="5">
        <v>143</v>
      </c>
      <c r="C145" s="6">
        <v>-36</v>
      </c>
      <c r="D145" s="6">
        <v>-32.334024896265561</v>
      </c>
      <c r="E145" s="6">
        <f>_xlfn.STDEV.P($C$3:$C$484)</f>
        <v>7.3254546814403687</v>
      </c>
      <c r="F145" s="6">
        <v>-20</v>
      </c>
      <c r="G145" s="6">
        <v>-42</v>
      </c>
      <c r="H145" s="6">
        <v>4221</v>
      </c>
      <c r="I145" s="7">
        <v>64</v>
      </c>
    </row>
    <row r="146" spans="2:9" x14ac:dyDescent="0.25">
      <c r="B146" s="5">
        <v>144</v>
      </c>
      <c r="C146" s="6">
        <v>-35</v>
      </c>
      <c r="D146" s="6">
        <v>-32.334024896265561</v>
      </c>
      <c r="E146" s="6">
        <f>_xlfn.STDEV.P($C$3:$C$484)</f>
        <v>7.3254546814403687</v>
      </c>
      <c r="F146" s="6">
        <v>-20</v>
      </c>
      <c r="G146" s="6">
        <v>-42</v>
      </c>
      <c r="H146" s="6">
        <v>4331.7</v>
      </c>
      <c r="I146" s="7">
        <v>110.7</v>
      </c>
    </row>
    <row r="147" spans="2:9" x14ac:dyDescent="0.25">
      <c r="B147" s="5">
        <v>145</v>
      </c>
      <c r="C147" s="6">
        <v>-35</v>
      </c>
      <c r="D147" s="6">
        <v>-32.334024896265561</v>
      </c>
      <c r="E147" s="6">
        <f>_xlfn.STDEV.P($C$3:$C$484)</f>
        <v>7.3254546814403687</v>
      </c>
      <c r="F147" s="6">
        <v>-20</v>
      </c>
      <c r="G147" s="6">
        <v>-42</v>
      </c>
      <c r="H147" s="6">
        <v>4343.8</v>
      </c>
      <c r="I147" s="7">
        <v>12.1</v>
      </c>
    </row>
    <row r="148" spans="2:9" x14ac:dyDescent="0.25">
      <c r="B148" s="5">
        <v>146</v>
      </c>
      <c r="C148" s="6">
        <v>-32</v>
      </c>
      <c r="D148" s="6">
        <v>-32.334024896265561</v>
      </c>
      <c r="E148" s="6">
        <f>_xlfn.STDEV.P($C$3:$C$484)</f>
        <v>7.3254546814403687</v>
      </c>
      <c r="F148" s="6">
        <v>-20</v>
      </c>
      <c r="G148" s="6">
        <v>-42</v>
      </c>
      <c r="H148" s="6">
        <v>4355.3</v>
      </c>
      <c r="I148" s="7">
        <v>11.5</v>
      </c>
    </row>
    <row r="149" spans="2:9" x14ac:dyDescent="0.25">
      <c r="B149" s="5">
        <v>147</v>
      </c>
      <c r="C149" s="6">
        <v>-40</v>
      </c>
      <c r="D149" s="6">
        <v>-32.334024896265561</v>
      </c>
      <c r="E149" s="6">
        <f>_xlfn.STDEV.P($C$3:$C$484)</f>
        <v>7.3254546814403687</v>
      </c>
      <c r="F149" s="6">
        <v>-20</v>
      </c>
      <c r="G149" s="6">
        <v>-42</v>
      </c>
      <c r="H149" s="6">
        <v>4396.1000000000004</v>
      </c>
      <c r="I149" s="7">
        <v>40.799999999999997</v>
      </c>
    </row>
    <row r="150" spans="2:9" x14ac:dyDescent="0.25">
      <c r="B150" s="5">
        <v>148</v>
      </c>
      <c r="C150" s="6">
        <v>-35</v>
      </c>
      <c r="D150" s="6">
        <v>-32.334024896265561</v>
      </c>
      <c r="E150" s="6">
        <f>_xlfn.STDEV.P($C$3:$C$484)</f>
        <v>7.3254546814403687</v>
      </c>
      <c r="F150" s="6">
        <v>-20</v>
      </c>
      <c r="G150" s="6">
        <v>-42</v>
      </c>
      <c r="H150" s="6">
        <v>4427.3999999999996</v>
      </c>
      <c r="I150" s="7">
        <v>31.3</v>
      </c>
    </row>
    <row r="151" spans="2:9" x14ac:dyDescent="0.25">
      <c r="B151" s="5">
        <v>149</v>
      </c>
      <c r="C151" s="6">
        <v>-35</v>
      </c>
      <c r="D151" s="6">
        <v>-32.334024896265561</v>
      </c>
      <c r="E151" s="6">
        <f>_xlfn.STDEV.P($C$3:$C$484)</f>
        <v>7.3254546814403687</v>
      </c>
      <c r="F151" s="6">
        <v>-20</v>
      </c>
      <c r="G151" s="6">
        <v>-42</v>
      </c>
      <c r="H151" s="6">
        <v>4452.5</v>
      </c>
      <c r="I151" s="7">
        <v>25.1</v>
      </c>
    </row>
    <row r="152" spans="2:9" x14ac:dyDescent="0.25">
      <c r="B152" s="5">
        <v>150</v>
      </c>
      <c r="C152" s="6">
        <v>-35</v>
      </c>
      <c r="D152" s="6">
        <v>-32.334024896265561</v>
      </c>
      <c r="E152" s="6">
        <f>_xlfn.STDEV.P($C$3:$C$484)</f>
        <v>7.3254546814403687</v>
      </c>
      <c r="F152" s="6">
        <v>-20</v>
      </c>
      <c r="G152" s="6">
        <v>-42</v>
      </c>
      <c r="H152" s="6">
        <v>4547.2</v>
      </c>
      <c r="I152" s="7">
        <v>94.7</v>
      </c>
    </row>
    <row r="153" spans="2:9" x14ac:dyDescent="0.25">
      <c r="B153" s="5">
        <v>151</v>
      </c>
      <c r="C153" s="6">
        <v>-40</v>
      </c>
      <c r="D153" s="6">
        <v>-32.334024896265561</v>
      </c>
      <c r="E153" s="6">
        <f>_xlfn.STDEV.P($C$3:$C$484)</f>
        <v>7.3254546814403687</v>
      </c>
      <c r="F153" s="6">
        <v>-20</v>
      </c>
      <c r="G153" s="6">
        <v>-42</v>
      </c>
      <c r="H153" s="6">
        <v>4575.5</v>
      </c>
      <c r="I153" s="7">
        <v>28.3</v>
      </c>
    </row>
    <row r="154" spans="2:9" x14ac:dyDescent="0.25">
      <c r="B154" s="5">
        <v>152</v>
      </c>
      <c r="C154" s="6">
        <v>-38</v>
      </c>
      <c r="D154" s="6">
        <v>-32.334024896265561</v>
      </c>
      <c r="E154" s="6">
        <f>_xlfn.STDEV.P($C$3:$C$484)</f>
        <v>7.3254546814403687</v>
      </c>
      <c r="F154" s="6">
        <v>-20</v>
      </c>
      <c r="G154" s="6">
        <v>-42</v>
      </c>
      <c r="H154" s="6">
        <v>4581</v>
      </c>
      <c r="I154" s="7">
        <v>5.5</v>
      </c>
    </row>
    <row r="155" spans="2:9" x14ac:dyDescent="0.25">
      <c r="B155" s="5">
        <v>153</v>
      </c>
      <c r="C155" s="6">
        <v>-35</v>
      </c>
      <c r="D155" s="6">
        <v>-32.334024896265561</v>
      </c>
      <c r="E155" s="6">
        <f>_xlfn.STDEV.P($C$3:$C$484)</f>
        <v>7.3254546814403687</v>
      </c>
      <c r="F155" s="6">
        <v>-20</v>
      </c>
      <c r="G155" s="6">
        <v>-42</v>
      </c>
      <c r="H155" s="6">
        <v>4591.1000000000004</v>
      </c>
      <c r="I155" s="7">
        <v>10.1</v>
      </c>
    </row>
    <row r="156" spans="2:9" x14ac:dyDescent="0.25">
      <c r="B156" s="5">
        <v>154</v>
      </c>
      <c r="C156" s="6">
        <v>-20</v>
      </c>
      <c r="D156" s="6">
        <v>-32.334024896265561</v>
      </c>
      <c r="E156" s="6">
        <f>_xlfn.STDEV.P($C$3:$C$484)</f>
        <v>7.3254546814403687</v>
      </c>
      <c r="F156" s="6">
        <v>-20</v>
      </c>
      <c r="G156" s="6">
        <v>-42</v>
      </c>
      <c r="H156" s="6">
        <v>4625.6000000000004</v>
      </c>
      <c r="I156" s="7">
        <v>34.5</v>
      </c>
    </row>
    <row r="157" spans="2:9" x14ac:dyDescent="0.25">
      <c r="B157" s="5">
        <v>155</v>
      </c>
      <c r="C157" s="6">
        <v>-34</v>
      </c>
      <c r="D157" s="6">
        <v>-32.334024896265561</v>
      </c>
      <c r="E157" s="6">
        <f>_xlfn.STDEV.P($C$3:$C$484)</f>
        <v>7.3254546814403687</v>
      </c>
      <c r="F157" s="6">
        <v>-20</v>
      </c>
      <c r="G157" s="6">
        <v>-42</v>
      </c>
      <c r="H157" s="6">
        <v>4650.6000000000004</v>
      </c>
      <c r="I157" s="7">
        <v>25</v>
      </c>
    </row>
    <row r="158" spans="2:9" x14ac:dyDescent="0.25">
      <c r="B158" s="5">
        <v>156</v>
      </c>
      <c r="C158" s="6">
        <v>-26</v>
      </c>
      <c r="D158" s="6">
        <v>-32.334024896265561</v>
      </c>
      <c r="E158" s="6">
        <f>_xlfn.STDEV.P($C$3:$C$484)</f>
        <v>7.3254546814403687</v>
      </c>
      <c r="F158" s="6">
        <v>-20</v>
      </c>
      <c r="G158" s="6">
        <v>-42</v>
      </c>
      <c r="H158" s="6">
        <v>4686.8999999999996</v>
      </c>
      <c r="I158" s="7">
        <v>36.299999999999997</v>
      </c>
    </row>
    <row r="159" spans="2:9" x14ac:dyDescent="0.25">
      <c r="B159" s="5">
        <v>157</v>
      </c>
      <c r="C159" s="6">
        <v>-30</v>
      </c>
      <c r="D159" s="6">
        <v>-32.334024896265561</v>
      </c>
      <c r="E159" s="6">
        <f>_xlfn.STDEV.P($C$3:$C$484)</f>
        <v>7.3254546814403687</v>
      </c>
      <c r="F159" s="6">
        <v>-20</v>
      </c>
      <c r="G159" s="6">
        <v>-42</v>
      </c>
      <c r="H159" s="6">
        <v>4692.8</v>
      </c>
      <c r="I159" s="7">
        <v>5.9</v>
      </c>
    </row>
    <row r="160" spans="2:9" x14ac:dyDescent="0.25">
      <c r="B160" s="5">
        <v>158</v>
      </c>
      <c r="C160" s="6">
        <v>-42</v>
      </c>
      <c r="D160" s="6">
        <v>-32.334024896265561</v>
      </c>
      <c r="E160" s="6">
        <f>_xlfn.STDEV.P($C$3:$C$484)</f>
        <v>7.3254546814403687</v>
      </c>
      <c r="F160" s="6">
        <v>-20</v>
      </c>
      <c r="G160" s="6">
        <v>-42</v>
      </c>
      <c r="H160" s="6">
        <v>4699.8999999999996</v>
      </c>
      <c r="I160" s="7">
        <v>7.1</v>
      </c>
    </row>
    <row r="161" spans="2:9" x14ac:dyDescent="0.25">
      <c r="B161" s="5">
        <v>159</v>
      </c>
      <c r="C161" s="6">
        <v>-43</v>
      </c>
      <c r="D161" s="6">
        <v>-32.334024896265561</v>
      </c>
      <c r="E161" s="6">
        <f>_xlfn.STDEV.P($C$3:$C$484)</f>
        <v>7.3254546814403687</v>
      </c>
      <c r="F161" s="6">
        <v>-20</v>
      </c>
      <c r="G161" s="6">
        <v>-42</v>
      </c>
      <c r="H161" s="6">
        <v>4706.5</v>
      </c>
      <c r="I161" s="7">
        <v>6.6</v>
      </c>
    </row>
    <row r="162" spans="2:9" x14ac:dyDescent="0.25">
      <c r="B162" s="5">
        <v>160</v>
      </c>
      <c r="C162" s="6">
        <v>-40</v>
      </c>
      <c r="D162" s="6">
        <v>-32.334024896265561</v>
      </c>
      <c r="E162" s="6">
        <f>_xlfn.STDEV.P($C$3:$C$484)</f>
        <v>7.3254546814403687</v>
      </c>
      <c r="F162" s="6">
        <v>-20</v>
      </c>
      <c r="G162" s="6">
        <v>-42</v>
      </c>
      <c r="H162" s="6">
        <v>4745.5</v>
      </c>
      <c r="I162" s="7">
        <v>39</v>
      </c>
    </row>
    <row r="163" spans="2:9" x14ac:dyDescent="0.25">
      <c r="B163" s="5">
        <v>161</v>
      </c>
      <c r="C163" s="6">
        <v>-40</v>
      </c>
      <c r="D163" s="6">
        <v>-32.334024896265561</v>
      </c>
      <c r="E163" s="6">
        <f>_xlfn.STDEV.P($C$3:$C$484)</f>
        <v>7.3254546814403687</v>
      </c>
      <c r="F163" s="6">
        <v>-20</v>
      </c>
      <c r="G163" s="6">
        <v>-42</v>
      </c>
      <c r="H163" s="6">
        <v>4751.7</v>
      </c>
      <c r="I163" s="7">
        <v>6.2</v>
      </c>
    </row>
    <row r="164" spans="2:9" x14ac:dyDescent="0.25">
      <c r="B164" s="5">
        <v>162</v>
      </c>
      <c r="C164" s="6">
        <v>-42</v>
      </c>
      <c r="D164" s="6">
        <v>-32.334024896265561</v>
      </c>
      <c r="E164" s="6">
        <f>_xlfn.STDEV.P($C$3:$C$484)</f>
        <v>7.3254546814403687</v>
      </c>
      <c r="F164" s="6">
        <v>-20</v>
      </c>
      <c r="G164" s="6">
        <v>-42</v>
      </c>
      <c r="H164" s="6">
        <v>4760.6000000000004</v>
      </c>
      <c r="I164" s="7">
        <v>8.9</v>
      </c>
    </row>
    <row r="165" spans="2:9" x14ac:dyDescent="0.25">
      <c r="B165" s="5">
        <v>163</v>
      </c>
      <c r="C165" s="6">
        <v>-41</v>
      </c>
      <c r="D165" s="6">
        <v>-32.334024896265561</v>
      </c>
      <c r="E165" s="6">
        <f>_xlfn.STDEV.P($C$3:$C$484)</f>
        <v>7.3254546814403687</v>
      </c>
      <c r="F165" s="6">
        <v>-20</v>
      </c>
      <c r="G165" s="6">
        <v>-42</v>
      </c>
      <c r="H165" s="6">
        <v>4767.7</v>
      </c>
      <c r="I165" s="7">
        <v>7.1</v>
      </c>
    </row>
    <row r="166" spans="2:9" x14ac:dyDescent="0.25">
      <c r="B166" s="5">
        <v>164</v>
      </c>
      <c r="C166" s="6">
        <v>-43</v>
      </c>
      <c r="D166" s="6">
        <v>-32.334024896265561</v>
      </c>
      <c r="E166" s="6">
        <f>_xlfn.STDEV.P($C$3:$C$484)</f>
        <v>7.3254546814403687</v>
      </c>
      <c r="F166" s="6">
        <v>-20</v>
      </c>
      <c r="G166" s="6">
        <v>-42</v>
      </c>
      <c r="H166" s="6">
        <v>4775.2</v>
      </c>
      <c r="I166" s="7">
        <v>7.5</v>
      </c>
    </row>
    <row r="167" spans="2:9" x14ac:dyDescent="0.25">
      <c r="B167" s="5">
        <v>165</v>
      </c>
      <c r="C167" s="6">
        <v>-30</v>
      </c>
      <c r="D167" s="6">
        <v>-32.334024896265561</v>
      </c>
      <c r="E167" s="6">
        <f>_xlfn.STDEV.P($C$3:$C$484)</f>
        <v>7.3254546814403687</v>
      </c>
      <c r="F167" s="6">
        <v>-20</v>
      </c>
      <c r="G167" s="6">
        <v>-42</v>
      </c>
      <c r="H167" s="6">
        <v>4776.3999999999996</v>
      </c>
      <c r="I167" s="7">
        <v>1.2</v>
      </c>
    </row>
    <row r="168" spans="2:9" x14ac:dyDescent="0.25">
      <c r="B168" s="5">
        <v>166</v>
      </c>
      <c r="C168" s="6">
        <v>-35</v>
      </c>
      <c r="D168" s="6">
        <v>-32.334024896265561</v>
      </c>
      <c r="E168" s="6">
        <f>_xlfn.STDEV.P($C$3:$C$484)</f>
        <v>7.3254546814403687</v>
      </c>
      <c r="F168" s="6">
        <v>-20</v>
      </c>
      <c r="G168" s="6">
        <v>-42</v>
      </c>
      <c r="H168" s="6">
        <v>4807.7</v>
      </c>
      <c r="I168" s="7">
        <v>31.3</v>
      </c>
    </row>
    <row r="169" spans="2:9" x14ac:dyDescent="0.25">
      <c r="B169" s="5">
        <v>167</v>
      </c>
      <c r="C169" s="6">
        <v>-25</v>
      </c>
      <c r="D169" s="6">
        <v>-32.334024896265561</v>
      </c>
      <c r="E169" s="6">
        <f>_xlfn.STDEV.P($C$3:$C$484)</f>
        <v>7.3254546814403687</v>
      </c>
      <c r="F169" s="6">
        <v>-20</v>
      </c>
      <c r="G169" s="6">
        <v>-42</v>
      </c>
      <c r="H169" s="6">
        <v>4827.3999999999996</v>
      </c>
      <c r="I169" s="7">
        <v>19.7</v>
      </c>
    </row>
    <row r="170" spans="2:9" x14ac:dyDescent="0.25">
      <c r="B170" s="5">
        <v>168</v>
      </c>
      <c r="C170" s="6">
        <v>-34</v>
      </c>
      <c r="D170" s="6">
        <v>-32.334024896265561</v>
      </c>
      <c r="E170" s="6">
        <f>_xlfn.STDEV.P($C$3:$C$484)</f>
        <v>7.3254546814403687</v>
      </c>
      <c r="F170" s="6">
        <v>-20</v>
      </c>
      <c r="G170" s="6">
        <v>-42</v>
      </c>
      <c r="H170" s="6">
        <v>5050.2</v>
      </c>
      <c r="I170" s="7">
        <v>222.8</v>
      </c>
    </row>
    <row r="171" spans="2:9" x14ac:dyDescent="0.25">
      <c r="B171" s="5">
        <v>169</v>
      </c>
      <c r="C171" s="6">
        <v>-30</v>
      </c>
      <c r="D171" s="6">
        <v>-32.334024896265561</v>
      </c>
      <c r="E171" s="6">
        <f>_xlfn.STDEV.P($C$3:$C$484)</f>
        <v>7.3254546814403687</v>
      </c>
      <c r="F171" s="6">
        <v>-20</v>
      </c>
      <c r="G171" s="6">
        <v>-42</v>
      </c>
      <c r="H171" s="6">
        <v>5140.5</v>
      </c>
      <c r="I171" s="7">
        <v>90.3</v>
      </c>
    </row>
    <row r="172" spans="2:9" x14ac:dyDescent="0.25">
      <c r="B172" s="5">
        <v>170</v>
      </c>
      <c r="C172" s="6">
        <v>-30</v>
      </c>
      <c r="D172" s="6">
        <v>-32.334024896265561</v>
      </c>
      <c r="E172" s="6">
        <f>_xlfn.STDEV.P($C$3:$C$484)</f>
        <v>7.3254546814403687</v>
      </c>
      <c r="F172" s="6">
        <v>-20</v>
      </c>
      <c r="G172" s="6">
        <v>-42</v>
      </c>
      <c r="H172" s="6">
        <v>5179.3999999999996</v>
      </c>
      <c r="I172" s="7">
        <v>38.9</v>
      </c>
    </row>
    <row r="173" spans="2:9" x14ac:dyDescent="0.25">
      <c r="B173" s="5">
        <v>171</v>
      </c>
      <c r="C173" s="6">
        <v>-31</v>
      </c>
      <c r="D173" s="6">
        <v>-32.334024896265561</v>
      </c>
      <c r="E173" s="6">
        <f>_xlfn.STDEV.P($C$3:$C$484)</f>
        <v>7.3254546814403687</v>
      </c>
      <c r="F173" s="6">
        <v>-20</v>
      </c>
      <c r="G173" s="6">
        <v>-42</v>
      </c>
      <c r="H173" s="6">
        <v>5194.2</v>
      </c>
      <c r="I173" s="7">
        <v>14.8</v>
      </c>
    </row>
    <row r="174" spans="2:9" x14ac:dyDescent="0.25">
      <c r="B174" s="5">
        <v>172</v>
      </c>
      <c r="C174" s="6">
        <v>-34</v>
      </c>
      <c r="D174" s="6">
        <v>-32.334024896265561</v>
      </c>
      <c r="E174" s="6">
        <f>_xlfn.STDEV.P($C$3:$C$484)</f>
        <v>7.3254546814403687</v>
      </c>
      <c r="F174" s="6">
        <v>-20</v>
      </c>
      <c r="G174" s="6">
        <v>-42</v>
      </c>
      <c r="H174" s="6">
        <v>5196.5</v>
      </c>
      <c r="I174" s="7">
        <v>2.2999999999999998</v>
      </c>
    </row>
    <row r="175" spans="2:9" x14ac:dyDescent="0.25">
      <c r="B175" s="5">
        <v>173</v>
      </c>
      <c r="C175" s="6">
        <v>-34</v>
      </c>
      <c r="D175" s="6">
        <v>-32.334024896265561</v>
      </c>
      <c r="E175" s="6">
        <f>_xlfn.STDEV.P($C$3:$C$484)</f>
        <v>7.3254546814403687</v>
      </c>
      <c r="F175" s="6">
        <v>-20</v>
      </c>
      <c r="G175" s="6">
        <v>-42</v>
      </c>
      <c r="H175" s="6">
        <v>5207.5</v>
      </c>
      <c r="I175" s="7">
        <v>11</v>
      </c>
    </row>
    <row r="176" spans="2:9" x14ac:dyDescent="0.25">
      <c r="B176" s="5">
        <v>174</v>
      </c>
      <c r="C176" s="6">
        <v>-36</v>
      </c>
      <c r="D176" s="6">
        <v>-32.334024896265561</v>
      </c>
      <c r="E176" s="6">
        <f>_xlfn.STDEV.P($C$3:$C$484)</f>
        <v>7.3254546814403687</v>
      </c>
      <c r="F176" s="6">
        <v>-20</v>
      </c>
      <c r="G176" s="6">
        <v>-42</v>
      </c>
      <c r="H176" s="6">
        <v>5221</v>
      </c>
      <c r="I176" s="7">
        <v>13.5</v>
      </c>
    </row>
    <row r="177" spans="2:9" x14ac:dyDescent="0.25">
      <c r="B177" s="5">
        <v>175</v>
      </c>
      <c r="C177" s="6">
        <v>-32</v>
      </c>
      <c r="D177" s="6">
        <v>-32.334024896265561</v>
      </c>
      <c r="E177" s="6">
        <f>_xlfn.STDEV.P($C$3:$C$484)</f>
        <v>7.3254546814403687</v>
      </c>
      <c r="F177" s="6">
        <v>-20</v>
      </c>
      <c r="G177" s="6">
        <v>-42</v>
      </c>
      <c r="H177" s="6">
        <v>5229.8999999999996</v>
      </c>
      <c r="I177" s="7">
        <v>8.9</v>
      </c>
    </row>
    <row r="178" spans="2:9" x14ac:dyDescent="0.25">
      <c r="B178" s="5">
        <v>176</v>
      </c>
      <c r="C178" s="6">
        <v>-39</v>
      </c>
      <c r="D178" s="6">
        <v>-32.334024896265561</v>
      </c>
      <c r="E178" s="6">
        <f>_xlfn.STDEV.P($C$3:$C$484)</f>
        <v>7.3254546814403687</v>
      </c>
      <c r="F178" s="6">
        <v>-20</v>
      </c>
      <c r="G178" s="6">
        <v>-42</v>
      </c>
      <c r="H178" s="6">
        <v>5242.5</v>
      </c>
      <c r="I178" s="7">
        <v>12.6</v>
      </c>
    </row>
    <row r="179" spans="2:9" x14ac:dyDescent="0.25">
      <c r="B179" s="5">
        <v>177</v>
      </c>
      <c r="C179" s="6">
        <v>-25</v>
      </c>
      <c r="D179" s="6">
        <v>-32.334024896265561</v>
      </c>
      <c r="E179" s="6">
        <f>_xlfn.STDEV.P($C$3:$C$484)</f>
        <v>7.3254546814403687</v>
      </c>
      <c r="F179" s="6">
        <v>-20</v>
      </c>
      <c r="G179" s="6">
        <v>-42</v>
      </c>
      <c r="H179" s="6">
        <v>5260.5</v>
      </c>
      <c r="I179" s="7">
        <v>18</v>
      </c>
    </row>
    <row r="180" spans="2:9" x14ac:dyDescent="0.25">
      <c r="B180" s="5">
        <v>178</v>
      </c>
      <c r="C180" s="6">
        <v>-5</v>
      </c>
      <c r="D180" s="6">
        <v>-32.334024896265561</v>
      </c>
      <c r="E180" s="6">
        <f>_xlfn.STDEV.P($C$3:$C$484)</f>
        <v>7.3254546814403687</v>
      </c>
      <c r="F180" s="6">
        <v>-20</v>
      </c>
      <c r="G180" s="6">
        <v>-42</v>
      </c>
      <c r="H180" s="6">
        <v>5270.3</v>
      </c>
      <c r="I180" s="7">
        <v>9.8000000000000007</v>
      </c>
    </row>
    <row r="181" spans="2:9" x14ac:dyDescent="0.25">
      <c r="B181" s="5">
        <v>179</v>
      </c>
      <c r="C181" s="6">
        <v>-20</v>
      </c>
      <c r="D181" s="6">
        <v>-32.334024896265561</v>
      </c>
      <c r="E181" s="6">
        <f>_xlfn.STDEV.P($C$3:$C$484)</f>
        <v>7.3254546814403687</v>
      </c>
      <c r="F181" s="6">
        <v>-20</v>
      </c>
      <c r="G181" s="6">
        <v>-42</v>
      </c>
      <c r="H181" s="6">
        <v>5278.9</v>
      </c>
      <c r="I181" s="7">
        <v>8.6</v>
      </c>
    </row>
    <row r="182" spans="2:9" x14ac:dyDescent="0.25">
      <c r="B182" s="5">
        <v>180</v>
      </c>
      <c r="C182" s="6">
        <v>-10</v>
      </c>
      <c r="D182" s="6">
        <v>-32.334024896265561</v>
      </c>
      <c r="E182" s="6">
        <f>_xlfn.STDEV.P($C$3:$C$484)</f>
        <v>7.3254546814403687</v>
      </c>
      <c r="F182" s="6">
        <v>-20</v>
      </c>
      <c r="G182" s="6">
        <v>-42</v>
      </c>
      <c r="H182" s="6">
        <v>5286</v>
      </c>
      <c r="I182" s="7">
        <v>7.1</v>
      </c>
    </row>
    <row r="183" spans="2:9" x14ac:dyDescent="0.25">
      <c r="B183" s="5">
        <v>181</v>
      </c>
      <c r="C183" s="6">
        <v>-20</v>
      </c>
      <c r="D183" s="6">
        <v>-32.334024896265561</v>
      </c>
      <c r="E183" s="6">
        <f>_xlfn.STDEV.P($C$3:$C$484)</f>
        <v>7.3254546814403687</v>
      </c>
      <c r="F183" s="6">
        <v>-20</v>
      </c>
      <c r="G183" s="6">
        <v>-42</v>
      </c>
      <c r="H183" s="6">
        <v>5286.7</v>
      </c>
      <c r="I183" s="7">
        <v>0.7</v>
      </c>
    </row>
    <row r="184" spans="2:9" x14ac:dyDescent="0.25">
      <c r="B184" s="5">
        <v>182</v>
      </c>
      <c r="C184" s="6">
        <v>-23</v>
      </c>
      <c r="D184" s="6">
        <v>-32.334024896265561</v>
      </c>
      <c r="E184" s="6">
        <f>_xlfn.STDEV.P($C$3:$C$484)</f>
        <v>7.3254546814403687</v>
      </c>
      <c r="F184" s="6">
        <v>-20</v>
      </c>
      <c r="G184" s="6">
        <v>-42</v>
      </c>
      <c r="H184" s="6">
        <v>5295.6</v>
      </c>
      <c r="I184" s="7">
        <v>8.9</v>
      </c>
    </row>
    <row r="185" spans="2:9" x14ac:dyDescent="0.25">
      <c r="B185" s="5">
        <v>183</v>
      </c>
      <c r="C185" s="6">
        <v>-33</v>
      </c>
      <c r="D185" s="6">
        <v>-32.334024896265561</v>
      </c>
      <c r="E185" s="6">
        <f>_xlfn.STDEV.P($C$3:$C$484)</f>
        <v>7.3254546814403687</v>
      </c>
      <c r="F185" s="6">
        <v>-20</v>
      </c>
      <c r="G185" s="6">
        <v>-42</v>
      </c>
      <c r="H185" s="6">
        <v>5303</v>
      </c>
      <c r="I185" s="7">
        <v>7.4</v>
      </c>
    </row>
    <row r="186" spans="2:9" x14ac:dyDescent="0.25">
      <c r="B186" s="5">
        <v>184</v>
      </c>
      <c r="C186" s="6">
        <v>-32</v>
      </c>
      <c r="D186" s="6">
        <v>-32.334024896265561</v>
      </c>
      <c r="E186" s="6">
        <f>_xlfn.STDEV.P($C$3:$C$484)</f>
        <v>7.3254546814403687</v>
      </c>
      <c r="F186" s="6">
        <v>-20</v>
      </c>
      <c r="G186" s="6">
        <v>-42</v>
      </c>
      <c r="H186" s="6">
        <v>5308.9</v>
      </c>
      <c r="I186" s="7">
        <v>5.9</v>
      </c>
    </row>
    <row r="187" spans="2:9" x14ac:dyDescent="0.25">
      <c r="B187" s="5">
        <v>185</v>
      </c>
      <c r="C187" s="6">
        <v>-30</v>
      </c>
      <c r="D187" s="6">
        <v>-32.334024896265561</v>
      </c>
      <c r="E187" s="6">
        <f>_xlfn.STDEV.P($C$3:$C$484)</f>
        <v>7.3254546814403687</v>
      </c>
      <c r="F187" s="6">
        <v>-20</v>
      </c>
      <c r="G187" s="6">
        <v>-42</v>
      </c>
      <c r="H187" s="6">
        <v>5326</v>
      </c>
      <c r="I187" s="7">
        <v>17.100000000000001</v>
      </c>
    </row>
    <row r="188" spans="2:9" x14ac:dyDescent="0.25">
      <c r="B188" s="5">
        <v>186</v>
      </c>
      <c r="C188" s="6">
        <v>-30</v>
      </c>
      <c r="D188" s="6">
        <v>-32.334024896265561</v>
      </c>
      <c r="E188" s="6">
        <f>_xlfn.STDEV.P($C$3:$C$484)</f>
        <v>7.3254546814403687</v>
      </c>
      <c r="F188" s="6">
        <v>-20</v>
      </c>
      <c r="G188" s="6">
        <v>-42</v>
      </c>
      <c r="H188" s="6">
        <v>5348.6</v>
      </c>
      <c r="I188" s="7">
        <v>22.6</v>
      </c>
    </row>
    <row r="189" spans="2:9" x14ac:dyDescent="0.25">
      <c r="B189" s="5">
        <v>187</v>
      </c>
      <c r="C189" s="6">
        <v>-35</v>
      </c>
      <c r="D189" s="6">
        <v>-32.334024896265561</v>
      </c>
      <c r="E189" s="6">
        <f>_xlfn.STDEV.P($C$3:$C$484)</f>
        <v>7.3254546814403687</v>
      </c>
      <c r="F189" s="6">
        <v>-20</v>
      </c>
      <c r="G189" s="6">
        <v>-42</v>
      </c>
      <c r="H189" s="6">
        <v>5357.2</v>
      </c>
      <c r="I189" s="7">
        <v>8.6</v>
      </c>
    </row>
    <row r="190" spans="2:9" x14ac:dyDescent="0.25">
      <c r="B190" s="5">
        <v>188</v>
      </c>
      <c r="C190" s="6">
        <v>-30</v>
      </c>
      <c r="D190" s="6">
        <v>-32.334024896265561</v>
      </c>
      <c r="E190" s="6">
        <f>_xlfn.STDEV.P($C$3:$C$484)</f>
        <v>7.3254546814403687</v>
      </c>
      <c r="F190" s="6">
        <v>-20</v>
      </c>
      <c r="G190" s="6">
        <v>-42</v>
      </c>
      <c r="H190" s="6">
        <v>5367.4</v>
      </c>
      <c r="I190" s="7">
        <v>10.199999999999999</v>
      </c>
    </row>
    <row r="191" spans="2:9" x14ac:dyDescent="0.25">
      <c r="B191" s="5">
        <v>189</v>
      </c>
      <c r="C191" s="6">
        <v>-30</v>
      </c>
      <c r="D191" s="6">
        <v>-32.334024896265561</v>
      </c>
      <c r="E191" s="6">
        <f>_xlfn.STDEV.P($C$3:$C$484)</f>
        <v>7.3254546814403687</v>
      </c>
      <c r="F191" s="6">
        <v>-20</v>
      </c>
      <c r="G191" s="6">
        <v>-42</v>
      </c>
      <c r="H191" s="6">
        <v>5372.8</v>
      </c>
      <c r="I191" s="7">
        <v>5.4</v>
      </c>
    </row>
    <row r="192" spans="2:9" x14ac:dyDescent="0.25">
      <c r="B192" s="5">
        <v>190</v>
      </c>
      <c r="C192" s="6">
        <v>-36</v>
      </c>
      <c r="D192" s="6">
        <v>-32.334024896265561</v>
      </c>
      <c r="E192" s="6">
        <f>_xlfn.STDEV.P($C$3:$C$484)</f>
        <v>7.3254546814403687</v>
      </c>
      <c r="F192" s="6">
        <v>-20</v>
      </c>
      <c r="G192" s="6">
        <v>-42</v>
      </c>
      <c r="H192" s="6">
        <v>5388.5</v>
      </c>
      <c r="I192" s="7">
        <v>15.7</v>
      </c>
    </row>
    <row r="193" spans="2:9" x14ac:dyDescent="0.25">
      <c r="B193" s="5">
        <v>191</v>
      </c>
      <c r="C193" s="6">
        <v>-20</v>
      </c>
      <c r="D193" s="6">
        <v>-32.334024896265561</v>
      </c>
      <c r="E193" s="6">
        <f>_xlfn.STDEV.P($C$3:$C$484)</f>
        <v>7.3254546814403687</v>
      </c>
      <c r="F193" s="6">
        <v>-20</v>
      </c>
      <c r="G193" s="6">
        <v>-42</v>
      </c>
      <c r="H193" s="6">
        <v>5390</v>
      </c>
      <c r="I193" s="7">
        <v>1.5</v>
      </c>
    </row>
    <row r="194" spans="2:9" x14ac:dyDescent="0.25">
      <c r="B194" s="5">
        <v>192</v>
      </c>
      <c r="C194" s="6">
        <v>-18</v>
      </c>
      <c r="D194" s="6">
        <v>-32.334024896265561</v>
      </c>
      <c r="E194" s="6">
        <f>_xlfn.STDEV.P($C$3:$C$484)</f>
        <v>7.3254546814403687</v>
      </c>
      <c r="F194" s="6">
        <v>-20</v>
      </c>
      <c r="G194" s="6">
        <v>-42</v>
      </c>
      <c r="H194" s="6">
        <v>5410.4</v>
      </c>
      <c r="I194" s="7">
        <v>20.399999999999999</v>
      </c>
    </row>
    <row r="195" spans="2:9" x14ac:dyDescent="0.25">
      <c r="B195" s="5">
        <v>193</v>
      </c>
      <c r="C195" s="6">
        <v>-15</v>
      </c>
      <c r="D195" s="6">
        <v>-32.334024896265561</v>
      </c>
      <c r="E195" s="6">
        <f>_xlfn.STDEV.P($C$3:$C$484)</f>
        <v>7.3254546814403687</v>
      </c>
      <c r="F195" s="6">
        <v>-20</v>
      </c>
      <c r="G195" s="6">
        <v>-42</v>
      </c>
      <c r="H195" s="6">
        <v>5453.3</v>
      </c>
      <c r="I195" s="7">
        <v>42.9</v>
      </c>
    </row>
    <row r="196" spans="2:9" x14ac:dyDescent="0.25">
      <c r="B196" s="5">
        <v>194</v>
      </c>
      <c r="C196" s="6">
        <v>-20</v>
      </c>
      <c r="D196" s="6">
        <v>-32.334024896265561</v>
      </c>
      <c r="E196" s="6">
        <f>_xlfn.STDEV.P($C$3:$C$484)</f>
        <v>7.3254546814403687</v>
      </c>
      <c r="F196" s="6">
        <v>-20</v>
      </c>
      <c r="G196" s="6">
        <v>-42</v>
      </c>
      <c r="H196" s="6">
        <v>5506.4</v>
      </c>
      <c r="I196" s="7">
        <v>53.1</v>
      </c>
    </row>
    <row r="197" spans="2:9" x14ac:dyDescent="0.25">
      <c r="B197" s="5">
        <v>195</v>
      </c>
      <c r="C197" s="6">
        <v>-12</v>
      </c>
      <c r="D197" s="6">
        <v>-32.334024896265561</v>
      </c>
      <c r="E197" s="6">
        <f>_xlfn.STDEV.P($C$3:$C$484)</f>
        <v>7.3254546814403687</v>
      </c>
      <c r="F197" s="6">
        <v>-20</v>
      </c>
      <c r="G197" s="6">
        <v>-42</v>
      </c>
      <c r="H197" s="6">
        <v>5528.5</v>
      </c>
      <c r="I197" s="7">
        <v>22.1</v>
      </c>
    </row>
    <row r="198" spans="2:9" x14ac:dyDescent="0.25">
      <c r="B198" s="5">
        <v>196</v>
      </c>
      <c r="C198" s="6">
        <v>-20</v>
      </c>
      <c r="D198" s="6">
        <v>-32.334024896265561</v>
      </c>
      <c r="E198" s="6">
        <f>_xlfn.STDEV.P($C$3:$C$484)</f>
        <v>7.3254546814403687</v>
      </c>
      <c r="F198" s="6">
        <v>-20</v>
      </c>
      <c r="G198" s="6">
        <v>-42</v>
      </c>
      <c r="H198" s="6">
        <v>5596.8</v>
      </c>
      <c r="I198" s="7">
        <v>68.3</v>
      </c>
    </row>
    <row r="199" spans="2:9" x14ac:dyDescent="0.25">
      <c r="B199" s="5">
        <v>197</v>
      </c>
      <c r="C199" s="6">
        <v>-27</v>
      </c>
      <c r="D199" s="6">
        <v>-32.334024896265561</v>
      </c>
      <c r="E199" s="6">
        <f>_xlfn.STDEV.P($C$3:$C$484)</f>
        <v>7.3254546814403687</v>
      </c>
      <c r="F199" s="6">
        <v>-20</v>
      </c>
      <c r="G199" s="6">
        <v>-42</v>
      </c>
      <c r="H199" s="6">
        <v>5611.8</v>
      </c>
      <c r="I199" s="7">
        <v>15</v>
      </c>
    </row>
    <row r="200" spans="2:9" x14ac:dyDescent="0.25">
      <c r="B200" s="5">
        <v>198</v>
      </c>
      <c r="C200" s="6">
        <v>-22</v>
      </c>
      <c r="D200" s="6">
        <v>-32.334024896265561</v>
      </c>
      <c r="E200" s="6">
        <f>_xlfn.STDEV.P($C$3:$C$484)</f>
        <v>7.3254546814403687</v>
      </c>
      <c r="F200" s="6">
        <v>-20</v>
      </c>
      <c r="G200" s="6">
        <v>-42</v>
      </c>
      <c r="H200" s="6">
        <v>5624.4</v>
      </c>
      <c r="I200" s="7">
        <v>12.6</v>
      </c>
    </row>
    <row r="201" spans="2:9" x14ac:dyDescent="0.25">
      <c r="B201" s="5">
        <v>199</v>
      </c>
      <c r="C201" s="6">
        <v>-25</v>
      </c>
      <c r="D201" s="6">
        <v>-32.334024896265561</v>
      </c>
      <c r="E201" s="6">
        <f>_xlfn.STDEV.P($C$3:$C$484)</f>
        <v>7.3254546814403687</v>
      </c>
      <c r="F201" s="6">
        <v>-20</v>
      </c>
      <c r="G201" s="6">
        <v>-42</v>
      </c>
      <c r="H201" s="6">
        <v>5629.4</v>
      </c>
      <c r="I201" s="7">
        <v>5</v>
      </c>
    </row>
    <row r="202" spans="2:9" x14ac:dyDescent="0.25">
      <c r="B202" s="5">
        <v>200</v>
      </c>
      <c r="C202" s="6">
        <v>-25</v>
      </c>
      <c r="D202" s="6">
        <v>-32.334024896265561</v>
      </c>
      <c r="E202" s="6">
        <f>_xlfn.STDEV.P($C$3:$C$484)</f>
        <v>7.3254546814403687</v>
      </c>
      <c r="F202" s="6">
        <v>-20</v>
      </c>
      <c r="G202" s="6">
        <v>-42</v>
      </c>
      <c r="H202" s="6">
        <v>5638.1</v>
      </c>
      <c r="I202" s="7">
        <v>8.6999999999999993</v>
      </c>
    </row>
    <row r="203" spans="2:9" x14ac:dyDescent="0.25">
      <c r="B203" s="5">
        <v>201</v>
      </c>
      <c r="C203" s="6">
        <v>-30</v>
      </c>
      <c r="D203" s="6">
        <v>-32.334024896265561</v>
      </c>
      <c r="E203" s="6">
        <f>_xlfn.STDEV.P($C$3:$C$484)</f>
        <v>7.3254546814403687</v>
      </c>
      <c r="F203" s="6">
        <v>-20</v>
      </c>
      <c r="G203" s="6">
        <v>-42</v>
      </c>
      <c r="H203" s="6">
        <v>5648.3</v>
      </c>
      <c r="I203" s="7">
        <v>10.199999999999999</v>
      </c>
    </row>
    <row r="204" spans="2:9" x14ac:dyDescent="0.25">
      <c r="B204" s="5">
        <v>202</v>
      </c>
      <c r="C204" s="6">
        <v>-25</v>
      </c>
      <c r="D204" s="6">
        <v>-32.334024896265561</v>
      </c>
      <c r="E204" s="6">
        <f>_xlfn.STDEV.P($C$3:$C$484)</f>
        <v>7.3254546814403687</v>
      </c>
      <c r="F204" s="6">
        <v>-20</v>
      </c>
      <c r="G204" s="6">
        <v>-42</v>
      </c>
      <c r="H204" s="6">
        <v>5723.1</v>
      </c>
      <c r="I204" s="7">
        <v>74.8</v>
      </c>
    </row>
    <row r="205" spans="2:9" x14ac:dyDescent="0.25">
      <c r="B205" s="5">
        <v>203</v>
      </c>
      <c r="C205" s="6">
        <v>-35</v>
      </c>
      <c r="D205" s="6">
        <v>-32.334024896265561</v>
      </c>
      <c r="E205" s="6">
        <f>_xlfn.STDEV.P($C$3:$C$484)</f>
        <v>7.3254546814403687</v>
      </c>
      <c r="F205" s="6">
        <v>-20</v>
      </c>
      <c r="G205" s="6">
        <v>-42</v>
      </c>
      <c r="H205" s="6">
        <v>5783.4</v>
      </c>
      <c r="I205" s="7">
        <v>60.3</v>
      </c>
    </row>
    <row r="206" spans="2:9" x14ac:dyDescent="0.25">
      <c r="B206" s="5">
        <v>204</v>
      </c>
      <c r="C206" s="6">
        <v>-33</v>
      </c>
      <c r="D206" s="6">
        <v>-32.334024896265561</v>
      </c>
      <c r="E206" s="6">
        <f>_xlfn.STDEV.P($C$3:$C$484)</f>
        <v>7.3254546814403687</v>
      </c>
      <c r="F206" s="6">
        <v>-20</v>
      </c>
      <c r="G206" s="6">
        <v>-42</v>
      </c>
      <c r="H206" s="6">
        <v>5799.9</v>
      </c>
      <c r="I206" s="7">
        <v>16.5</v>
      </c>
    </row>
    <row r="207" spans="2:9" x14ac:dyDescent="0.25">
      <c r="B207" s="5">
        <v>205</v>
      </c>
      <c r="C207" s="6">
        <v>-40</v>
      </c>
      <c r="D207" s="6">
        <v>-32.334024896265561</v>
      </c>
      <c r="E207" s="6">
        <f>_xlfn.STDEV.P($C$3:$C$484)</f>
        <v>7.3254546814403687</v>
      </c>
      <c r="F207" s="6">
        <v>-20</v>
      </c>
      <c r="G207" s="6">
        <v>-42</v>
      </c>
      <c r="H207" s="6">
        <v>5939.1</v>
      </c>
      <c r="I207" s="7">
        <v>139.19999999999999</v>
      </c>
    </row>
    <row r="208" spans="2:9" x14ac:dyDescent="0.25">
      <c r="B208" s="5">
        <v>206</v>
      </c>
      <c r="C208" s="6">
        <v>-33</v>
      </c>
      <c r="D208" s="6">
        <v>-32.334024896265561</v>
      </c>
      <c r="E208" s="6">
        <f>_xlfn.STDEV.P($C$3:$C$484)</f>
        <v>7.3254546814403687</v>
      </c>
      <c r="F208" s="6">
        <v>-20</v>
      </c>
      <c r="G208" s="6">
        <v>-42</v>
      </c>
      <c r="H208" s="6">
        <v>5950.3</v>
      </c>
      <c r="I208" s="7">
        <v>11.2</v>
      </c>
    </row>
    <row r="209" spans="2:9" x14ac:dyDescent="0.25">
      <c r="B209" s="5">
        <v>207</v>
      </c>
      <c r="C209" s="6">
        <v>-20</v>
      </c>
      <c r="D209" s="6">
        <v>-32.334024896265561</v>
      </c>
      <c r="E209" s="6">
        <f>_xlfn.STDEV.P($C$3:$C$484)</f>
        <v>7.3254546814403687</v>
      </c>
      <c r="F209" s="6">
        <v>-20</v>
      </c>
      <c r="G209" s="6">
        <v>-42</v>
      </c>
      <c r="H209" s="6">
        <v>5983.3</v>
      </c>
      <c r="I209" s="7">
        <v>33</v>
      </c>
    </row>
    <row r="210" spans="2:9" x14ac:dyDescent="0.25">
      <c r="B210" s="5">
        <v>208</v>
      </c>
      <c r="C210" s="6">
        <v>-10</v>
      </c>
      <c r="D210" s="6">
        <v>-32.334024896265561</v>
      </c>
      <c r="E210" s="6">
        <f>_xlfn.STDEV.P($C$3:$C$484)</f>
        <v>7.3254546814403687</v>
      </c>
      <c r="F210" s="6">
        <v>-20</v>
      </c>
      <c r="G210" s="6">
        <v>-42</v>
      </c>
      <c r="H210" s="6">
        <v>6029.3</v>
      </c>
      <c r="I210" s="7">
        <v>46</v>
      </c>
    </row>
    <row r="211" spans="2:9" x14ac:dyDescent="0.25">
      <c r="B211" s="5">
        <v>209</v>
      </c>
      <c r="C211" s="6">
        <v>-25</v>
      </c>
      <c r="D211" s="6">
        <v>-32.334024896265561</v>
      </c>
      <c r="E211" s="6">
        <f>_xlfn.STDEV.P($C$3:$C$484)</f>
        <v>7.3254546814403687</v>
      </c>
      <c r="F211" s="6">
        <v>-20</v>
      </c>
      <c r="G211" s="6">
        <v>-42</v>
      </c>
      <c r="H211" s="6">
        <v>6029.8</v>
      </c>
      <c r="I211" s="7">
        <v>0.5</v>
      </c>
    </row>
    <row r="212" spans="2:9" x14ac:dyDescent="0.25">
      <c r="B212" s="5">
        <v>210</v>
      </c>
      <c r="C212" s="6">
        <v>-30</v>
      </c>
      <c r="D212" s="6">
        <v>-32.334024896265561</v>
      </c>
      <c r="E212" s="6">
        <f>_xlfn.STDEV.P($C$3:$C$484)</f>
        <v>7.3254546814403687</v>
      </c>
      <c r="F212" s="6">
        <v>-20</v>
      </c>
      <c r="G212" s="6">
        <v>-42</v>
      </c>
      <c r="H212" s="6">
        <v>6036.8</v>
      </c>
      <c r="I212" s="7">
        <v>7</v>
      </c>
    </row>
    <row r="213" spans="2:9" x14ac:dyDescent="0.25">
      <c r="B213" s="5">
        <v>211</v>
      </c>
      <c r="C213" s="6">
        <v>-36</v>
      </c>
      <c r="D213" s="6">
        <v>-32.334024896265561</v>
      </c>
      <c r="E213" s="6">
        <f>_xlfn.STDEV.P($C$3:$C$484)</f>
        <v>7.3254546814403687</v>
      </c>
      <c r="F213" s="6">
        <v>-20</v>
      </c>
      <c r="G213" s="6">
        <v>-42</v>
      </c>
      <c r="H213" s="6">
        <v>6043.1</v>
      </c>
      <c r="I213" s="7">
        <v>6.3</v>
      </c>
    </row>
    <row r="214" spans="2:9" x14ac:dyDescent="0.25">
      <c r="B214" s="5">
        <v>212</v>
      </c>
      <c r="C214" s="6">
        <v>-25</v>
      </c>
      <c r="D214" s="6">
        <v>-32.334024896265561</v>
      </c>
      <c r="E214" s="6">
        <f>_xlfn.STDEV.P($C$3:$C$484)</f>
        <v>7.3254546814403687</v>
      </c>
      <c r="F214" s="6">
        <v>-20</v>
      </c>
      <c r="G214" s="6">
        <v>-42</v>
      </c>
      <c r="H214" s="6">
        <v>6050.9</v>
      </c>
      <c r="I214" s="7">
        <v>7.8</v>
      </c>
    </row>
    <row r="215" spans="2:9" x14ac:dyDescent="0.25">
      <c r="B215" s="5">
        <v>213</v>
      </c>
      <c r="C215" s="6">
        <v>-33</v>
      </c>
      <c r="D215" s="6">
        <v>-32.334024896265561</v>
      </c>
      <c r="E215" s="6">
        <f>_xlfn.STDEV.P($C$3:$C$484)</f>
        <v>7.3254546814403687</v>
      </c>
      <c r="F215" s="6">
        <v>-20</v>
      </c>
      <c r="G215" s="6">
        <v>-42</v>
      </c>
      <c r="H215" s="6">
        <v>6061.2</v>
      </c>
      <c r="I215" s="7">
        <v>10.3</v>
      </c>
    </row>
    <row r="216" spans="2:9" x14ac:dyDescent="0.25">
      <c r="B216" s="5">
        <v>214</v>
      </c>
      <c r="C216" s="6">
        <v>-31</v>
      </c>
      <c r="D216" s="6">
        <v>-32.334024896265561</v>
      </c>
      <c r="E216" s="6">
        <f>_xlfn.STDEV.P($C$3:$C$484)</f>
        <v>7.3254546814403687</v>
      </c>
      <c r="F216" s="6">
        <v>-20</v>
      </c>
      <c r="G216" s="6">
        <v>-42</v>
      </c>
      <c r="H216" s="6">
        <v>6064.8</v>
      </c>
      <c r="I216" s="7">
        <v>3.6</v>
      </c>
    </row>
    <row r="217" spans="2:9" x14ac:dyDescent="0.25">
      <c r="B217" s="5">
        <v>215</v>
      </c>
      <c r="C217" s="6">
        <v>-35</v>
      </c>
      <c r="D217" s="6">
        <v>-32.334024896265561</v>
      </c>
      <c r="E217" s="6">
        <f>_xlfn.STDEV.P($C$3:$C$484)</f>
        <v>7.3254546814403687</v>
      </c>
      <c r="F217" s="6">
        <v>-20</v>
      </c>
      <c r="G217" s="6">
        <v>-42</v>
      </c>
      <c r="H217" s="6">
        <v>6075.9</v>
      </c>
      <c r="I217" s="7">
        <v>11.1</v>
      </c>
    </row>
    <row r="218" spans="2:9" x14ac:dyDescent="0.25">
      <c r="B218" s="5">
        <v>216</v>
      </c>
      <c r="C218" s="6">
        <v>-35</v>
      </c>
      <c r="D218" s="6">
        <v>-32.334024896265561</v>
      </c>
      <c r="E218" s="6">
        <f>_xlfn.STDEV.P($C$3:$C$484)</f>
        <v>7.3254546814403687</v>
      </c>
      <c r="F218" s="6">
        <v>-20</v>
      </c>
      <c r="G218" s="6">
        <v>-42</v>
      </c>
      <c r="H218" s="6">
        <v>6178.8</v>
      </c>
      <c r="I218" s="7">
        <v>102.9</v>
      </c>
    </row>
    <row r="219" spans="2:9" x14ac:dyDescent="0.25">
      <c r="B219" s="5">
        <v>217</v>
      </c>
      <c r="C219" s="6">
        <v>-37</v>
      </c>
      <c r="D219" s="6">
        <v>-32.334024896265561</v>
      </c>
      <c r="E219" s="6">
        <f>_xlfn.STDEV.P($C$3:$C$484)</f>
        <v>7.3254546814403687</v>
      </c>
      <c r="F219" s="6">
        <v>-20</v>
      </c>
      <c r="G219" s="6">
        <v>-42</v>
      </c>
      <c r="H219" s="6">
        <v>6258.8</v>
      </c>
      <c r="I219" s="7">
        <v>80</v>
      </c>
    </row>
    <row r="220" spans="2:9" x14ac:dyDescent="0.25">
      <c r="B220" s="5">
        <v>218</v>
      </c>
      <c r="C220" s="6">
        <v>-45</v>
      </c>
      <c r="D220" s="6">
        <v>-32.334024896265561</v>
      </c>
      <c r="E220" s="6">
        <f>_xlfn.STDEV.P($C$3:$C$484)</f>
        <v>7.3254546814403687</v>
      </c>
      <c r="F220" s="6">
        <v>-20</v>
      </c>
      <c r="G220" s="6">
        <v>-42</v>
      </c>
      <c r="H220" s="6">
        <v>6283</v>
      </c>
      <c r="I220" s="7">
        <v>24.2</v>
      </c>
    </row>
    <row r="221" spans="2:9" x14ac:dyDescent="0.25">
      <c r="B221" s="5">
        <v>219</v>
      </c>
      <c r="C221" s="6">
        <v>-35</v>
      </c>
      <c r="D221" s="6">
        <v>-32.334024896265561</v>
      </c>
      <c r="E221" s="6">
        <f>_xlfn.STDEV.P($C$3:$C$484)</f>
        <v>7.3254546814403687</v>
      </c>
      <c r="F221" s="6">
        <v>-20</v>
      </c>
      <c r="G221" s="6">
        <v>-42</v>
      </c>
      <c r="H221" s="6">
        <v>6350.3</v>
      </c>
      <c r="I221" s="7">
        <v>67.3</v>
      </c>
    </row>
    <row r="222" spans="2:9" x14ac:dyDescent="0.25">
      <c r="B222" s="5">
        <v>220</v>
      </c>
      <c r="C222" s="6">
        <v>-40</v>
      </c>
      <c r="D222" s="6">
        <v>-32.334024896265561</v>
      </c>
      <c r="E222" s="6">
        <f>_xlfn.STDEV.P($C$3:$C$484)</f>
        <v>7.3254546814403687</v>
      </c>
      <c r="F222" s="6">
        <v>-20</v>
      </c>
      <c r="G222" s="6">
        <v>-42</v>
      </c>
      <c r="H222" s="6">
        <v>6360.1</v>
      </c>
      <c r="I222" s="7">
        <v>9.8000000000000007</v>
      </c>
    </row>
    <row r="223" spans="2:9" x14ac:dyDescent="0.25">
      <c r="B223" s="5">
        <v>221</v>
      </c>
      <c r="C223" s="6">
        <v>-41</v>
      </c>
      <c r="D223" s="6">
        <v>-32.334024896265561</v>
      </c>
      <c r="E223" s="6">
        <f>_xlfn.STDEV.P($C$3:$C$484)</f>
        <v>7.3254546814403687</v>
      </c>
      <c r="F223" s="6">
        <v>-20</v>
      </c>
      <c r="G223" s="6">
        <v>-42</v>
      </c>
      <c r="H223" s="6">
        <v>6368.9</v>
      </c>
      <c r="I223" s="7">
        <v>8.8000000000000007</v>
      </c>
    </row>
    <row r="224" spans="2:9" x14ac:dyDescent="0.25">
      <c r="B224" s="5">
        <v>222</v>
      </c>
      <c r="C224" s="6">
        <v>-39</v>
      </c>
      <c r="D224" s="6">
        <v>-32.334024896265561</v>
      </c>
      <c r="E224" s="6">
        <f>_xlfn.STDEV.P($C$3:$C$484)</f>
        <v>7.3254546814403687</v>
      </c>
      <c r="F224" s="6">
        <v>-20</v>
      </c>
      <c r="G224" s="6">
        <v>-42</v>
      </c>
      <c r="H224" s="6">
        <v>6463.6</v>
      </c>
      <c r="I224" s="7">
        <v>94.7</v>
      </c>
    </row>
    <row r="225" spans="2:9" x14ac:dyDescent="0.25">
      <c r="B225" s="5">
        <v>223</v>
      </c>
      <c r="C225" s="6">
        <v>-23</v>
      </c>
      <c r="D225" s="6">
        <v>-32.334024896265561</v>
      </c>
      <c r="E225" s="6">
        <f>_xlfn.STDEV.P($C$3:$C$484)</f>
        <v>7.3254546814403687</v>
      </c>
      <c r="F225" s="6">
        <v>-20</v>
      </c>
      <c r="G225" s="6">
        <v>-42</v>
      </c>
      <c r="H225" s="6">
        <v>6485.2</v>
      </c>
      <c r="I225" s="7">
        <v>21.6</v>
      </c>
    </row>
    <row r="226" spans="2:9" x14ac:dyDescent="0.25">
      <c r="B226" s="5">
        <v>224</v>
      </c>
      <c r="C226" s="6">
        <v>-52</v>
      </c>
      <c r="D226" s="6">
        <v>-32.334024896265561</v>
      </c>
      <c r="E226" s="6">
        <f>_xlfn.STDEV.P($C$3:$C$484)</f>
        <v>7.3254546814403687</v>
      </c>
      <c r="F226" s="6">
        <v>-20</v>
      </c>
      <c r="G226" s="6">
        <v>-42</v>
      </c>
      <c r="H226" s="6">
        <v>6508.9</v>
      </c>
      <c r="I226" s="7">
        <v>23.7</v>
      </c>
    </row>
    <row r="227" spans="2:9" x14ac:dyDescent="0.25">
      <c r="B227" s="5">
        <v>225</v>
      </c>
      <c r="C227" s="6">
        <v>-45</v>
      </c>
      <c r="D227" s="6">
        <v>-32.334024896265561</v>
      </c>
      <c r="E227" s="6">
        <f>_xlfn.STDEV.P($C$3:$C$484)</f>
        <v>7.3254546814403687</v>
      </c>
      <c r="F227" s="6">
        <v>-20</v>
      </c>
      <c r="G227" s="6">
        <v>-42</v>
      </c>
      <c r="H227" s="6">
        <v>6515.4</v>
      </c>
      <c r="I227" s="7">
        <v>6.5</v>
      </c>
    </row>
    <row r="228" spans="2:9" x14ac:dyDescent="0.25">
      <c r="B228" s="5">
        <v>226</v>
      </c>
      <c r="C228" s="6">
        <v>-35</v>
      </c>
      <c r="D228" s="6">
        <v>-32.334024896265561</v>
      </c>
      <c r="E228" s="6">
        <f>_xlfn.STDEV.P($C$3:$C$484)</f>
        <v>7.3254546814403687</v>
      </c>
      <c r="F228" s="6">
        <v>-20</v>
      </c>
      <c r="G228" s="6">
        <v>-42</v>
      </c>
      <c r="H228" s="6">
        <v>6535.9</v>
      </c>
      <c r="I228" s="7">
        <v>20.5</v>
      </c>
    </row>
    <row r="229" spans="2:9" x14ac:dyDescent="0.25">
      <c r="B229" s="5">
        <v>227</v>
      </c>
      <c r="C229" s="6">
        <v>-36</v>
      </c>
      <c r="D229" s="6">
        <v>-32.334024896265561</v>
      </c>
      <c r="E229" s="6">
        <f>_xlfn.STDEV.P($C$3:$C$484)</f>
        <v>7.3254546814403687</v>
      </c>
      <c r="F229" s="6">
        <v>-20</v>
      </c>
      <c r="G229" s="6">
        <v>-42</v>
      </c>
      <c r="H229" s="6">
        <v>6537.4</v>
      </c>
      <c r="I229" s="7">
        <v>1.5</v>
      </c>
    </row>
    <row r="230" spans="2:9" x14ac:dyDescent="0.25">
      <c r="B230" s="5">
        <v>228</v>
      </c>
      <c r="C230" s="6">
        <v>-43</v>
      </c>
      <c r="D230" s="6">
        <v>-32.334024896265561</v>
      </c>
      <c r="E230" s="6">
        <f>_xlfn.STDEV.P($C$3:$C$484)</f>
        <v>7.3254546814403687</v>
      </c>
      <c r="F230" s="6">
        <v>-20</v>
      </c>
      <c r="G230" s="6">
        <v>-42</v>
      </c>
      <c r="H230" s="6">
        <v>6554.7</v>
      </c>
      <c r="I230" s="7">
        <v>17.3</v>
      </c>
    </row>
    <row r="231" spans="2:9" x14ac:dyDescent="0.25">
      <c r="B231" s="5">
        <v>229</v>
      </c>
      <c r="C231" s="6">
        <v>-47</v>
      </c>
      <c r="D231" s="6">
        <v>-32.334024896265561</v>
      </c>
      <c r="E231" s="6">
        <f>_xlfn.STDEV.P($C$3:$C$484)</f>
        <v>7.3254546814403687</v>
      </c>
      <c r="F231" s="6">
        <v>-20</v>
      </c>
      <c r="G231" s="6">
        <v>-42</v>
      </c>
      <c r="H231" s="6">
        <v>6555.5</v>
      </c>
      <c r="I231" s="7">
        <v>0.8</v>
      </c>
    </row>
    <row r="232" spans="2:9" x14ac:dyDescent="0.25">
      <c r="B232" s="5">
        <v>230</v>
      </c>
      <c r="C232" s="6">
        <v>-40</v>
      </c>
      <c r="D232" s="6">
        <v>-32.334024896265561</v>
      </c>
      <c r="E232" s="6">
        <f>_xlfn.STDEV.P($C$3:$C$484)</f>
        <v>7.3254546814403687</v>
      </c>
      <c r="F232" s="6">
        <v>-20</v>
      </c>
      <c r="G232" s="6">
        <v>-42</v>
      </c>
      <c r="H232" s="6">
        <v>6573.5</v>
      </c>
      <c r="I232" s="7">
        <v>18</v>
      </c>
    </row>
    <row r="233" spans="2:9" x14ac:dyDescent="0.25">
      <c r="B233" s="5">
        <v>231</v>
      </c>
      <c r="C233" s="6">
        <v>-46</v>
      </c>
      <c r="D233" s="6">
        <v>-32.334024896265561</v>
      </c>
      <c r="E233" s="6">
        <f>_xlfn.STDEV.P($C$3:$C$484)</f>
        <v>7.3254546814403687</v>
      </c>
      <c r="F233" s="6">
        <v>-20</v>
      </c>
      <c r="G233" s="6">
        <v>-42</v>
      </c>
      <c r="H233" s="6">
        <v>6578.4</v>
      </c>
      <c r="I233" s="7">
        <v>4.9000000000000004</v>
      </c>
    </row>
    <row r="234" spans="2:9" x14ac:dyDescent="0.25">
      <c r="B234" s="5">
        <v>232</v>
      </c>
      <c r="C234" s="6">
        <v>-50</v>
      </c>
      <c r="D234" s="6">
        <v>-32.334024896265561</v>
      </c>
      <c r="E234" s="6">
        <f>_xlfn.STDEV.P($C$3:$C$484)</f>
        <v>7.3254546814403687</v>
      </c>
      <c r="F234" s="6">
        <v>-20</v>
      </c>
      <c r="G234" s="6">
        <v>-42</v>
      </c>
      <c r="H234" s="6">
        <v>6671</v>
      </c>
      <c r="I234" s="7">
        <v>92.6</v>
      </c>
    </row>
    <row r="235" spans="2:9" x14ac:dyDescent="0.25">
      <c r="B235" s="5">
        <v>233</v>
      </c>
      <c r="C235" s="6">
        <v>-50</v>
      </c>
      <c r="D235" s="6">
        <v>-32.334024896265561</v>
      </c>
      <c r="E235" s="6">
        <f>_xlfn.STDEV.P($C$3:$C$484)</f>
        <v>7.3254546814403687</v>
      </c>
      <c r="F235" s="6">
        <v>-20</v>
      </c>
      <c r="G235" s="6">
        <v>-42</v>
      </c>
      <c r="H235" s="6">
        <v>6740.3</v>
      </c>
      <c r="I235" s="7">
        <v>69.3</v>
      </c>
    </row>
    <row r="236" spans="2:9" x14ac:dyDescent="0.25">
      <c r="B236" s="5">
        <v>234</v>
      </c>
      <c r="C236" s="6">
        <v>-40</v>
      </c>
      <c r="D236" s="6">
        <v>-32.334024896265561</v>
      </c>
      <c r="E236" s="6">
        <f>_xlfn.STDEV.P($C$3:$C$484)</f>
        <v>7.3254546814403687</v>
      </c>
      <c r="F236" s="6">
        <v>-20</v>
      </c>
      <c r="G236" s="6">
        <v>-42</v>
      </c>
      <c r="H236" s="6">
        <v>6782.7</v>
      </c>
      <c r="I236" s="7">
        <v>42.4</v>
      </c>
    </row>
    <row r="237" spans="2:9" x14ac:dyDescent="0.25">
      <c r="B237" s="5">
        <v>235</v>
      </c>
      <c r="C237" s="6">
        <v>-40</v>
      </c>
      <c r="D237" s="6">
        <v>-32.334024896265561</v>
      </c>
      <c r="E237" s="6">
        <f>_xlfn.STDEV.P($C$3:$C$484)</f>
        <v>7.3254546814403687</v>
      </c>
      <c r="F237" s="6">
        <v>-20</v>
      </c>
      <c r="G237" s="6">
        <v>-42</v>
      </c>
      <c r="H237" s="6">
        <v>6808.1</v>
      </c>
      <c r="I237" s="7">
        <v>25.4</v>
      </c>
    </row>
    <row r="238" spans="2:9" x14ac:dyDescent="0.25">
      <c r="B238" s="5">
        <v>236</v>
      </c>
      <c r="C238" s="6">
        <v>-20</v>
      </c>
      <c r="D238" s="6">
        <v>-32.334024896265561</v>
      </c>
      <c r="E238" s="6">
        <f>_xlfn.STDEV.P($C$3:$C$484)</f>
        <v>7.3254546814403687</v>
      </c>
      <c r="F238" s="6">
        <v>-20</v>
      </c>
      <c r="G238" s="6">
        <v>-42</v>
      </c>
      <c r="H238" s="6">
        <v>6810.4</v>
      </c>
      <c r="I238" s="7">
        <v>2.2999999999999998</v>
      </c>
    </row>
    <row r="239" spans="2:9" x14ac:dyDescent="0.25">
      <c r="B239" s="5">
        <v>237</v>
      </c>
      <c r="C239" s="6">
        <v>-40</v>
      </c>
      <c r="D239" s="6">
        <v>-32.334024896265561</v>
      </c>
      <c r="E239" s="6">
        <f>_xlfn.STDEV.P($C$3:$C$484)</f>
        <v>7.3254546814403687</v>
      </c>
      <c r="F239" s="6">
        <v>-20</v>
      </c>
      <c r="G239" s="6">
        <v>-42</v>
      </c>
      <c r="H239" s="6">
        <v>6817.8</v>
      </c>
      <c r="I239" s="7">
        <v>7.4</v>
      </c>
    </row>
    <row r="240" spans="2:9" x14ac:dyDescent="0.25">
      <c r="B240" s="5">
        <v>238</v>
      </c>
      <c r="C240" s="6">
        <v>-35</v>
      </c>
      <c r="D240" s="6">
        <v>-32.334024896265561</v>
      </c>
      <c r="E240" s="6">
        <f>_xlfn.STDEV.P($C$3:$C$484)</f>
        <v>7.3254546814403687</v>
      </c>
      <c r="F240" s="6">
        <v>-20</v>
      </c>
      <c r="G240" s="6">
        <v>-42</v>
      </c>
      <c r="H240" s="6">
        <v>6836.1</v>
      </c>
      <c r="I240" s="7">
        <v>18.3</v>
      </c>
    </row>
    <row r="241" spans="2:9" x14ac:dyDescent="0.25">
      <c r="B241" s="5">
        <v>239</v>
      </c>
      <c r="C241" s="6">
        <v>-40</v>
      </c>
      <c r="D241" s="6">
        <v>-32.334024896265561</v>
      </c>
      <c r="E241" s="6">
        <f>_xlfn.STDEV.P($C$3:$C$484)</f>
        <v>7.3254546814403687</v>
      </c>
      <c r="F241" s="6">
        <v>-20</v>
      </c>
      <c r="G241" s="6">
        <v>-42</v>
      </c>
      <c r="H241" s="6">
        <v>6846.3</v>
      </c>
      <c r="I241" s="7">
        <v>10.199999999999999</v>
      </c>
    </row>
    <row r="242" spans="2:9" x14ac:dyDescent="0.25">
      <c r="B242" s="5">
        <v>240</v>
      </c>
      <c r="C242" s="6">
        <v>-30</v>
      </c>
      <c r="D242" s="6">
        <v>-32.334024896265561</v>
      </c>
      <c r="E242" s="6">
        <f>_xlfn.STDEV.P($C$3:$C$484)</f>
        <v>7.3254546814403687</v>
      </c>
      <c r="F242" s="6">
        <v>-20</v>
      </c>
      <c r="G242" s="6">
        <v>-42</v>
      </c>
      <c r="H242" s="6">
        <v>6875.1</v>
      </c>
      <c r="I242" s="7">
        <v>28.8</v>
      </c>
    </row>
    <row r="243" spans="2:9" x14ac:dyDescent="0.25">
      <c r="B243" s="5">
        <v>241</v>
      </c>
      <c r="C243" s="6">
        <v>-32</v>
      </c>
      <c r="D243" s="6">
        <v>-32.334024896265561</v>
      </c>
      <c r="E243" s="6">
        <f>_xlfn.STDEV.P($C$3:$C$484)</f>
        <v>7.3254546814403687</v>
      </c>
      <c r="F243" s="6">
        <v>-20</v>
      </c>
      <c r="G243" s="6">
        <v>-42</v>
      </c>
      <c r="H243" s="6">
        <v>6889.1</v>
      </c>
      <c r="I243" s="7">
        <v>14</v>
      </c>
    </row>
    <row r="244" spans="2:9" x14ac:dyDescent="0.25">
      <c r="B244" s="5">
        <v>242</v>
      </c>
      <c r="C244" s="6">
        <v>-32</v>
      </c>
      <c r="D244" s="6">
        <v>-32.334024896265561</v>
      </c>
      <c r="E244" s="6">
        <f>_xlfn.STDEV.P($C$3:$C$484)</f>
        <v>7.3254546814403687</v>
      </c>
      <c r="F244" s="6">
        <v>-20</v>
      </c>
      <c r="G244" s="6">
        <v>-42</v>
      </c>
      <c r="H244" s="6">
        <v>6889.2</v>
      </c>
      <c r="I244" s="7">
        <v>0.1</v>
      </c>
    </row>
    <row r="245" spans="2:9" x14ac:dyDescent="0.25">
      <c r="B245" s="5">
        <v>243</v>
      </c>
      <c r="C245" s="6">
        <v>-37</v>
      </c>
      <c r="D245" s="6">
        <v>-32.334024896265561</v>
      </c>
      <c r="E245" s="6">
        <f>_xlfn.STDEV.P($C$3:$C$484)</f>
        <v>7.3254546814403687</v>
      </c>
      <c r="F245" s="6">
        <v>-20</v>
      </c>
      <c r="G245" s="6">
        <v>-42</v>
      </c>
      <c r="H245" s="6">
        <v>6894</v>
      </c>
      <c r="I245" s="7">
        <v>4.8</v>
      </c>
    </row>
    <row r="246" spans="2:9" x14ac:dyDescent="0.25">
      <c r="B246" s="5">
        <v>244</v>
      </c>
      <c r="C246" s="6">
        <v>-42</v>
      </c>
      <c r="D246" s="6">
        <v>-32.334024896265561</v>
      </c>
      <c r="E246" s="6">
        <f>_xlfn.STDEV.P($C$3:$C$484)</f>
        <v>7.3254546814403687</v>
      </c>
      <c r="F246" s="6">
        <v>-20</v>
      </c>
      <c r="G246" s="6">
        <v>-42</v>
      </c>
      <c r="H246" s="6">
        <v>6984.4</v>
      </c>
      <c r="I246" s="7">
        <v>90.4</v>
      </c>
    </row>
    <row r="247" spans="2:9" x14ac:dyDescent="0.25">
      <c r="B247" s="5">
        <v>245</v>
      </c>
      <c r="C247" s="6">
        <v>-40</v>
      </c>
      <c r="D247" s="6">
        <v>-32.334024896265561</v>
      </c>
      <c r="E247" s="6">
        <f>_xlfn.STDEV.P($C$3:$C$484)</f>
        <v>7.3254546814403687</v>
      </c>
      <c r="F247" s="6">
        <v>-20</v>
      </c>
      <c r="G247" s="6">
        <v>-42</v>
      </c>
      <c r="H247" s="6">
        <v>7025.1</v>
      </c>
      <c r="I247" s="7">
        <v>40.700000000000003</v>
      </c>
    </row>
    <row r="248" spans="2:9" x14ac:dyDescent="0.25">
      <c r="B248" s="5">
        <v>246</v>
      </c>
      <c r="C248" s="6">
        <v>-40</v>
      </c>
      <c r="D248" s="6">
        <v>-32.334024896265561</v>
      </c>
      <c r="E248" s="6">
        <f>_xlfn.STDEV.P($C$3:$C$484)</f>
        <v>7.3254546814403687</v>
      </c>
      <c r="F248" s="6">
        <v>-20</v>
      </c>
      <c r="G248" s="6">
        <v>-42</v>
      </c>
      <c r="H248" s="6">
        <v>7064.8</v>
      </c>
      <c r="I248" s="7">
        <v>39.700000000000003</v>
      </c>
    </row>
    <row r="249" spans="2:9" x14ac:dyDescent="0.25">
      <c r="B249" s="5">
        <v>247</v>
      </c>
      <c r="C249" s="6">
        <v>-33</v>
      </c>
      <c r="D249" s="6">
        <v>-32.334024896265561</v>
      </c>
      <c r="E249" s="6">
        <f>_xlfn.STDEV.P($C$3:$C$484)</f>
        <v>7.3254546814403687</v>
      </c>
      <c r="F249" s="6">
        <v>-20</v>
      </c>
      <c r="G249" s="6">
        <v>-42</v>
      </c>
      <c r="H249" s="6">
        <v>7080.1</v>
      </c>
      <c r="I249" s="7">
        <v>15.3</v>
      </c>
    </row>
    <row r="250" spans="2:9" x14ac:dyDescent="0.25">
      <c r="B250" s="5">
        <v>248</v>
      </c>
      <c r="C250" s="6">
        <v>-25</v>
      </c>
      <c r="D250" s="6">
        <v>-32.334024896265561</v>
      </c>
      <c r="E250" s="6">
        <f>_xlfn.STDEV.P($C$3:$C$484)</f>
        <v>7.3254546814403687</v>
      </c>
      <c r="F250" s="6">
        <v>-20</v>
      </c>
      <c r="G250" s="6">
        <v>-42</v>
      </c>
      <c r="H250" s="6">
        <v>7086.6</v>
      </c>
      <c r="I250" s="7">
        <v>6.5</v>
      </c>
    </row>
    <row r="251" spans="2:9" x14ac:dyDescent="0.25">
      <c r="B251" s="5">
        <v>249</v>
      </c>
      <c r="C251" s="6">
        <v>-29</v>
      </c>
      <c r="D251" s="6">
        <v>-32.334024896265561</v>
      </c>
      <c r="E251" s="6">
        <f>_xlfn.STDEV.P($C$3:$C$484)</f>
        <v>7.3254546814403687</v>
      </c>
      <c r="F251" s="6">
        <v>-20</v>
      </c>
      <c r="G251" s="6">
        <v>-42</v>
      </c>
      <c r="H251" s="6">
        <v>7143.2</v>
      </c>
      <c r="I251" s="7">
        <v>56.6</v>
      </c>
    </row>
    <row r="252" spans="2:9" x14ac:dyDescent="0.25">
      <c r="B252" s="5">
        <v>250</v>
      </c>
      <c r="C252" s="6">
        <v>-30</v>
      </c>
      <c r="D252" s="6">
        <v>-32.334024896265561</v>
      </c>
      <c r="E252" s="6">
        <f>_xlfn.STDEV.P($C$3:$C$484)</f>
        <v>7.3254546814403687</v>
      </c>
      <c r="F252" s="6">
        <v>-20</v>
      </c>
      <c r="G252" s="6">
        <v>-42</v>
      </c>
      <c r="H252" s="6">
        <v>7218.3</v>
      </c>
      <c r="I252" s="7">
        <v>75.099999999999994</v>
      </c>
    </row>
    <row r="253" spans="2:9" x14ac:dyDescent="0.25">
      <c r="B253" s="5">
        <v>251</v>
      </c>
      <c r="C253" s="6">
        <v>-35</v>
      </c>
      <c r="D253" s="6">
        <v>-32.334024896265561</v>
      </c>
      <c r="E253" s="6">
        <f>_xlfn.STDEV.P($C$3:$C$484)</f>
        <v>7.3254546814403687</v>
      </c>
      <c r="F253" s="6">
        <v>-20</v>
      </c>
      <c r="G253" s="6">
        <v>-42</v>
      </c>
      <c r="H253" s="6">
        <v>7272.4</v>
      </c>
      <c r="I253" s="7">
        <v>54.1</v>
      </c>
    </row>
    <row r="254" spans="2:9" x14ac:dyDescent="0.25">
      <c r="B254" s="5">
        <v>252</v>
      </c>
      <c r="C254" s="6">
        <v>-21</v>
      </c>
      <c r="D254" s="6">
        <v>-32.334024896265561</v>
      </c>
      <c r="E254" s="6">
        <f>_xlfn.STDEV.P($C$3:$C$484)</f>
        <v>7.3254546814403687</v>
      </c>
      <c r="F254" s="6">
        <v>-20</v>
      </c>
      <c r="G254" s="6">
        <v>-42</v>
      </c>
      <c r="H254" s="6">
        <v>7309</v>
      </c>
      <c r="I254" s="7">
        <v>36.6</v>
      </c>
    </row>
    <row r="255" spans="2:9" x14ac:dyDescent="0.25">
      <c r="B255" s="5">
        <v>253</v>
      </c>
      <c r="C255" s="6">
        <v>-25</v>
      </c>
      <c r="D255" s="6">
        <v>-32.334024896265561</v>
      </c>
      <c r="E255" s="6">
        <f>_xlfn.STDEV.P($C$3:$C$484)</f>
        <v>7.3254546814403687</v>
      </c>
      <c r="F255" s="6">
        <v>-20</v>
      </c>
      <c r="G255" s="6">
        <v>-42</v>
      </c>
      <c r="H255" s="6">
        <v>7321.9</v>
      </c>
      <c r="I255" s="7">
        <v>12.9</v>
      </c>
    </row>
    <row r="256" spans="2:9" x14ac:dyDescent="0.25">
      <c r="B256" s="5">
        <v>254</v>
      </c>
      <c r="C256" s="6">
        <v>-50</v>
      </c>
      <c r="D256" s="6">
        <v>-32.334024896265561</v>
      </c>
      <c r="E256" s="6">
        <f>_xlfn.STDEV.P($C$3:$C$484)</f>
        <v>7.3254546814403687</v>
      </c>
      <c r="F256" s="6">
        <v>-20</v>
      </c>
      <c r="G256" s="6">
        <v>-42</v>
      </c>
      <c r="H256" s="6">
        <v>7333</v>
      </c>
      <c r="I256" s="7">
        <v>11.1</v>
      </c>
    </row>
    <row r="257" spans="2:9" x14ac:dyDescent="0.25">
      <c r="B257" s="5">
        <v>255</v>
      </c>
      <c r="C257" s="6">
        <v>-25</v>
      </c>
      <c r="D257" s="6">
        <v>-32.334024896265561</v>
      </c>
      <c r="E257" s="6">
        <f>_xlfn.STDEV.P($C$3:$C$484)</f>
        <v>7.3254546814403687</v>
      </c>
      <c r="F257" s="6">
        <v>-20</v>
      </c>
      <c r="G257" s="6">
        <v>-42</v>
      </c>
      <c r="H257" s="6">
        <v>7361.9</v>
      </c>
      <c r="I257" s="7">
        <v>28.9</v>
      </c>
    </row>
    <row r="258" spans="2:9" x14ac:dyDescent="0.25">
      <c r="B258" s="5">
        <v>256</v>
      </c>
      <c r="C258" s="6">
        <v>-41</v>
      </c>
      <c r="D258" s="6">
        <v>-32.334024896265561</v>
      </c>
      <c r="E258" s="6">
        <f>_xlfn.STDEV.P($C$3:$C$484)</f>
        <v>7.3254546814403687</v>
      </c>
      <c r="F258" s="6">
        <v>-20</v>
      </c>
      <c r="G258" s="6">
        <v>-42</v>
      </c>
      <c r="H258" s="6">
        <v>7369.2</v>
      </c>
      <c r="I258" s="7">
        <v>7.3</v>
      </c>
    </row>
    <row r="259" spans="2:9" x14ac:dyDescent="0.25">
      <c r="B259" s="5">
        <v>257</v>
      </c>
      <c r="C259" s="6">
        <v>-40</v>
      </c>
      <c r="D259" s="6">
        <v>-32.334024896265561</v>
      </c>
      <c r="E259" s="6">
        <f>_xlfn.STDEV.P($C$3:$C$484)</f>
        <v>7.3254546814403687</v>
      </c>
      <c r="F259" s="6">
        <v>-20</v>
      </c>
      <c r="G259" s="6">
        <v>-42</v>
      </c>
      <c r="H259" s="6">
        <v>7392.7</v>
      </c>
      <c r="I259" s="7">
        <v>23.5</v>
      </c>
    </row>
    <row r="260" spans="2:9" x14ac:dyDescent="0.25">
      <c r="B260" s="5">
        <v>258</v>
      </c>
      <c r="C260" s="6">
        <v>-50</v>
      </c>
      <c r="D260" s="6">
        <v>-32.334024896265561</v>
      </c>
      <c r="E260" s="6">
        <f>_xlfn.STDEV.P($C$3:$C$484)</f>
        <v>7.3254546814403687</v>
      </c>
      <c r="F260" s="6">
        <v>-20</v>
      </c>
      <c r="G260" s="6">
        <v>-42</v>
      </c>
      <c r="H260" s="6">
        <v>7446.7</v>
      </c>
      <c r="I260" s="7">
        <v>54</v>
      </c>
    </row>
    <row r="261" spans="2:9" x14ac:dyDescent="0.25">
      <c r="B261" s="5">
        <v>259</v>
      </c>
      <c r="C261" s="6">
        <v>-50</v>
      </c>
      <c r="D261" s="6">
        <v>-32.334024896265561</v>
      </c>
      <c r="E261" s="6">
        <f>_xlfn.STDEV.P($C$3:$C$484)</f>
        <v>7.3254546814403687</v>
      </c>
      <c r="F261" s="6">
        <v>-20</v>
      </c>
      <c r="G261" s="6">
        <v>-42</v>
      </c>
      <c r="H261" s="6">
        <v>7449.5</v>
      </c>
      <c r="I261" s="7">
        <v>2.8</v>
      </c>
    </row>
    <row r="262" spans="2:9" x14ac:dyDescent="0.25">
      <c r="B262" s="5">
        <v>260</v>
      </c>
      <c r="C262" s="6">
        <v>-40</v>
      </c>
      <c r="D262" s="6">
        <v>-32.334024896265561</v>
      </c>
      <c r="E262" s="6">
        <f>_xlfn.STDEV.P($C$3:$C$484)</f>
        <v>7.3254546814403687</v>
      </c>
      <c r="F262" s="6">
        <v>-20</v>
      </c>
      <c r="G262" s="6">
        <v>-42</v>
      </c>
      <c r="H262" s="6">
        <v>7450.9</v>
      </c>
      <c r="I262" s="7">
        <v>1.4</v>
      </c>
    </row>
    <row r="263" spans="2:9" x14ac:dyDescent="0.25">
      <c r="B263" s="5">
        <v>261</v>
      </c>
      <c r="C263" s="6">
        <v>-40</v>
      </c>
      <c r="D263" s="6">
        <v>-32.334024896265561</v>
      </c>
      <c r="E263" s="6">
        <f>_xlfn.STDEV.P($C$3:$C$484)</f>
        <v>7.3254546814403687</v>
      </c>
      <c r="F263" s="6">
        <v>-20</v>
      </c>
      <c r="G263" s="6">
        <v>-42</v>
      </c>
      <c r="H263" s="6">
        <v>7454.5</v>
      </c>
      <c r="I263" s="7">
        <v>3.6</v>
      </c>
    </row>
    <row r="264" spans="2:9" x14ac:dyDescent="0.25">
      <c r="B264" s="5">
        <v>262</v>
      </c>
      <c r="C264" s="6">
        <v>-22</v>
      </c>
      <c r="D264" s="6">
        <v>-32.334024896265561</v>
      </c>
      <c r="E264" s="6">
        <f>_xlfn.STDEV.P($C$3:$C$484)</f>
        <v>7.3254546814403687</v>
      </c>
      <c r="F264" s="6">
        <v>-20</v>
      </c>
      <c r="G264" s="6">
        <v>-42</v>
      </c>
      <c r="H264" s="6">
        <v>7491.3</v>
      </c>
      <c r="I264" s="7">
        <v>36.799999999999997</v>
      </c>
    </row>
    <row r="265" spans="2:9" x14ac:dyDescent="0.25">
      <c r="B265" s="5">
        <v>263</v>
      </c>
      <c r="C265" s="6">
        <v>-30</v>
      </c>
      <c r="D265" s="6">
        <v>-32.334024896265561</v>
      </c>
      <c r="E265" s="6">
        <f>_xlfn.STDEV.P($C$3:$C$484)</f>
        <v>7.3254546814403687</v>
      </c>
      <c r="F265" s="6">
        <v>-20</v>
      </c>
      <c r="G265" s="6">
        <v>-42</v>
      </c>
      <c r="H265" s="6">
        <v>7491.5</v>
      </c>
      <c r="I265" s="7">
        <v>0.2</v>
      </c>
    </row>
    <row r="266" spans="2:9" x14ac:dyDescent="0.25">
      <c r="B266" s="5">
        <v>264</v>
      </c>
      <c r="C266" s="6">
        <v>-25</v>
      </c>
      <c r="D266" s="6">
        <v>-32.334024896265561</v>
      </c>
      <c r="E266" s="6">
        <f>_xlfn.STDEV.P($C$3:$C$484)</f>
        <v>7.3254546814403687</v>
      </c>
      <c r="F266" s="6">
        <v>-20</v>
      </c>
      <c r="G266" s="6">
        <v>-42</v>
      </c>
      <c r="H266" s="6">
        <v>7532</v>
      </c>
      <c r="I266" s="7">
        <v>40.5</v>
      </c>
    </row>
    <row r="267" spans="2:9" x14ac:dyDescent="0.25">
      <c r="B267" s="5">
        <v>265</v>
      </c>
      <c r="C267" s="6">
        <v>-30</v>
      </c>
      <c r="D267" s="6">
        <v>-32.334024896265561</v>
      </c>
      <c r="E267" s="6">
        <f>_xlfn.STDEV.P($C$3:$C$484)</f>
        <v>7.3254546814403687</v>
      </c>
      <c r="F267" s="6">
        <v>-20</v>
      </c>
      <c r="G267" s="6">
        <v>-42</v>
      </c>
      <c r="H267" s="6">
        <v>7548.9</v>
      </c>
      <c r="I267" s="7">
        <v>16.899999999999999</v>
      </c>
    </row>
    <row r="268" spans="2:9" x14ac:dyDescent="0.25">
      <c r="B268" s="5">
        <v>266</v>
      </c>
      <c r="C268" s="6">
        <v>-20</v>
      </c>
      <c r="D268" s="6">
        <v>-32.334024896265561</v>
      </c>
      <c r="E268" s="6">
        <f>_xlfn.STDEV.P($C$3:$C$484)</f>
        <v>7.3254546814403687</v>
      </c>
      <c r="F268" s="6">
        <v>-20</v>
      </c>
      <c r="G268" s="6">
        <v>-42</v>
      </c>
      <c r="H268" s="6">
        <v>7553.5</v>
      </c>
      <c r="I268" s="7">
        <v>4.5999999999999996</v>
      </c>
    </row>
    <row r="269" spans="2:9" x14ac:dyDescent="0.25">
      <c r="B269" s="5">
        <v>267</v>
      </c>
      <c r="C269" s="6">
        <v>-25</v>
      </c>
      <c r="D269" s="6">
        <v>-32.334024896265561</v>
      </c>
      <c r="E269" s="6">
        <f>_xlfn.STDEV.P($C$3:$C$484)</f>
        <v>7.3254546814403687</v>
      </c>
      <c r="F269" s="6">
        <v>-20</v>
      </c>
      <c r="G269" s="6">
        <v>-42</v>
      </c>
      <c r="H269" s="6">
        <v>7567.9</v>
      </c>
      <c r="I269" s="7">
        <v>14.4</v>
      </c>
    </row>
    <row r="270" spans="2:9" x14ac:dyDescent="0.25">
      <c r="B270" s="5">
        <v>268</v>
      </c>
      <c r="C270" s="6">
        <v>-30</v>
      </c>
      <c r="D270" s="6">
        <v>-32.334024896265561</v>
      </c>
      <c r="E270" s="6">
        <f>_xlfn.STDEV.P($C$3:$C$484)</f>
        <v>7.3254546814403687</v>
      </c>
      <c r="F270" s="6">
        <v>-20</v>
      </c>
      <c r="G270" s="6">
        <v>-42</v>
      </c>
      <c r="H270" s="6">
        <v>7574.1</v>
      </c>
      <c r="I270" s="7">
        <v>6.2</v>
      </c>
    </row>
    <row r="271" spans="2:9" x14ac:dyDescent="0.25">
      <c r="B271" s="5">
        <v>269</v>
      </c>
      <c r="C271" s="6">
        <v>-20</v>
      </c>
      <c r="D271" s="6">
        <v>-32.334024896265561</v>
      </c>
      <c r="E271" s="6">
        <f>_xlfn.STDEV.P($C$3:$C$484)</f>
        <v>7.3254546814403687</v>
      </c>
      <c r="F271" s="6">
        <v>-20</v>
      </c>
      <c r="G271" s="6">
        <v>-42</v>
      </c>
      <c r="H271" s="6">
        <v>7604.1</v>
      </c>
      <c r="I271" s="7">
        <v>30</v>
      </c>
    </row>
    <row r="272" spans="2:9" x14ac:dyDescent="0.25">
      <c r="B272" s="5">
        <v>270</v>
      </c>
      <c r="C272" s="6">
        <v>-25</v>
      </c>
      <c r="D272" s="6">
        <v>-32.334024896265561</v>
      </c>
      <c r="E272" s="6">
        <f>_xlfn.STDEV.P($C$3:$C$484)</f>
        <v>7.3254546814403687</v>
      </c>
      <c r="F272" s="6">
        <v>-20</v>
      </c>
      <c r="G272" s="6">
        <v>-42</v>
      </c>
      <c r="H272" s="6">
        <v>7609.4</v>
      </c>
      <c r="I272" s="7">
        <v>5.3</v>
      </c>
    </row>
    <row r="273" spans="2:9" x14ac:dyDescent="0.25">
      <c r="B273" s="5">
        <v>271</v>
      </c>
      <c r="C273" s="6">
        <v>-30</v>
      </c>
      <c r="D273" s="6">
        <v>-32.334024896265561</v>
      </c>
      <c r="E273" s="6">
        <f>_xlfn.STDEV.P($C$3:$C$484)</f>
        <v>7.3254546814403687</v>
      </c>
      <c r="F273" s="6">
        <v>-20</v>
      </c>
      <c r="G273" s="6">
        <v>-42</v>
      </c>
      <c r="H273" s="6">
        <v>7618.7</v>
      </c>
      <c r="I273" s="7">
        <v>9.3000000000000007</v>
      </c>
    </row>
    <row r="274" spans="2:9" x14ac:dyDescent="0.25">
      <c r="B274" s="5">
        <v>272</v>
      </c>
      <c r="C274" s="6">
        <v>-29</v>
      </c>
      <c r="D274" s="6">
        <v>-32.334024896265561</v>
      </c>
      <c r="E274" s="6">
        <f>_xlfn.STDEV.P($C$3:$C$484)</f>
        <v>7.3254546814403687</v>
      </c>
      <c r="F274" s="6">
        <v>-20</v>
      </c>
      <c r="G274" s="6">
        <v>-42</v>
      </c>
      <c r="H274" s="6">
        <v>7626.3</v>
      </c>
      <c r="I274" s="7">
        <v>7.6</v>
      </c>
    </row>
    <row r="275" spans="2:9" x14ac:dyDescent="0.25">
      <c r="B275" s="5">
        <v>273</v>
      </c>
      <c r="C275" s="6">
        <v>-25</v>
      </c>
      <c r="D275" s="6">
        <v>-32.334024896265561</v>
      </c>
      <c r="E275" s="6">
        <f>_xlfn.STDEV.P($C$3:$C$484)</f>
        <v>7.3254546814403687</v>
      </c>
      <c r="F275" s="6">
        <v>-20</v>
      </c>
      <c r="G275" s="6">
        <v>-42</v>
      </c>
      <c r="H275" s="6">
        <v>7653.1</v>
      </c>
      <c r="I275" s="7">
        <v>26.8</v>
      </c>
    </row>
    <row r="276" spans="2:9" x14ac:dyDescent="0.25">
      <c r="B276" s="5">
        <v>274</v>
      </c>
      <c r="C276" s="6">
        <v>-31</v>
      </c>
      <c r="D276" s="6">
        <v>-32.334024896265561</v>
      </c>
      <c r="E276" s="6">
        <f>_xlfn.STDEV.P($C$3:$C$484)</f>
        <v>7.3254546814403687</v>
      </c>
      <c r="F276" s="6">
        <v>-20</v>
      </c>
      <c r="G276" s="6">
        <v>-42</v>
      </c>
      <c r="H276" s="6">
        <v>7656.8</v>
      </c>
      <c r="I276" s="7">
        <v>3.7</v>
      </c>
    </row>
    <row r="277" spans="2:9" x14ac:dyDescent="0.25">
      <c r="B277" s="5">
        <v>275</v>
      </c>
      <c r="C277" s="6">
        <v>-30</v>
      </c>
      <c r="D277" s="6">
        <v>-32.334024896265561</v>
      </c>
      <c r="E277" s="6">
        <f>_xlfn.STDEV.P($C$3:$C$484)</f>
        <v>7.3254546814403687</v>
      </c>
      <c r="F277" s="6">
        <v>-20</v>
      </c>
      <c r="G277" s="6">
        <v>-42</v>
      </c>
      <c r="H277" s="6">
        <v>7683.9</v>
      </c>
      <c r="I277" s="7">
        <v>27.1</v>
      </c>
    </row>
    <row r="278" spans="2:9" x14ac:dyDescent="0.25">
      <c r="B278" s="5">
        <v>276</v>
      </c>
      <c r="C278" s="6">
        <v>-30</v>
      </c>
      <c r="D278" s="6">
        <v>-32.334024896265561</v>
      </c>
      <c r="E278" s="6">
        <f>_xlfn.STDEV.P($C$3:$C$484)</f>
        <v>7.3254546814403687</v>
      </c>
      <c r="F278" s="6">
        <v>-20</v>
      </c>
      <c r="G278" s="6">
        <v>-42</v>
      </c>
      <c r="H278" s="6">
        <v>7715</v>
      </c>
      <c r="I278" s="7">
        <v>31.1</v>
      </c>
    </row>
    <row r="279" spans="2:9" x14ac:dyDescent="0.25">
      <c r="B279" s="5">
        <v>277</v>
      </c>
      <c r="C279" s="6">
        <v>-30</v>
      </c>
      <c r="D279" s="6">
        <v>-32.334024896265561</v>
      </c>
      <c r="E279" s="6">
        <f>_xlfn.STDEV.P($C$3:$C$484)</f>
        <v>7.3254546814403687</v>
      </c>
      <c r="F279" s="6">
        <v>-20</v>
      </c>
      <c r="G279" s="6">
        <v>-42</v>
      </c>
      <c r="H279" s="6">
        <v>7786.8</v>
      </c>
      <c r="I279" s="7">
        <v>71.8</v>
      </c>
    </row>
    <row r="280" spans="2:9" x14ac:dyDescent="0.25">
      <c r="B280" s="5">
        <v>278</v>
      </c>
      <c r="C280" s="6">
        <v>-40</v>
      </c>
      <c r="D280" s="6">
        <v>-32.334024896265561</v>
      </c>
      <c r="E280" s="6">
        <f>_xlfn.STDEV.P($C$3:$C$484)</f>
        <v>7.3254546814403687</v>
      </c>
      <c r="F280" s="6">
        <v>-20</v>
      </c>
      <c r="G280" s="6">
        <v>-42</v>
      </c>
      <c r="H280" s="6">
        <v>7809.1</v>
      </c>
      <c r="I280" s="7">
        <v>22.3</v>
      </c>
    </row>
    <row r="281" spans="2:9" x14ac:dyDescent="0.25">
      <c r="B281" s="5">
        <v>279</v>
      </c>
      <c r="C281" s="6">
        <v>-40</v>
      </c>
      <c r="D281" s="6">
        <v>-32.334024896265561</v>
      </c>
      <c r="E281" s="6">
        <f>_xlfn.STDEV.P($C$3:$C$484)</f>
        <v>7.3254546814403687</v>
      </c>
      <c r="F281" s="6">
        <v>-20</v>
      </c>
      <c r="G281" s="6">
        <v>-42</v>
      </c>
      <c r="H281" s="6">
        <v>7809.2</v>
      </c>
      <c r="I281" s="7">
        <v>0.1</v>
      </c>
    </row>
    <row r="282" spans="2:9" x14ac:dyDescent="0.25">
      <c r="B282" s="5">
        <v>280</v>
      </c>
      <c r="C282" s="6">
        <v>-30</v>
      </c>
      <c r="D282" s="6">
        <v>-32.334024896265561</v>
      </c>
      <c r="E282" s="6">
        <f>_xlfn.STDEV.P($C$3:$C$484)</f>
        <v>7.3254546814403687</v>
      </c>
      <c r="F282" s="6">
        <v>-20</v>
      </c>
      <c r="G282" s="6">
        <v>-42</v>
      </c>
      <c r="H282" s="6">
        <v>7811.8</v>
      </c>
      <c r="I282" s="7">
        <v>2.6</v>
      </c>
    </row>
    <row r="283" spans="2:9" x14ac:dyDescent="0.25">
      <c r="B283" s="5">
        <v>281</v>
      </c>
      <c r="C283" s="6">
        <v>-33</v>
      </c>
      <c r="D283" s="6">
        <v>-32.334024896265561</v>
      </c>
      <c r="E283" s="6">
        <f>_xlfn.STDEV.P($C$3:$C$484)</f>
        <v>7.3254546814403687</v>
      </c>
      <c r="F283" s="6">
        <v>-20</v>
      </c>
      <c r="G283" s="6">
        <v>-42</v>
      </c>
      <c r="H283" s="6">
        <v>7864.2</v>
      </c>
      <c r="I283" s="7">
        <v>52.4</v>
      </c>
    </row>
    <row r="284" spans="2:9" x14ac:dyDescent="0.25">
      <c r="B284" s="5">
        <v>282</v>
      </c>
      <c r="C284" s="6">
        <v>-35</v>
      </c>
      <c r="D284" s="6">
        <v>-32.334024896265561</v>
      </c>
      <c r="E284" s="6">
        <f>_xlfn.STDEV.P($C$3:$C$484)</f>
        <v>7.3254546814403687</v>
      </c>
      <c r="F284" s="6">
        <v>-20</v>
      </c>
      <c r="G284" s="6">
        <v>-42</v>
      </c>
      <c r="H284" s="6">
        <v>7867.4</v>
      </c>
      <c r="I284" s="7">
        <v>3.2</v>
      </c>
    </row>
    <row r="285" spans="2:9" x14ac:dyDescent="0.25">
      <c r="B285" s="5">
        <v>283</v>
      </c>
      <c r="C285" s="6">
        <v>-32</v>
      </c>
      <c r="D285" s="6">
        <v>-32.334024896265561</v>
      </c>
      <c r="E285" s="6">
        <f>_xlfn.STDEV.P($C$3:$C$484)</f>
        <v>7.3254546814403687</v>
      </c>
      <c r="F285" s="6">
        <v>-20</v>
      </c>
      <c r="G285" s="6">
        <v>-42</v>
      </c>
      <c r="H285" s="6">
        <v>7982.4</v>
      </c>
      <c r="I285" s="7">
        <v>115</v>
      </c>
    </row>
    <row r="286" spans="2:9" x14ac:dyDescent="0.25">
      <c r="B286" s="5">
        <v>284</v>
      </c>
      <c r="C286" s="6">
        <v>-30</v>
      </c>
      <c r="D286" s="6">
        <v>-32.334024896265561</v>
      </c>
      <c r="E286" s="6">
        <f>_xlfn.STDEV.P($C$3:$C$484)</f>
        <v>7.3254546814403687</v>
      </c>
      <c r="F286" s="6">
        <v>-20</v>
      </c>
      <c r="G286" s="6">
        <v>-42</v>
      </c>
      <c r="H286" s="6">
        <v>8031.3</v>
      </c>
      <c r="I286" s="7">
        <v>48.9</v>
      </c>
    </row>
    <row r="287" spans="2:9" x14ac:dyDescent="0.25">
      <c r="B287" s="5">
        <v>285</v>
      </c>
      <c r="C287" s="6">
        <v>-35</v>
      </c>
      <c r="D287" s="6">
        <v>-32.334024896265561</v>
      </c>
      <c r="E287" s="6">
        <f>_xlfn.STDEV.P($C$3:$C$484)</f>
        <v>7.3254546814403687</v>
      </c>
      <c r="F287" s="6">
        <v>-20</v>
      </c>
      <c r="G287" s="6">
        <v>-42</v>
      </c>
      <c r="H287" s="6">
        <v>8036.4</v>
      </c>
      <c r="I287" s="7">
        <v>5.0999999999999996</v>
      </c>
    </row>
    <row r="288" spans="2:9" x14ac:dyDescent="0.25">
      <c r="B288" s="5">
        <v>286</v>
      </c>
      <c r="C288" s="6">
        <v>-40</v>
      </c>
      <c r="D288" s="6">
        <v>-32.334024896265561</v>
      </c>
      <c r="E288" s="6">
        <f>_xlfn.STDEV.P($C$3:$C$484)</f>
        <v>7.3254546814403687</v>
      </c>
      <c r="F288" s="6">
        <v>-20</v>
      </c>
      <c r="G288" s="6">
        <v>-42</v>
      </c>
      <c r="H288" s="6">
        <v>8044.8</v>
      </c>
      <c r="I288" s="7">
        <v>8.4</v>
      </c>
    </row>
    <row r="289" spans="2:9" x14ac:dyDescent="0.25">
      <c r="B289" s="5">
        <v>287</v>
      </c>
      <c r="C289" s="6">
        <v>-40</v>
      </c>
      <c r="D289" s="6">
        <v>-32.334024896265561</v>
      </c>
      <c r="E289" s="6">
        <f>_xlfn.STDEV.P($C$3:$C$484)</f>
        <v>7.3254546814403687</v>
      </c>
      <c r="F289" s="6">
        <v>-20</v>
      </c>
      <c r="G289" s="6">
        <v>-42</v>
      </c>
      <c r="H289" s="6">
        <v>8078.6</v>
      </c>
      <c r="I289" s="7">
        <v>33.799999999999997</v>
      </c>
    </row>
    <row r="290" spans="2:9" x14ac:dyDescent="0.25">
      <c r="B290" s="5">
        <v>288</v>
      </c>
      <c r="C290" s="6">
        <v>-30</v>
      </c>
      <c r="D290" s="6">
        <v>-32.334024896265561</v>
      </c>
      <c r="E290" s="6">
        <f>_xlfn.STDEV.P($C$3:$C$484)</f>
        <v>7.3254546814403687</v>
      </c>
      <c r="F290" s="6">
        <v>-20</v>
      </c>
      <c r="G290" s="6">
        <v>-42</v>
      </c>
      <c r="H290" s="6">
        <v>8122.1</v>
      </c>
      <c r="I290" s="7">
        <v>43.5</v>
      </c>
    </row>
    <row r="291" spans="2:9" x14ac:dyDescent="0.25">
      <c r="B291" s="5">
        <v>289</v>
      </c>
      <c r="C291" s="6">
        <v>-35</v>
      </c>
      <c r="D291" s="6">
        <v>-32.334024896265561</v>
      </c>
      <c r="E291" s="6">
        <f>_xlfn.STDEV.P($C$3:$C$484)</f>
        <v>7.3254546814403687</v>
      </c>
      <c r="F291" s="6">
        <v>-20</v>
      </c>
      <c r="G291" s="6">
        <v>-42</v>
      </c>
      <c r="H291" s="6">
        <v>8129.9</v>
      </c>
      <c r="I291" s="7">
        <v>7.8</v>
      </c>
    </row>
    <row r="292" spans="2:9" x14ac:dyDescent="0.25">
      <c r="B292" s="5">
        <v>290</v>
      </c>
      <c r="C292" s="6">
        <v>-28</v>
      </c>
      <c r="D292" s="6">
        <v>-32.334024896265561</v>
      </c>
      <c r="E292" s="6">
        <f>_xlfn.STDEV.P($C$3:$C$484)</f>
        <v>7.3254546814403687</v>
      </c>
      <c r="F292" s="6">
        <v>-20</v>
      </c>
      <c r="G292" s="6">
        <v>-42</v>
      </c>
      <c r="H292" s="6">
        <v>8133.5</v>
      </c>
      <c r="I292" s="7">
        <v>3.6</v>
      </c>
    </row>
    <row r="293" spans="2:9" x14ac:dyDescent="0.25">
      <c r="B293" s="5">
        <v>291</v>
      </c>
      <c r="C293" s="6">
        <v>-32</v>
      </c>
      <c r="D293" s="6">
        <v>-32.334024896265561</v>
      </c>
      <c r="E293" s="6">
        <f>_xlfn.STDEV.P($C$3:$C$484)</f>
        <v>7.3254546814403687</v>
      </c>
      <c r="F293" s="6">
        <v>-20</v>
      </c>
      <c r="G293" s="6">
        <v>-42</v>
      </c>
      <c r="H293" s="6">
        <v>8241.2999999999993</v>
      </c>
      <c r="I293" s="7">
        <v>107.8</v>
      </c>
    </row>
    <row r="294" spans="2:9" x14ac:dyDescent="0.25">
      <c r="B294" s="5">
        <v>292</v>
      </c>
      <c r="C294" s="6">
        <v>-33</v>
      </c>
      <c r="D294" s="6">
        <v>-32.334024896265561</v>
      </c>
      <c r="E294" s="6">
        <f>_xlfn.STDEV.P($C$3:$C$484)</f>
        <v>7.3254546814403687</v>
      </c>
      <c r="F294" s="6">
        <v>-20</v>
      </c>
      <c r="G294" s="6">
        <v>-42</v>
      </c>
      <c r="H294" s="6">
        <v>8246.1</v>
      </c>
      <c r="I294" s="7">
        <v>4.8</v>
      </c>
    </row>
    <row r="295" spans="2:9" x14ac:dyDescent="0.25">
      <c r="B295" s="5">
        <v>293</v>
      </c>
      <c r="C295" s="6">
        <v>-28</v>
      </c>
      <c r="D295" s="6">
        <v>-32.334024896265561</v>
      </c>
      <c r="E295" s="6">
        <f>_xlfn.STDEV.P($C$3:$C$484)</f>
        <v>7.3254546814403687</v>
      </c>
      <c r="F295" s="6">
        <v>-20</v>
      </c>
      <c r="G295" s="6">
        <v>-42</v>
      </c>
      <c r="H295" s="6">
        <v>8307.9</v>
      </c>
      <c r="I295" s="7">
        <v>61.8</v>
      </c>
    </row>
    <row r="296" spans="2:9" x14ac:dyDescent="0.25">
      <c r="B296" s="5">
        <v>294</v>
      </c>
      <c r="C296" s="6">
        <v>-30</v>
      </c>
      <c r="D296" s="6">
        <v>-32.334024896265561</v>
      </c>
      <c r="E296" s="6">
        <f>_xlfn.STDEV.P($C$3:$C$484)</f>
        <v>7.3254546814403687</v>
      </c>
      <c r="F296" s="6">
        <v>-20</v>
      </c>
      <c r="G296" s="6">
        <v>-42</v>
      </c>
      <c r="H296" s="6">
        <v>8319.4</v>
      </c>
      <c r="I296" s="7">
        <v>11.5</v>
      </c>
    </row>
    <row r="297" spans="2:9" x14ac:dyDescent="0.25">
      <c r="B297" s="5">
        <v>295</v>
      </c>
      <c r="C297" s="6">
        <v>-35</v>
      </c>
      <c r="D297" s="6">
        <v>-32.334024896265561</v>
      </c>
      <c r="E297" s="6">
        <f>_xlfn.STDEV.P($C$3:$C$484)</f>
        <v>7.3254546814403687</v>
      </c>
      <c r="F297" s="6">
        <v>-20</v>
      </c>
      <c r="G297" s="6">
        <v>-42</v>
      </c>
      <c r="H297" s="6">
        <v>8338.1</v>
      </c>
      <c r="I297" s="7">
        <v>18.7</v>
      </c>
    </row>
    <row r="298" spans="2:9" x14ac:dyDescent="0.25">
      <c r="B298" s="5">
        <v>296</v>
      </c>
      <c r="C298" s="6">
        <v>-30</v>
      </c>
      <c r="D298" s="6">
        <v>-32.334024896265561</v>
      </c>
      <c r="E298" s="6">
        <f>_xlfn.STDEV.P($C$3:$C$484)</f>
        <v>7.3254546814403687</v>
      </c>
      <c r="F298" s="6">
        <v>-20</v>
      </c>
      <c r="G298" s="6">
        <v>-42</v>
      </c>
      <c r="H298" s="6">
        <v>8358.7999999999993</v>
      </c>
      <c r="I298" s="7">
        <v>20.7</v>
      </c>
    </row>
    <row r="299" spans="2:9" x14ac:dyDescent="0.25">
      <c r="B299" s="5">
        <v>297</v>
      </c>
      <c r="C299" s="6">
        <v>-35</v>
      </c>
      <c r="D299" s="6">
        <v>-32.334024896265561</v>
      </c>
      <c r="E299" s="6">
        <f>_xlfn.STDEV.P($C$3:$C$484)</f>
        <v>7.3254546814403687</v>
      </c>
      <c r="F299" s="6">
        <v>-20</v>
      </c>
      <c r="G299" s="6">
        <v>-42</v>
      </c>
      <c r="H299" s="6">
        <v>8385.7999999999993</v>
      </c>
      <c r="I299" s="7">
        <v>27</v>
      </c>
    </row>
    <row r="300" spans="2:9" x14ac:dyDescent="0.25">
      <c r="B300" s="5">
        <v>298</v>
      </c>
      <c r="C300" s="6">
        <v>-30</v>
      </c>
      <c r="D300" s="6">
        <v>-32.334024896265561</v>
      </c>
      <c r="E300" s="6">
        <f>_xlfn.STDEV.P($C$3:$C$484)</f>
        <v>7.3254546814403687</v>
      </c>
      <c r="F300" s="6">
        <v>-20</v>
      </c>
      <c r="G300" s="6">
        <v>-42</v>
      </c>
      <c r="H300" s="6">
        <v>8398.9</v>
      </c>
      <c r="I300" s="7">
        <v>13.1</v>
      </c>
    </row>
    <row r="301" spans="2:9" x14ac:dyDescent="0.25">
      <c r="B301" s="5">
        <v>299</v>
      </c>
      <c r="C301" s="6">
        <v>-30</v>
      </c>
      <c r="D301" s="6">
        <v>-32.334024896265561</v>
      </c>
      <c r="E301" s="6">
        <f>_xlfn.STDEV.P($C$3:$C$484)</f>
        <v>7.3254546814403687</v>
      </c>
      <c r="F301" s="6">
        <v>-20</v>
      </c>
      <c r="G301" s="6">
        <v>-42</v>
      </c>
      <c r="H301" s="6">
        <v>8479.4</v>
      </c>
      <c r="I301" s="7">
        <v>80.5</v>
      </c>
    </row>
    <row r="302" spans="2:9" x14ac:dyDescent="0.25">
      <c r="B302" s="5">
        <v>300</v>
      </c>
      <c r="C302" s="6">
        <v>-30</v>
      </c>
      <c r="D302" s="6">
        <v>-32.334024896265561</v>
      </c>
      <c r="E302" s="6">
        <f>_xlfn.STDEV.P($C$3:$C$484)</f>
        <v>7.3254546814403687</v>
      </c>
      <c r="F302" s="6">
        <v>-20</v>
      </c>
      <c r="G302" s="6">
        <v>-42</v>
      </c>
      <c r="H302" s="6">
        <v>8484</v>
      </c>
      <c r="I302" s="7">
        <v>4.5999999999999996</v>
      </c>
    </row>
    <row r="303" spans="2:9" x14ac:dyDescent="0.25">
      <c r="B303" s="5">
        <v>301</v>
      </c>
      <c r="C303" s="6">
        <v>-35</v>
      </c>
      <c r="D303" s="6">
        <v>-32.334024896265561</v>
      </c>
      <c r="E303" s="6">
        <f>_xlfn.STDEV.P($C$3:$C$484)</f>
        <v>7.3254546814403687</v>
      </c>
      <c r="F303" s="6">
        <v>-20</v>
      </c>
      <c r="G303" s="6">
        <v>-42</v>
      </c>
      <c r="H303" s="6">
        <v>8490.7000000000007</v>
      </c>
      <c r="I303" s="7">
        <v>6.7</v>
      </c>
    </row>
    <row r="304" spans="2:9" x14ac:dyDescent="0.25">
      <c r="B304" s="5">
        <v>302</v>
      </c>
      <c r="C304" s="6">
        <v>-35</v>
      </c>
      <c r="D304" s="6">
        <v>-32.334024896265561</v>
      </c>
      <c r="E304" s="6">
        <f>_xlfn.STDEV.P($C$3:$C$484)</f>
        <v>7.3254546814403687</v>
      </c>
      <c r="F304" s="6">
        <v>-20</v>
      </c>
      <c r="G304" s="6">
        <v>-42</v>
      </c>
      <c r="H304" s="6">
        <v>8525</v>
      </c>
      <c r="I304" s="7">
        <v>34.299999999999997</v>
      </c>
    </row>
    <row r="305" spans="2:9" x14ac:dyDescent="0.25">
      <c r="B305" s="5">
        <v>303</v>
      </c>
      <c r="C305" s="6">
        <v>-35</v>
      </c>
      <c r="D305" s="6">
        <v>-32.334024896265561</v>
      </c>
      <c r="E305" s="6">
        <f>_xlfn.STDEV.P($C$3:$C$484)</f>
        <v>7.3254546814403687</v>
      </c>
      <c r="F305" s="6">
        <v>-20</v>
      </c>
      <c r="G305" s="6">
        <v>-42</v>
      </c>
      <c r="H305" s="6">
        <v>8606.2999999999993</v>
      </c>
      <c r="I305" s="7">
        <v>81.3</v>
      </c>
    </row>
    <row r="306" spans="2:9" x14ac:dyDescent="0.25">
      <c r="B306" s="5">
        <v>304</v>
      </c>
      <c r="C306" s="6">
        <v>-30</v>
      </c>
      <c r="D306" s="6">
        <v>-32.334024896265561</v>
      </c>
      <c r="E306" s="6">
        <f>_xlfn.STDEV.P($C$3:$C$484)</f>
        <v>7.3254546814403687</v>
      </c>
      <c r="F306" s="6">
        <v>-20</v>
      </c>
      <c r="G306" s="6">
        <v>-42</v>
      </c>
      <c r="H306" s="6">
        <v>8607.9</v>
      </c>
      <c r="I306" s="7">
        <v>1.6</v>
      </c>
    </row>
    <row r="307" spans="2:9" x14ac:dyDescent="0.25">
      <c r="B307" s="5">
        <v>305</v>
      </c>
      <c r="C307" s="6">
        <v>-30</v>
      </c>
      <c r="D307" s="6">
        <v>-32.334024896265561</v>
      </c>
      <c r="E307" s="6">
        <f>_xlfn.STDEV.P($C$3:$C$484)</f>
        <v>7.3254546814403687</v>
      </c>
      <c r="F307" s="6">
        <v>-20</v>
      </c>
      <c r="G307" s="6">
        <v>-42</v>
      </c>
      <c r="H307" s="6">
        <v>8764.9</v>
      </c>
      <c r="I307" s="7">
        <v>157</v>
      </c>
    </row>
    <row r="308" spans="2:9" x14ac:dyDescent="0.25">
      <c r="B308" s="5">
        <v>306</v>
      </c>
      <c r="C308" s="6">
        <v>-25</v>
      </c>
      <c r="D308" s="6">
        <v>-32.334024896265561</v>
      </c>
      <c r="E308" s="6">
        <f>_xlfn.STDEV.P($C$3:$C$484)</f>
        <v>7.3254546814403687</v>
      </c>
      <c r="F308" s="6">
        <v>-20</v>
      </c>
      <c r="G308" s="6">
        <v>-42</v>
      </c>
      <c r="H308" s="6">
        <v>8790.7000000000007</v>
      </c>
      <c r="I308" s="7">
        <v>25.8</v>
      </c>
    </row>
    <row r="309" spans="2:9" x14ac:dyDescent="0.25">
      <c r="B309" s="5">
        <v>307</v>
      </c>
      <c r="C309" s="6">
        <v>-15</v>
      </c>
      <c r="D309" s="6">
        <v>-32.334024896265561</v>
      </c>
      <c r="E309" s="6">
        <f>_xlfn.STDEV.P($C$3:$C$484)</f>
        <v>7.3254546814403687</v>
      </c>
      <c r="F309" s="6">
        <v>-20</v>
      </c>
      <c r="G309" s="6">
        <v>-42</v>
      </c>
      <c r="H309" s="6">
        <v>8824.1</v>
      </c>
      <c r="I309" s="7">
        <v>33.4</v>
      </c>
    </row>
    <row r="310" spans="2:9" x14ac:dyDescent="0.25">
      <c r="B310" s="5">
        <v>308</v>
      </c>
      <c r="C310" s="6">
        <v>-24</v>
      </c>
      <c r="D310" s="6">
        <v>-32.334024896265561</v>
      </c>
      <c r="E310" s="6">
        <f>_xlfn.STDEV.P($C$3:$C$484)</f>
        <v>7.3254546814403687</v>
      </c>
      <c r="F310" s="6">
        <v>-20</v>
      </c>
      <c r="G310" s="6">
        <v>-42</v>
      </c>
      <c r="H310" s="6">
        <v>8829.7000000000007</v>
      </c>
      <c r="I310" s="7">
        <v>5.6</v>
      </c>
    </row>
    <row r="311" spans="2:9" x14ac:dyDescent="0.25">
      <c r="B311" s="5">
        <v>309</v>
      </c>
      <c r="C311" s="6">
        <v>-20</v>
      </c>
      <c r="D311" s="6">
        <v>-32.334024896265561</v>
      </c>
      <c r="E311" s="6">
        <f>_xlfn.STDEV.P($C$3:$C$484)</f>
        <v>7.3254546814403687</v>
      </c>
      <c r="F311" s="6">
        <v>-20</v>
      </c>
      <c r="G311" s="6">
        <v>-42</v>
      </c>
      <c r="H311" s="6">
        <v>8846.1</v>
      </c>
      <c r="I311" s="7">
        <v>16.399999999999999</v>
      </c>
    </row>
    <row r="312" spans="2:9" x14ac:dyDescent="0.25">
      <c r="B312" s="5">
        <v>310</v>
      </c>
      <c r="C312" s="6">
        <v>-25</v>
      </c>
      <c r="D312" s="6">
        <v>-32.334024896265561</v>
      </c>
      <c r="E312" s="6">
        <f>_xlfn.STDEV.P($C$3:$C$484)</f>
        <v>7.3254546814403687</v>
      </c>
      <c r="F312" s="6">
        <v>-20</v>
      </c>
      <c r="G312" s="6">
        <v>-42</v>
      </c>
      <c r="H312" s="6">
        <v>8850.1</v>
      </c>
      <c r="I312" s="7">
        <v>4</v>
      </c>
    </row>
    <row r="313" spans="2:9" x14ac:dyDescent="0.25">
      <c r="B313" s="5">
        <v>311</v>
      </c>
      <c r="C313" s="6">
        <v>-25</v>
      </c>
      <c r="D313" s="6">
        <v>-32.334024896265561</v>
      </c>
      <c r="E313" s="6">
        <f>_xlfn.STDEV.P($C$3:$C$484)</f>
        <v>7.3254546814403687</v>
      </c>
      <c r="F313" s="6">
        <v>-20</v>
      </c>
      <c r="G313" s="6">
        <v>-42</v>
      </c>
      <c r="H313" s="6">
        <v>8883.2000000000007</v>
      </c>
      <c r="I313" s="7">
        <v>33.1</v>
      </c>
    </row>
    <row r="314" spans="2:9" x14ac:dyDescent="0.25">
      <c r="B314" s="5">
        <v>312</v>
      </c>
      <c r="C314" s="6">
        <v>-28</v>
      </c>
      <c r="D314" s="6">
        <v>-32.334024896265561</v>
      </c>
      <c r="E314" s="6">
        <f>_xlfn.STDEV.P($C$3:$C$484)</f>
        <v>7.3254546814403687</v>
      </c>
      <c r="F314" s="6">
        <v>-20</v>
      </c>
      <c r="G314" s="6">
        <v>-42</v>
      </c>
      <c r="H314" s="6">
        <v>8883.7999999999993</v>
      </c>
      <c r="I314" s="7">
        <v>0.6</v>
      </c>
    </row>
    <row r="315" spans="2:9" x14ac:dyDescent="0.25">
      <c r="B315" s="5">
        <v>313</v>
      </c>
      <c r="C315" s="6">
        <v>-30</v>
      </c>
      <c r="D315" s="6">
        <v>-32.334024896265561</v>
      </c>
      <c r="E315" s="6">
        <f>_xlfn.STDEV.P($C$3:$C$484)</f>
        <v>7.3254546814403687</v>
      </c>
      <c r="F315" s="6">
        <v>-20</v>
      </c>
      <c r="G315" s="6">
        <v>-42</v>
      </c>
      <c r="H315" s="6">
        <v>8885.1</v>
      </c>
      <c r="I315" s="7">
        <v>1.3</v>
      </c>
    </row>
    <row r="316" spans="2:9" x14ac:dyDescent="0.25">
      <c r="B316" s="5">
        <v>314</v>
      </c>
      <c r="C316" s="6">
        <v>-30</v>
      </c>
      <c r="D316" s="6">
        <v>-32.334024896265561</v>
      </c>
      <c r="E316" s="6">
        <f>_xlfn.STDEV.P($C$3:$C$484)</f>
        <v>7.3254546814403687</v>
      </c>
      <c r="F316" s="6">
        <v>-20</v>
      </c>
      <c r="G316" s="6">
        <v>-42</v>
      </c>
      <c r="H316" s="6">
        <v>8946.1</v>
      </c>
      <c r="I316" s="7">
        <v>61</v>
      </c>
    </row>
    <row r="317" spans="2:9" x14ac:dyDescent="0.25">
      <c r="B317" s="5">
        <v>315</v>
      </c>
      <c r="C317" s="6">
        <v>-20</v>
      </c>
      <c r="D317" s="6">
        <v>-32.334024896265561</v>
      </c>
      <c r="E317" s="6">
        <f>_xlfn.STDEV.P($C$3:$C$484)</f>
        <v>7.3254546814403687</v>
      </c>
      <c r="F317" s="6">
        <v>-20</v>
      </c>
      <c r="G317" s="6">
        <v>-42</v>
      </c>
      <c r="H317" s="6">
        <v>8946.2000000000007</v>
      </c>
      <c r="I317" s="7">
        <v>0.1</v>
      </c>
    </row>
    <row r="318" spans="2:9" x14ac:dyDescent="0.25">
      <c r="B318" s="5">
        <v>316</v>
      </c>
      <c r="C318" s="6">
        <v>-30</v>
      </c>
      <c r="D318" s="6">
        <v>-32.334024896265561</v>
      </c>
      <c r="E318" s="6">
        <f>_xlfn.STDEV.P($C$3:$C$484)</f>
        <v>7.3254546814403687</v>
      </c>
      <c r="F318" s="6">
        <v>-20</v>
      </c>
      <c r="G318" s="6">
        <v>-42</v>
      </c>
      <c r="H318" s="6">
        <v>8955.9</v>
      </c>
      <c r="I318" s="7">
        <v>9.6999999999999993</v>
      </c>
    </row>
    <row r="319" spans="2:9" x14ac:dyDescent="0.25">
      <c r="B319" s="5">
        <v>317</v>
      </c>
      <c r="C319" s="6">
        <v>-24</v>
      </c>
      <c r="D319" s="6">
        <v>-32.334024896265561</v>
      </c>
      <c r="E319" s="6">
        <f>_xlfn.STDEV.P($C$3:$C$484)</f>
        <v>7.3254546814403687</v>
      </c>
      <c r="F319" s="6">
        <v>-20</v>
      </c>
      <c r="G319" s="6">
        <v>-42</v>
      </c>
      <c r="H319" s="6">
        <v>8987.7999999999993</v>
      </c>
      <c r="I319" s="7">
        <v>31.9</v>
      </c>
    </row>
    <row r="320" spans="2:9" x14ac:dyDescent="0.25">
      <c r="B320" s="5">
        <v>318</v>
      </c>
      <c r="C320" s="6">
        <v>-30</v>
      </c>
      <c r="D320" s="6">
        <v>-32.334024896265561</v>
      </c>
      <c r="E320" s="6">
        <f>_xlfn.STDEV.P($C$3:$C$484)</f>
        <v>7.3254546814403687</v>
      </c>
      <c r="F320" s="6">
        <v>-20</v>
      </c>
      <c r="G320" s="6">
        <v>-42</v>
      </c>
      <c r="H320" s="6">
        <v>9003.1</v>
      </c>
      <c r="I320" s="7">
        <v>15.3</v>
      </c>
    </row>
    <row r="321" spans="2:9" x14ac:dyDescent="0.25">
      <c r="B321" s="5">
        <v>319</v>
      </c>
      <c r="C321" s="6">
        <v>-30</v>
      </c>
      <c r="D321" s="6">
        <v>-32.334024896265561</v>
      </c>
      <c r="E321" s="6">
        <f>_xlfn.STDEV.P($C$3:$C$484)</f>
        <v>7.3254546814403687</v>
      </c>
      <c r="F321" s="6">
        <v>-20</v>
      </c>
      <c r="G321" s="6">
        <v>-42</v>
      </c>
      <c r="H321" s="6">
        <v>9020.5</v>
      </c>
      <c r="I321" s="7">
        <v>17.399999999999999</v>
      </c>
    </row>
    <row r="322" spans="2:9" x14ac:dyDescent="0.25">
      <c r="B322" s="5">
        <v>320</v>
      </c>
      <c r="C322" s="6">
        <v>-32</v>
      </c>
      <c r="D322" s="6">
        <v>-32.334024896265561</v>
      </c>
      <c r="E322" s="6">
        <f>_xlfn.STDEV.P($C$3:$C$484)</f>
        <v>7.3254546814403687</v>
      </c>
      <c r="F322" s="6">
        <v>-20</v>
      </c>
      <c r="G322" s="6">
        <v>-42</v>
      </c>
      <c r="H322" s="6">
        <v>9030.5</v>
      </c>
      <c r="I322" s="7">
        <v>10</v>
      </c>
    </row>
    <row r="323" spans="2:9" x14ac:dyDescent="0.25">
      <c r="B323" s="5">
        <v>321</v>
      </c>
      <c r="C323" s="6">
        <v>-35</v>
      </c>
      <c r="D323" s="6">
        <v>-32.334024896265561</v>
      </c>
      <c r="E323" s="6">
        <f>_xlfn.STDEV.P($C$3:$C$484)</f>
        <v>7.3254546814403687</v>
      </c>
      <c r="F323" s="6">
        <v>-20</v>
      </c>
      <c r="G323" s="6">
        <v>-42</v>
      </c>
      <c r="H323" s="6">
        <v>9071.1</v>
      </c>
      <c r="I323" s="7">
        <v>40.6</v>
      </c>
    </row>
    <row r="324" spans="2:9" x14ac:dyDescent="0.25">
      <c r="B324" s="5">
        <v>322</v>
      </c>
      <c r="C324" s="6">
        <v>-40</v>
      </c>
      <c r="D324" s="6">
        <v>-32.334024896265561</v>
      </c>
      <c r="E324" s="6">
        <f>_xlfn.STDEV.P($C$3:$C$484)</f>
        <v>7.3254546814403687</v>
      </c>
      <c r="F324" s="6">
        <v>-20</v>
      </c>
      <c r="G324" s="6">
        <v>-42</v>
      </c>
      <c r="H324" s="6">
        <v>9255.2999999999993</v>
      </c>
      <c r="I324" s="7">
        <v>184.2</v>
      </c>
    </row>
    <row r="325" spans="2:9" x14ac:dyDescent="0.25">
      <c r="B325" s="5">
        <v>323</v>
      </c>
      <c r="C325" s="6">
        <v>-30</v>
      </c>
      <c r="D325" s="6">
        <v>-32.334024896265561</v>
      </c>
      <c r="E325" s="6">
        <f>_xlfn.STDEV.P($C$3:$C$484)</f>
        <v>7.3254546814403687</v>
      </c>
      <c r="F325" s="6">
        <v>-20</v>
      </c>
      <c r="G325" s="6">
        <v>-42</v>
      </c>
      <c r="H325" s="6">
        <v>9296.6</v>
      </c>
      <c r="I325" s="7">
        <v>41.3</v>
      </c>
    </row>
    <row r="326" spans="2:9" x14ac:dyDescent="0.25">
      <c r="B326" s="5">
        <v>324</v>
      </c>
      <c r="C326" s="6">
        <v>-30</v>
      </c>
      <c r="D326" s="6">
        <v>-32.334024896265561</v>
      </c>
      <c r="E326" s="6">
        <f>_xlfn.STDEV.P($C$3:$C$484)</f>
        <v>7.3254546814403687</v>
      </c>
      <c r="F326" s="6">
        <v>-20</v>
      </c>
      <c r="G326" s="6">
        <v>-42</v>
      </c>
      <c r="H326" s="6">
        <v>9339</v>
      </c>
      <c r="I326" s="7">
        <v>42.4</v>
      </c>
    </row>
    <row r="327" spans="2:9" x14ac:dyDescent="0.25">
      <c r="B327" s="5">
        <v>325</v>
      </c>
      <c r="C327" s="6">
        <v>-27</v>
      </c>
      <c r="D327" s="6">
        <v>-32.334024896265561</v>
      </c>
      <c r="E327" s="6">
        <f>_xlfn.STDEV.P($C$3:$C$484)</f>
        <v>7.3254546814403687</v>
      </c>
      <c r="F327" s="6">
        <v>-20</v>
      </c>
      <c r="G327" s="6">
        <v>-42</v>
      </c>
      <c r="H327" s="6">
        <v>9345.2999999999993</v>
      </c>
      <c r="I327" s="7">
        <v>6.3</v>
      </c>
    </row>
    <row r="328" spans="2:9" x14ac:dyDescent="0.25">
      <c r="B328" s="5">
        <v>326</v>
      </c>
      <c r="C328" s="6">
        <v>-30</v>
      </c>
      <c r="D328" s="6">
        <v>-32.334024896265561</v>
      </c>
      <c r="E328" s="6">
        <f>_xlfn.STDEV.P($C$3:$C$484)</f>
        <v>7.3254546814403687</v>
      </c>
      <c r="F328" s="6">
        <v>-20</v>
      </c>
      <c r="G328" s="6">
        <v>-42</v>
      </c>
      <c r="H328" s="6">
        <v>9357.6</v>
      </c>
      <c r="I328" s="7">
        <v>12.3</v>
      </c>
    </row>
    <row r="329" spans="2:9" x14ac:dyDescent="0.25">
      <c r="B329" s="5">
        <v>327</v>
      </c>
      <c r="C329" s="6">
        <v>-25</v>
      </c>
      <c r="D329" s="6">
        <v>-32.334024896265561</v>
      </c>
      <c r="E329" s="6">
        <f>_xlfn.STDEV.P($C$3:$C$484)</f>
        <v>7.3254546814403687</v>
      </c>
      <c r="F329" s="6">
        <v>-20</v>
      </c>
      <c r="G329" s="6">
        <v>-42</v>
      </c>
      <c r="H329" s="6">
        <v>9388.2999999999993</v>
      </c>
      <c r="I329" s="7">
        <v>30.7</v>
      </c>
    </row>
    <row r="330" spans="2:9" x14ac:dyDescent="0.25">
      <c r="B330" s="5">
        <v>328</v>
      </c>
      <c r="C330" s="6">
        <v>-23</v>
      </c>
      <c r="D330" s="6">
        <v>-32.334024896265561</v>
      </c>
      <c r="E330" s="6">
        <f>_xlfn.STDEV.P($C$3:$C$484)</f>
        <v>7.3254546814403687</v>
      </c>
      <c r="F330" s="6">
        <v>-20</v>
      </c>
      <c r="G330" s="6">
        <v>-42</v>
      </c>
      <c r="H330" s="6">
        <v>9404.2999999999993</v>
      </c>
      <c r="I330" s="7">
        <v>16</v>
      </c>
    </row>
    <row r="331" spans="2:9" x14ac:dyDescent="0.25">
      <c r="B331" s="5">
        <v>329</v>
      </c>
      <c r="C331" s="6">
        <v>-25</v>
      </c>
      <c r="D331" s="6">
        <v>-32.334024896265561</v>
      </c>
      <c r="E331" s="6">
        <f>_xlfn.STDEV.P($C$3:$C$484)</f>
        <v>7.3254546814403687</v>
      </c>
      <c r="F331" s="6">
        <v>-20</v>
      </c>
      <c r="G331" s="6">
        <v>-42</v>
      </c>
      <c r="H331" s="6">
        <v>9500.7999999999993</v>
      </c>
      <c r="I331" s="7">
        <v>96.5</v>
      </c>
    </row>
    <row r="332" spans="2:9" x14ac:dyDescent="0.25">
      <c r="B332" s="5">
        <v>330</v>
      </c>
      <c r="C332" s="6">
        <v>-23</v>
      </c>
      <c r="D332" s="6">
        <v>-32.334024896265561</v>
      </c>
      <c r="E332" s="6">
        <f>_xlfn.STDEV.P($C$3:$C$484)</f>
        <v>7.3254546814403687</v>
      </c>
      <c r="F332" s="6">
        <v>-20</v>
      </c>
      <c r="G332" s="6">
        <v>-42</v>
      </c>
      <c r="H332" s="6">
        <v>9525</v>
      </c>
      <c r="I332" s="7">
        <v>24.2</v>
      </c>
    </row>
    <row r="333" spans="2:9" x14ac:dyDescent="0.25">
      <c r="B333" s="5">
        <v>331</v>
      </c>
      <c r="C333" s="6">
        <v>-25</v>
      </c>
      <c r="D333" s="6">
        <v>-32.334024896265561</v>
      </c>
      <c r="E333" s="6">
        <f>_xlfn.STDEV.P($C$3:$C$484)</f>
        <v>7.3254546814403687</v>
      </c>
      <c r="F333" s="6">
        <v>-20</v>
      </c>
      <c r="G333" s="6">
        <v>-42</v>
      </c>
      <c r="H333" s="6">
        <v>9535.6</v>
      </c>
      <c r="I333" s="7">
        <v>10.6</v>
      </c>
    </row>
    <row r="334" spans="2:9" x14ac:dyDescent="0.25">
      <c r="B334" s="5">
        <v>332</v>
      </c>
      <c r="C334" s="6">
        <v>-25</v>
      </c>
      <c r="D334" s="6">
        <v>-32.334024896265561</v>
      </c>
      <c r="E334" s="6">
        <f>_xlfn.STDEV.P($C$3:$C$484)</f>
        <v>7.3254546814403687</v>
      </c>
      <c r="F334" s="6">
        <v>-20</v>
      </c>
      <c r="G334" s="6">
        <v>-42</v>
      </c>
      <c r="H334" s="6">
        <v>9555.7999999999993</v>
      </c>
      <c r="I334" s="7">
        <v>20.2</v>
      </c>
    </row>
    <row r="335" spans="2:9" x14ac:dyDescent="0.25">
      <c r="B335" s="5">
        <v>333</v>
      </c>
      <c r="C335" s="6">
        <v>-28</v>
      </c>
      <c r="D335" s="6">
        <v>-32.334024896265561</v>
      </c>
      <c r="E335" s="6">
        <f>_xlfn.STDEV.P($C$3:$C$484)</f>
        <v>7.3254546814403687</v>
      </c>
      <c r="F335" s="6">
        <v>-20</v>
      </c>
      <c r="G335" s="6">
        <v>-42</v>
      </c>
      <c r="H335" s="6">
        <v>9602</v>
      </c>
      <c r="I335" s="7">
        <v>46.2</v>
      </c>
    </row>
    <row r="336" spans="2:9" x14ac:dyDescent="0.25">
      <c r="B336" s="5">
        <v>334</v>
      </c>
      <c r="C336" s="6">
        <v>-35</v>
      </c>
      <c r="D336" s="6">
        <v>-32.334024896265561</v>
      </c>
      <c r="E336" s="6">
        <f>_xlfn.STDEV.P($C$3:$C$484)</f>
        <v>7.3254546814403687</v>
      </c>
      <c r="F336" s="6">
        <v>-20</v>
      </c>
      <c r="G336" s="6">
        <v>-42</v>
      </c>
      <c r="H336" s="6">
        <v>9614.2999999999993</v>
      </c>
      <c r="I336" s="7">
        <v>12.3</v>
      </c>
    </row>
    <row r="337" spans="2:9" x14ac:dyDescent="0.25">
      <c r="B337" s="5">
        <v>335</v>
      </c>
      <c r="C337" s="6">
        <v>-30</v>
      </c>
      <c r="D337" s="6">
        <v>-32.334024896265561</v>
      </c>
      <c r="E337" s="6">
        <f>_xlfn.STDEV.P($C$3:$C$484)</f>
        <v>7.3254546814403687</v>
      </c>
      <c r="F337" s="6">
        <v>-20</v>
      </c>
      <c r="G337" s="6">
        <v>-42</v>
      </c>
      <c r="H337" s="6">
        <v>9672.2000000000007</v>
      </c>
      <c r="I337" s="7">
        <v>57.9</v>
      </c>
    </row>
    <row r="338" spans="2:9" x14ac:dyDescent="0.25">
      <c r="B338" s="5">
        <v>336</v>
      </c>
      <c r="C338" s="6">
        <v>-32</v>
      </c>
      <c r="D338" s="6">
        <v>-32.334024896265561</v>
      </c>
      <c r="E338" s="6">
        <f>_xlfn.STDEV.P($C$3:$C$484)</f>
        <v>7.3254546814403687</v>
      </c>
      <c r="F338" s="6">
        <v>-20</v>
      </c>
      <c r="G338" s="6">
        <v>-42</v>
      </c>
      <c r="H338" s="6">
        <v>9689.7000000000007</v>
      </c>
      <c r="I338" s="7">
        <v>17.5</v>
      </c>
    </row>
    <row r="339" spans="2:9" x14ac:dyDescent="0.25">
      <c r="B339" s="5">
        <v>337</v>
      </c>
      <c r="C339" s="6">
        <v>-17</v>
      </c>
      <c r="D339" s="6">
        <v>-32.334024896265561</v>
      </c>
      <c r="E339" s="6">
        <f>_xlfn.STDEV.P($C$3:$C$484)</f>
        <v>7.3254546814403687</v>
      </c>
      <c r="F339" s="6">
        <v>-20</v>
      </c>
      <c r="G339" s="6">
        <v>-42</v>
      </c>
      <c r="H339" s="6">
        <v>9759.4</v>
      </c>
      <c r="I339" s="7">
        <v>69.7</v>
      </c>
    </row>
    <row r="340" spans="2:9" x14ac:dyDescent="0.25">
      <c r="B340" s="5">
        <v>338</v>
      </c>
      <c r="C340" s="6">
        <v>-40</v>
      </c>
      <c r="D340" s="6">
        <v>-32.334024896265561</v>
      </c>
      <c r="E340" s="6">
        <f>_xlfn.STDEV.P($C$3:$C$484)</f>
        <v>7.3254546814403687</v>
      </c>
      <c r="F340" s="6">
        <v>-20</v>
      </c>
      <c r="G340" s="6">
        <v>-42</v>
      </c>
      <c r="H340" s="6">
        <v>9759.6</v>
      </c>
      <c r="I340" s="7">
        <v>0.2</v>
      </c>
    </row>
    <row r="341" spans="2:9" x14ac:dyDescent="0.25">
      <c r="B341" s="5">
        <v>339</v>
      </c>
      <c r="C341" s="6">
        <v>-28</v>
      </c>
      <c r="D341" s="6">
        <v>-32.334024896265561</v>
      </c>
      <c r="E341" s="6">
        <f>_xlfn.STDEV.P($C$3:$C$484)</f>
        <v>7.3254546814403687</v>
      </c>
      <c r="F341" s="6">
        <v>-20</v>
      </c>
      <c r="G341" s="6">
        <v>-42</v>
      </c>
      <c r="H341" s="6">
        <v>9768.4</v>
      </c>
      <c r="I341" s="7">
        <v>8.8000000000000007</v>
      </c>
    </row>
    <row r="342" spans="2:9" x14ac:dyDescent="0.25">
      <c r="B342" s="5">
        <v>340</v>
      </c>
      <c r="C342" s="6">
        <v>-35</v>
      </c>
      <c r="D342" s="6">
        <v>-32.334024896265561</v>
      </c>
      <c r="E342" s="6">
        <f>_xlfn.STDEV.P($C$3:$C$484)</f>
        <v>7.3254546814403687</v>
      </c>
      <c r="F342" s="6">
        <v>-20</v>
      </c>
      <c r="G342" s="6">
        <v>-42</v>
      </c>
      <c r="H342" s="6">
        <v>9924.9</v>
      </c>
      <c r="I342" s="7">
        <v>156.5</v>
      </c>
    </row>
    <row r="343" spans="2:9" x14ac:dyDescent="0.25">
      <c r="B343" s="5">
        <v>341</v>
      </c>
      <c r="C343" s="6">
        <v>-35</v>
      </c>
      <c r="D343" s="6">
        <v>-32.334024896265561</v>
      </c>
      <c r="E343" s="6">
        <f>_xlfn.STDEV.P($C$3:$C$484)</f>
        <v>7.3254546814403687</v>
      </c>
      <c r="F343" s="6">
        <v>-20</v>
      </c>
      <c r="G343" s="6">
        <v>-42</v>
      </c>
      <c r="H343" s="6">
        <v>9933.2000000000007</v>
      </c>
      <c r="I343" s="7">
        <v>8.3000000000000007</v>
      </c>
    </row>
    <row r="344" spans="2:9" x14ac:dyDescent="0.25">
      <c r="B344" s="5">
        <v>342</v>
      </c>
      <c r="C344" s="6">
        <v>-28</v>
      </c>
      <c r="D344" s="6">
        <v>-32.334024896265561</v>
      </c>
      <c r="E344" s="6">
        <f>_xlfn.STDEV.P($C$3:$C$484)</f>
        <v>7.3254546814403687</v>
      </c>
      <c r="F344" s="6">
        <v>-20</v>
      </c>
      <c r="G344" s="6">
        <v>-42</v>
      </c>
      <c r="H344" s="6">
        <v>10035.299999999999</v>
      </c>
      <c r="I344" s="7">
        <v>102.1</v>
      </c>
    </row>
    <row r="345" spans="2:9" x14ac:dyDescent="0.25">
      <c r="B345" s="5">
        <v>343</v>
      </c>
      <c r="C345" s="6">
        <v>-25</v>
      </c>
      <c r="D345" s="6">
        <v>-32.334024896265561</v>
      </c>
      <c r="E345" s="6">
        <f>_xlfn.STDEV.P($C$3:$C$484)</f>
        <v>7.3254546814403687</v>
      </c>
      <c r="F345" s="6">
        <v>-20</v>
      </c>
      <c r="G345" s="6">
        <v>-42</v>
      </c>
      <c r="H345" s="6">
        <v>10168.5</v>
      </c>
      <c r="I345" s="7">
        <v>133.19999999999999</v>
      </c>
    </row>
    <row r="346" spans="2:9" x14ac:dyDescent="0.25">
      <c r="B346" s="5">
        <v>344</v>
      </c>
      <c r="C346" s="6">
        <v>-35</v>
      </c>
      <c r="D346" s="6">
        <v>-32.334024896265561</v>
      </c>
      <c r="E346" s="6">
        <f>_xlfn.STDEV.P($C$3:$C$484)</f>
        <v>7.3254546814403687</v>
      </c>
      <c r="F346" s="6">
        <v>-20</v>
      </c>
      <c r="G346" s="6">
        <v>-42</v>
      </c>
      <c r="H346" s="6">
        <v>10174.299999999999</v>
      </c>
      <c r="I346" s="7">
        <v>5.8</v>
      </c>
    </row>
    <row r="347" spans="2:9" x14ac:dyDescent="0.25">
      <c r="B347" s="5">
        <v>345</v>
      </c>
      <c r="C347" s="6">
        <v>-25</v>
      </c>
      <c r="D347" s="6">
        <v>-32.334024896265561</v>
      </c>
      <c r="E347" s="6">
        <f>_xlfn.STDEV.P($C$3:$C$484)</f>
        <v>7.3254546814403687</v>
      </c>
      <c r="F347" s="6">
        <v>-20</v>
      </c>
      <c r="G347" s="6">
        <v>-42</v>
      </c>
      <c r="H347" s="6">
        <v>10196.9</v>
      </c>
      <c r="I347" s="7">
        <v>22.6</v>
      </c>
    </row>
    <row r="348" spans="2:9" x14ac:dyDescent="0.25">
      <c r="B348" s="5">
        <v>346</v>
      </c>
      <c r="C348" s="6">
        <v>-22</v>
      </c>
      <c r="D348" s="6">
        <v>-32.334024896265561</v>
      </c>
      <c r="E348" s="6">
        <f>_xlfn.STDEV.P($C$3:$C$484)</f>
        <v>7.3254546814403687</v>
      </c>
      <c r="F348" s="6">
        <v>-20</v>
      </c>
      <c r="G348" s="6">
        <v>-42</v>
      </c>
      <c r="H348" s="6">
        <v>10200.9</v>
      </c>
      <c r="I348" s="7">
        <v>4</v>
      </c>
    </row>
    <row r="349" spans="2:9" x14ac:dyDescent="0.25">
      <c r="B349" s="5">
        <v>347</v>
      </c>
      <c r="C349" s="6">
        <v>-25</v>
      </c>
      <c r="D349" s="6">
        <v>-32.334024896265561</v>
      </c>
      <c r="E349" s="6">
        <f>_xlfn.STDEV.P($C$3:$C$484)</f>
        <v>7.3254546814403687</v>
      </c>
      <c r="F349" s="6">
        <v>-20</v>
      </c>
      <c r="G349" s="6">
        <v>-42</v>
      </c>
      <c r="H349" s="6">
        <v>10216.6</v>
      </c>
      <c r="I349" s="7">
        <v>15.7</v>
      </c>
    </row>
    <row r="350" spans="2:9" x14ac:dyDescent="0.25">
      <c r="B350" s="5">
        <v>348</v>
      </c>
      <c r="C350" s="6">
        <v>-30</v>
      </c>
      <c r="D350" s="6">
        <v>-32.334024896265561</v>
      </c>
      <c r="E350" s="6">
        <f>_xlfn.STDEV.P($C$3:$C$484)</f>
        <v>7.3254546814403687</v>
      </c>
      <c r="F350" s="6">
        <v>-20</v>
      </c>
      <c r="G350" s="6">
        <v>-42</v>
      </c>
      <c r="H350" s="6">
        <v>10228.1</v>
      </c>
      <c r="I350" s="7">
        <v>11.5</v>
      </c>
    </row>
    <row r="351" spans="2:9" x14ac:dyDescent="0.25">
      <c r="B351" s="5">
        <v>349</v>
      </c>
      <c r="C351" s="6">
        <v>-25</v>
      </c>
      <c r="D351" s="6">
        <v>-32.334024896265561</v>
      </c>
      <c r="E351" s="6">
        <f>_xlfn.STDEV.P($C$3:$C$484)</f>
        <v>7.3254546814403687</v>
      </c>
      <c r="F351" s="6">
        <v>-20</v>
      </c>
      <c r="G351" s="6">
        <v>-42</v>
      </c>
      <c r="H351" s="6">
        <v>10248.4</v>
      </c>
      <c r="I351" s="7">
        <v>20.3</v>
      </c>
    </row>
    <row r="352" spans="2:9" x14ac:dyDescent="0.25">
      <c r="B352" s="5">
        <v>350</v>
      </c>
      <c r="C352" s="6">
        <v>-25</v>
      </c>
      <c r="D352" s="6">
        <v>-32.334024896265561</v>
      </c>
      <c r="E352" s="6">
        <f>_xlfn.STDEV.P($C$3:$C$484)</f>
        <v>7.3254546814403687</v>
      </c>
      <c r="F352" s="6">
        <v>-20</v>
      </c>
      <c r="G352" s="6">
        <v>-42</v>
      </c>
      <c r="H352" s="6">
        <v>10261.799999999999</v>
      </c>
      <c r="I352" s="7">
        <v>13.4</v>
      </c>
    </row>
    <row r="353" spans="2:9" x14ac:dyDescent="0.25">
      <c r="B353" s="5">
        <v>351</v>
      </c>
      <c r="C353" s="6">
        <v>-30</v>
      </c>
      <c r="D353" s="6">
        <v>-32.334024896265561</v>
      </c>
      <c r="E353" s="6">
        <f>_xlfn.STDEV.P($C$3:$C$484)</f>
        <v>7.3254546814403687</v>
      </c>
      <c r="F353" s="6">
        <v>-20</v>
      </c>
      <c r="G353" s="6">
        <v>-42</v>
      </c>
      <c r="H353" s="6">
        <v>10279.4</v>
      </c>
      <c r="I353" s="7">
        <v>17.600000000000001</v>
      </c>
    </row>
    <row r="354" spans="2:9" x14ac:dyDescent="0.25">
      <c r="B354" s="5">
        <v>352</v>
      </c>
      <c r="C354" s="6">
        <v>-28</v>
      </c>
      <c r="D354" s="6">
        <v>-32.334024896265561</v>
      </c>
      <c r="E354" s="6">
        <f>_xlfn.STDEV.P($C$3:$C$484)</f>
        <v>7.3254546814403687</v>
      </c>
      <c r="F354" s="6">
        <v>-20</v>
      </c>
      <c r="G354" s="6">
        <v>-42</v>
      </c>
      <c r="H354" s="6">
        <v>10296.799999999999</v>
      </c>
      <c r="I354" s="7">
        <v>17.399999999999999</v>
      </c>
    </row>
    <row r="355" spans="2:9" x14ac:dyDescent="0.25">
      <c r="B355" s="5">
        <v>353</v>
      </c>
      <c r="C355" s="6">
        <v>-40</v>
      </c>
      <c r="D355" s="6">
        <v>-32.334024896265561</v>
      </c>
      <c r="E355" s="6">
        <f>_xlfn.STDEV.P($C$3:$C$484)</f>
        <v>7.3254546814403687</v>
      </c>
      <c r="F355" s="6">
        <v>-20</v>
      </c>
      <c r="G355" s="6">
        <v>-42</v>
      </c>
      <c r="H355" s="6">
        <v>10303.6</v>
      </c>
      <c r="I355" s="7">
        <v>6.8</v>
      </c>
    </row>
    <row r="356" spans="2:9" x14ac:dyDescent="0.25">
      <c r="B356" s="5">
        <v>354</v>
      </c>
      <c r="C356" s="6">
        <v>-40</v>
      </c>
      <c r="D356" s="6">
        <v>-32.334024896265561</v>
      </c>
      <c r="E356" s="6">
        <f>_xlfn.STDEV.P($C$3:$C$484)</f>
        <v>7.3254546814403687</v>
      </c>
      <c r="F356" s="6">
        <v>-20</v>
      </c>
      <c r="G356" s="6">
        <v>-42</v>
      </c>
      <c r="H356" s="6">
        <v>10315.4</v>
      </c>
      <c r="I356" s="7">
        <v>11.8</v>
      </c>
    </row>
    <row r="357" spans="2:9" x14ac:dyDescent="0.25">
      <c r="B357" s="5">
        <v>355</v>
      </c>
      <c r="C357" s="6">
        <v>-50</v>
      </c>
      <c r="D357" s="6">
        <v>-32.334024896265561</v>
      </c>
      <c r="E357" s="6">
        <f>_xlfn.STDEV.P($C$3:$C$484)</f>
        <v>7.3254546814403687</v>
      </c>
      <c r="F357" s="6">
        <v>-20</v>
      </c>
      <c r="G357" s="6">
        <v>-42</v>
      </c>
      <c r="H357" s="6">
        <v>10329.200000000001</v>
      </c>
      <c r="I357" s="7">
        <v>13.8</v>
      </c>
    </row>
    <row r="358" spans="2:9" x14ac:dyDescent="0.25">
      <c r="B358" s="5">
        <v>356</v>
      </c>
      <c r="C358" s="6">
        <v>-40</v>
      </c>
      <c r="D358" s="6">
        <v>-32.334024896265561</v>
      </c>
      <c r="E358" s="6">
        <f>_xlfn.STDEV.P($C$3:$C$484)</f>
        <v>7.3254546814403687</v>
      </c>
      <c r="F358" s="6">
        <v>-20</v>
      </c>
      <c r="G358" s="6">
        <v>-42</v>
      </c>
      <c r="H358" s="6">
        <v>10366.1</v>
      </c>
      <c r="I358" s="7">
        <v>36.9</v>
      </c>
    </row>
    <row r="359" spans="2:9" x14ac:dyDescent="0.25">
      <c r="B359" s="5">
        <v>357</v>
      </c>
      <c r="C359" s="6">
        <v>-30</v>
      </c>
      <c r="D359" s="6">
        <v>-32.334024896265561</v>
      </c>
      <c r="E359" s="6">
        <f>_xlfn.STDEV.P($C$3:$C$484)</f>
        <v>7.3254546814403687</v>
      </c>
      <c r="F359" s="6">
        <v>-20</v>
      </c>
      <c r="G359" s="6">
        <v>-42</v>
      </c>
      <c r="H359" s="6">
        <v>10407.6</v>
      </c>
      <c r="I359" s="7">
        <v>41.5</v>
      </c>
    </row>
    <row r="360" spans="2:9" x14ac:dyDescent="0.25">
      <c r="B360" s="5">
        <v>358</v>
      </c>
      <c r="C360" s="6">
        <v>-40</v>
      </c>
      <c r="D360" s="6">
        <v>-32.334024896265561</v>
      </c>
      <c r="E360" s="6">
        <f>_xlfn.STDEV.P($C$3:$C$484)</f>
        <v>7.3254546814403687</v>
      </c>
      <c r="F360" s="6">
        <v>-20</v>
      </c>
      <c r="G360" s="6">
        <v>-42</v>
      </c>
      <c r="H360" s="6">
        <v>10430.799999999999</v>
      </c>
      <c r="I360" s="7">
        <v>23.2</v>
      </c>
    </row>
    <row r="361" spans="2:9" x14ac:dyDescent="0.25">
      <c r="B361" s="5">
        <v>359</v>
      </c>
      <c r="C361" s="6">
        <v>-35</v>
      </c>
      <c r="D361" s="6">
        <v>-32.334024896265561</v>
      </c>
      <c r="E361" s="6">
        <f>_xlfn.STDEV.P($C$3:$C$484)</f>
        <v>7.3254546814403687</v>
      </c>
      <c r="F361" s="6">
        <v>-20</v>
      </c>
      <c r="G361" s="6">
        <v>-42</v>
      </c>
      <c r="H361" s="6">
        <v>10460.6</v>
      </c>
      <c r="I361" s="7">
        <v>29.8</v>
      </c>
    </row>
    <row r="362" spans="2:9" x14ac:dyDescent="0.25">
      <c r="B362" s="5">
        <v>360</v>
      </c>
      <c r="C362" s="6">
        <v>-35</v>
      </c>
      <c r="D362" s="6">
        <v>-32.334024896265561</v>
      </c>
      <c r="E362" s="6">
        <f>_xlfn.STDEV.P($C$3:$C$484)</f>
        <v>7.3254546814403687</v>
      </c>
      <c r="F362" s="6">
        <v>-20</v>
      </c>
      <c r="G362" s="6">
        <v>-42</v>
      </c>
      <c r="H362" s="6">
        <v>10511.5</v>
      </c>
      <c r="I362" s="7">
        <v>50.9</v>
      </c>
    </row>
    <row r="363" spans="2:9" x14ac:dyDescent="0.25">
      <c r="B363" s="5">
        <v>361</v>
      </c>
      <c r="C363" s="6">
        <v>-30</v>
      </c>
      <c r="D363" s="6">
        <v>-32.334024896265561</v>
      </c>
      <c r="E363" s="6">
        <f>_xlfn.STDEV.P($C$3:$C$484)</f>
        <v>7.3254546814403687</v>
      </c>
      <c r="F363" s="6">
        <v>-20</v>
      </c>
      <c r="G363" s="6">
        <v>-42</v>
      </c>
      <c r="H363" s="6">
        <v>10517.8</v>
      </c>
      <c r="I363" s="7">
        <v>6.3</v>
      </c>
    </row>
    <row r="364" spans="2:9" x14ac:dyDescent="0.25">
      <c r="B364" s="5">
        <v>362</v>
      </c>
      <c r="C364" s="6">
        <v>-30</v>
      </c>
      <c r="D364" s="6">
        <v>-32.334024896265561</v>
      </c>
      <c r="E364" s="6">
        <f>_xlfn.STDEV.P($C$3:$C$484)</f>
        <v>7.3254546814403687</v>
      </c>
      <c r="F364" s="6">
        <v>-20</v>
      </c>
      <c r="G364" s="6">
        <v>-42</v>
      </c>
      <c r="H364" s="6">
        <v>10709.5</v>
      </c>
      <c r="I364" s="7">
        <v>191.7</v>
      </c>
    </row>
    <row r="365" spans="2:9" x14ac:dyDescent="0.25">
      <c r="B365" s="5">
        <v>363</v>
      </c>
      <c r="C365" s="6">
        <v>-35</v>
      </c>
      <c r="D365" s="6">
        <v>-32.334024896265561</v>
      </c>
      <c r="E365" s="6">
        <f>_xlfn.STDEV.P($C$3:$C$484)</f>
        <v>7.3254546814403687</v>
      </c>
      <c r="F365" s="6">
        <v>-20</v>
      </c>
      <c r="G365" s="6">
        <v>-42</v>
      </c>
      <c r="H365" s="6">
        <v>10722.7</v>
      </c>
      <c r="I365" s="7">
        <v>13.2</v>
      </c>
    </row>
    <row r="366" spans="2:9" x14ac:dyDescent="0.25">
      <c r="B366" s="5">
        <v>364</v>
      </c>
      <c r="C366" s="6">
        <v>-38</v>
      </c>
      <c r="D366" s="6">
        <v>-32.334024896265561</v>
      </c>
      <c r="E366" s="6">
        <f>_xlfn.STDEV.P($C$3:$C$484)</f>
        <v>7.3254546814403687</v>
      </c>
      <c r="F366" s="6">
        <v>-20</v>
      </c>
      <c r="G366" s="6">
        <v>-42</v>
      </c>
      <c r="H366" s="6">
        <v>10790.4</v>
      </c>
      <c r="I366" s="7">
        <v>67.7</v>
      </c>
    </row>
    <row r="367" spans="2:9" x14ac:dyDescent="0.25">
      <c r="B367" s="5">
        <v>365</v>
      </c>
      <c r="C367" s="6">
        <v>-36</v>
      </c>
      <c r="D367" s="6">
        <v>-32.334024896265561</v>
      </c>
      <c r="E367" s="6">
        <f>_xlfn.STDEV.P($C$3:$C$484)</f>
        <v>7.3254546814403687</v>
      </c>
      <c r="F367" s="6">
        <v>-20</v>
      </c>
      <c r="G367" s="6">
        <v>-42</v>
      </c>
      <c r="H367" s="6">
        <v>10795.4</v>
      </c>
      <c r="I367" s="7">
        <v>5</v>
      </c>
    </row>
    <row r="368" spans="2:9" x14ac:dyDescent="0.25">
      <c r="B368" s="5">
        <v>366</v>
      </c>
      <c r="C368" s="6">
        <v>-36</v>
      </c>
      <c r="D368" s="6">
        <v>-32.334024896265561</v>
      </c>
      <c r="E368" s="6">
        <f>_xlfn.STDEV.P($C$3:$C$484)</f>
        <v>7.3254546814403687</v>
      </c>
      <c r="F368" s="6">
        <v>-20</v>
      </c>
      <c r="G368" s="6">
        <v>-42</v>
      </c>
      <c r="H368" s="6">
        <v>10800.3</v>
      </c>
      <c r="I368" s="7">
        <v>4.9000000000000004</v>
      </c>
    </row>
    <row r="369" spans="2:9" x14ac:dyDescent="0.25">
      <c r="B369" s="5">
        <v>367</v>
      </c>
      <c r="C369" s="6">
        <v>-28</v>
      </c>
      <c r="D369" s="6">
        <v>-32.334024896265561</v>
      </c>
      <c r="E369" s="6">
        <f>_xlfn.STDEV.P($C$3:$C$484)</f>
        <v>7.3254546814403687</v>
      </c>
      <c r="F369" s="6">
        <v>-20</v>
      </c>
      <c r="G369" s="6">
        <v>-42</v>
      </c>
      <c r="H369" s="6">
        <v>11023.6</v>
      </c>
      <c r="I369" s="7">
        <v>223.3</v>
      </c>
    </row>
    <row r="370" spans="2:9" x14ac:dyDescent="0.25">
      <c r="B370" s="5">
        <v>368</v>
      </c>
      <c r="C370" s="6">
        <v>-30</v>
      </c>
      <c r="D370" s="6">
        <v>-32.334024896265561</v>
      </c>
      <c r="E370" s="6">
        <f>_xlfn.STDEV.P($C$3:$C$484)</f>
        <v>7.3254546814403687</v>
      </c>
      <c r="F370" s="6">
        <v>-20</v>
      </c>
      <c r="G370" s="6">
        <v>-42</v>
      </c>
      <c r="H370" s="6">
        <v>11031.9</v>
      </c>
      <c r="I370" s="7">
        <v>8.3000000000000007</v>
      </c>
    </row>
    <row r="371" spans="2:9" x14ac:dyDescent="0.25">
      <c r="B371" s="5">
        <v>369</v>
      </c>
      <c r="C371" s="6">
        <v>-33</v>
      </c>
      <c r="D371" s="6">
        <v>-32.334024896265561</v>
      </c>
      <c r="E371" s="6">
        <f>_xlfn.STDEV.P($C$3:$C$484)</f>
        <v>7.3254546814403687</v>
      </c>
      <c r="F371" s="6">
        <v>-20</v>
      </c>
      <c r="G371" s="6">
        <v>-42</v>
      </c>
      <c r="H371" s="6">
        <v>11044.1</v>
      </c>
      <c r="I371" s="7">
        <v>12.2</v>
      </c>
    </row>
    <row r="372" spans="2:9" x14ac:dyDescent="0.25">
      <c r="B372" s="5">
        <v>370</v>
      </c>
      <c r="C372" s="6">
        <v>-31</v>
      </c>
      <c r="D372" s="6">
        <v>-32.334024896265561</v>
      </c>
      <c r="E372" s="6">
        <f>_xlfn.STDEV.P($C$3:$C$484)</f>
        <v>7.3254546814403687</v>
      </c>
      <c r="F372" s="6">
        <v>-20</v>
      </c>
      <c r="G372" s="6">
        <v>-42</v>
      </c>
      <c r="H372" s="6">
        <v>11066.5</v>
      </c>
      <c r="I372" s="7">
        <v>22.4</v>
      </c>
    </row>
    <row r="373" spans="2:9" x14ac:dyDescent="0.25">
      <c r="B373" s="5">
        <v>371</v>
      </c>
      <c r="C373" s="6">
        <v>-30</v>
      </c>
      <c r="D373" s="6">
        <v>-32.334024896265561</v>
      </c>
      <c r="E373" s="6">
        <f>_xlfn.STDEV.P($C$3:$C$484)</f>
        <v>7.3254546814403687</v>
      </c>
      <c r="F373" s="6">
        <v>-20</v>
      </c>
      <c r="G373" s="6">
        <v>-42</v>
      </c>
      <c r="H373" s="6">
        <v>11101.4</v>
      </c>
      <c r="I373" s="7">
        <v>34.9</v>
      </c>
    </row>
    <row r="374" spans="2:9" x14ac:dyDescent="0.25">
      <c r="B374" s="5">
        <v>372</v>
      </c>
      <c r="C374" s="6">
        <v>-25</v>
      </c>
      <c r="D374" s="6">
        <v>-32.334024896265561</v>
      </c>
      <c r="E374" s="6">
        <f>_xlfn.STDEV.P($C$3:$C$484)</f>
        <v>7.3254546814403687</v>
      </c>
      <c r="F374" s="6">
        <v>-20</v>
      </c>
      <c r="G374" s="6">
        <v>-42</v>
      </c>
      <c r="H374" s="6">
        <v>11121.2</v>
      </c>
      <c r="I374" s="7">
        <v>19.8</v>
      </c>
    </row>
    <row r="375" spans="2:9" x14ac:dyDescent="0.25">
      <c r="B375" s="5">
        <v>373</v>
      </c>
      <c r="C375" s="6">
        <v>-30</v>
      </c>
      <c r="D375" s="6">
        <v>-32.334024896265561</v>
      </c>
      <c r="E375" s="6">
        <f>_xlfn.STDEV.P($C$3:$C$484)</f>
        <v>7.3254546814403687</v>
      </c>
      <c r="F375" s="6">
        <v>-20</v>
      </c>
      <c r="G375" s="6">
        <v>-42</v>
      </c>
      <c r="H375" s="6">
        <v>11124.6</v>
      </c>
      <c r="I375" s="7">
        <v>3.4</v>
      </c>
    </row>
    <row r="376" spans="2:9" x14ac:dyDescent="0.25">
      <c r="B376" s="5">
        <v>374</v>
      </c>
      <c r="C376" s="6">
        <v>-34</v>
      </c>
      <c r="D376" s="6">
        <v>-32.334024896265561</v>
      </c>
      <c r="E376" s="6">
        <f>_xlfn.STDEV.P($C$3:$C$484)</f>
        <v>7.3254546814403687</v>
      </c>
      <c r="F376" s="6">
        <v>-20</v>
      </c>
      <c r="G376" s="6">
        <v>-42</v>
      </c>
      <c r="H376" s="6">
        <v>11149.3</v>
      </c>
      <c r="I376" s="7">
        <v>24.7</v>
      </c>
    </row>
    <row r="377" spans="2:9" x14ac:dyDescent="0.25">
      <c r="B377" s="5">
        <v>375</v>
      </c>
      <c r="C377" s="6">
        <v>-35</v>
      </c>
      <c r="D377" s="6">
        <v>-32.334024896265561</v>
      </c>
      <c r="E377" s="6">
        <f>_xlfn.STDEV.P($C$3:$C$484)</f>
        <v>7.3254546814403687</v>
      </c>
      <c r="F377" s="6">
        <v>-20</v>
      </c>
      <c r="G377" s="6">
        <v>-42</v>
      </c>
      <c r="H377" s="6">
        <v>11164.2</v>
      </c>
      <c r="I377" s="7">
        <v>14.9</v>
      </c>
    </row>
    <row r="378" spans="2:9" x14ac:dyDescent="0.25">
      <c r="B378" s="5">
        <v>376</v>
      </c>
      <c r="C378" s="6">
        <v>-35</v>
      </c>
      <c r="D378" s="6">
        <v>-32.334024896265561</v>
      </c>
      <c r="E378" s="6">
        <f>_xlfn.STDEV.P($C$3:$C$484)</f>
        <v>7.3254546814403687</v>
      </c>
      <c r="F378" s="6">
        <v>-20</v>
      </c>
      <c r="G378" s="6">
        <v>-42</v>
      </c>
      <c r="H378" s="6">
        <v>11180.3</v>
      </c>
      <c r="I378" s="7">
        <v>16.100000000000001</v>
      </c>
    </row>
    <row r="379" spans="2:9" x14ac:dyDescent="0.25">
      <c r="B379" s="5">
        <v>377</v>
      </c>
      <c r="C379" s="6">
        <v>-28</v>
      </c>
      <c r="D379" s="6">
        <v>-32.334024896265561</v>
      </c>
      <c r="E379" s="6">
        <f>_xlfn.STDEV.P($C$3:$C$484)</f>
        <v>7.3254546814403687</v>
      </c>
      <c r="F379" s="6">
        <v>-20</v>
      </c>
      <c r="G379" s="6">
        <v>-42</v>
      </c>
      <c r="H379" s="6">
        <v>11188.8</v>
      </c>
      <c r="I379" s="7">
        <v>8.5</v>
      </c>
    </row>
    <row r="380" spans="2:9" x14ac:dyDescent="0.25">
      <c r="B380" s="5">
        <v>378</v>
      </c>
      <c r="C380" s="6">
        <v>-30</v>
      </c>
      <c r="D380" s="6">
        <v>-32.334024896265561</v>
      </c>
      <c r="E380" s="6">
        <f>_xlfn.STDEV.P($C$3:$C$484)</f>
        <v>7.3254546814403687</v>
      </c>
      <c r="F380" s="6">
        <v>-20</v>
      </c>
      <c r="G380" s="6">
        <v>-42</v>
      </c>
      <c r="H380" s="6">
        <v>11219.3</v>
      </c>
      <c r="I380" s="7">
        <v>30.5</v>
      </c>
    </row>
    <row r="381" spans="2:9" x14ac:dyDescent="0.25">
      <c r="B381" s="5">
        <v>379</v>
      </c>
      <c r="C381" s="6">
        <v>-20</v>
      </c>
      <c r="D381" s="6">
        <v>-32.334024896265561</v>
      </c>
      <c r="E381" s="6">
        <f>_xlfn.STDEV.P($C$3:$C$484)</f>
        <v>7.3254546814403687</v>
      </c>
      <c r="F381" s="6">
        <v>-20</v>
      </c>
      <c r="G381" s="6">
        <v>-42</v>
      </c>
      <c r="H381" s="6">
        <v>11222</v>
      </c>
      <c r="I381" s="7">
        <v>2.7</v>
      </c>
    </row>
    <row r="382" spans="2:9" x14ac:dyDescent="0.25">
      <c r="B382" s="5">
        <v>380</v>
      </c>
      <c r="C382" s="6">
        <v>-35</v>
      </c>
      <c r="D382" s="6">
        <v>-32.334024896265561</v>
      </c>
      <c r="E382" s="6">
        <f>_xlfn.STDEV.P($C$3:$C$484)</f>
        <v>7.3254546814403687</v>
      </c>
      <c r="F382" s="6">
        <v>-20</v>
      </c>
      <c r="G382" s="6">
        <v>-42</v>
      </c>
      <c r="H382" s="6">
        <v>11247.1</v>
      </c>
      <c r="I382" s="7">
        <v>25.1</v>
      </c>
    </row>
    <row r="383" spans="2:9" x14ac:dyDescent="0.25">
      <c r="B383" s="5">
        <v>381</v>
      </c>
      <c r="C383" s="6">
        <v>-34</v>
      </c>
      <c r="D383" s="6">
        <v>-32.334024896265561</v>
      </c>
      <c r="E383" s="6">
        <f>_xlfn.STDEV.P($C$3:$C$484)</f>
        <v>7.3254546814403687</v>
      </c>
      <c r="F383" s="6">
        <v>-20</v>
      </c>
      <c r="G383" s="6">
        <v>-42</v>
      </c>
      <c r="H383" s="6">
        <v>11344.7</v>
      </c>
      <c r="I383" s="7">
        <v>97.6</v>
      </c>
    </row>
    <row r="384" spans="2:9" x14ac:dyDescent="0.25">
      <c r="B384" s="5">
        <v>382</v>
      </c>
      <c r="C384" s="6">
        <v>-35</v>
      </c>
      <c r="D384" s="6">
        <v>-32.334024896265561</v>
      </c>
      <c r="E384" s="6">
        <f>_xlfn.STDEV.P($C$3:$C$484)</f>
        <v>7.3254546814403687</v>
      </c>
      <c r="F384" s="6">
        <v>-20</v>
      </c>
      <c r="G384" s="6">
        <v>-42</v>
      </c>
      <c r="H384" s="6">
        <v>11361.5</v>
      </c>
      <c r="I384" s="7">
        <v>16.8</v>
      </c>
    </row>
    <row r="385" spans="2:9" x14ac:dyDescent="0.25">
      <c r="B385" s="5">
        <v>383</v>
      </c>
      <c r="C385" s="6">
        <v>-32</v>
      </c>
      <c r="D385" s="6">
        <v>-32.334024896265561</v>
      </c>
      <c r="E385" s="6">
        <f>_xlfn.STDEV.P($C$3:$C$484)</f>
        <v>7.3254546814403687</v>
      </c>
      <c r="F385" s="6">
        <v>-20</v>
      </c>
      <c r="G385" s="6">
        <v>-42</v>
      </c>
      <c r="H385" s="6">
        <v>11369.7</v>
      </c>
      <c r="I385" s="7">
        <v>8.1999999999999993</v>
      </c>
    </row>
    <row r="386" spans="2:9" x14ac:dyDescent="0.25">
      <c r="B386" s="5">
        <v>384</v>
      </c>
      <c r="C386" s="6">
        <v>-33</v>
      </c>
      <c r="D386" s="6">
        <v>-32.334024896265561</v>
      </c>
      <c r="E386" s="6">
        <f>_xlfn.STDEV.P($C$3:$C$484)</f>
        <v>7.3254546814403687</v>
      </c>
      <c r="F386" s="6">
        <v>-20</v>
      </c>
      <c r="G386" s="6">
        <v>-42</v>
      </c>
      <c r="H386" s="6">
        <v>11384.4</v>
      </c>
      <c r="I386" s="7">
        <v>14.7</v>
      </c>
    </row>
    <row r="387" spans="2:9" x14ac:dyDescent="0.25">
      <c r="B387" s="5">
        <v>385</v>
      </c>
      <c r="C387" s="6">
        <v>-30</v>
      </c>
      <c r="D387" s="6">
        <v>-32.334024896265561</v>
      </c>
      <c r="E387" s="6">
        <f>_xlfn.STDEV.P($C$3:$C$484)</f>
        <v>7.3254546814403687</v>
      </c>
      <c r="F387" s="6">
        <v>-20</v>
      </c>
      <c r="G387" s="6">
        <v>-42</v>
      </c>
      <c r="H387" s="6">
        <v>11391.4</v>
      </c>
      <c r="I387" s="7">
        <v>7</v>
      </c>
    </row>
    <row r="388" spans="2:9" x14ac:dyDescent="0.25">
      <c r="B388" s="5">
        <v>386</v>
      </c>
      <c r="C388" s="6">
        <v>-35</v>
      </c>
      <c r="D388" s="6">
        <v>-32.334024896265561</v>
      </c>
      <c r="E388" s="6">
        <f>_xlfn.STDEV.P($C$3:$C$484)</f>
        <v>7.3254546814403687</v>
      </c>
      <c r="F388" s="6">
        <v>-20</v>
      </c>
      <c r="G388" s="6">
        <v>-42</v>
      </c>
      <c r="H388" s="6">
        <v>11404.4</v>
      </c>
      <c r="I388" s="7">
        <v>13</v>
      </c>
    </row>
    <row r="389" spans="2:9" x14ac:dyDescent="0.25">
      <c r="B389" s="5">
        <v>387</v>
      </c>
      <c r="C389" s="6">
        <v>-28</v>
      </c>
      <c r="D389" s="6">
        <v>-32.334024896265561</v>
      </c>
      <c r="E389" s="6">
        <f>_xlfn.STDEV.P($C$3:$C$484)</f>
        <v>7.3254546814403687</v>
      </c>
      <c r="F389" s="6">
        <v>-20</v>
      </c>
      <c r="G389" s="6">
        <v>-42</v>
      </c>
      <c r="H389" s="6">
        <v>11411.7</v>
      </c>
      <c r="I389" s="7">
        <v>7.3</v>
      </c>
    </row>
    <row r="390" spans="2:9" x14ac:dyDescent="0.25">
      <c r="B390" s="5">
        <v>388</v>
      </c>
      <c r="C390" s="6">
        <v>-25</v>
      </c>
      <c r="D390" s="6">
        <v>-32.334024896265561</v>
      </c>
      <c r="E390" s="6">
        <f>_xlfn.STDEV.P($C$3:$C$484)</f>
        <v>7.3254546814403687</v>
      </c>
      <c r="F390" s="6">
        <v>-20</v>
      </c>
      <c r="G390" s="6">
        <v>-42</v>
      </c>
      <c r="H390" s="6">
        <v>11420.8</v>
      </c>
      <c r="I390" s="7">
        <v>9.1</v>
      </c>
    </row>
    <row r="391" spans="2:9" x14ac:dyDescent="0.25">
      <c r="B391" s="5">
        <v>389</v>
      </c>
      <c r="C391" s="6">
        <v>-30</v>
      </c>
      <c r="D391" s="6">
        <v>-32.334024896265561</v>
      </c>
      <c r="E391" s="6">
        <f>_xlfn.STDEV.P($C$3:$C$484)</f>
        <v>7.3254546814403687</v>
      </c>
      <c r="F391" s="6">
        <v>-20</v>
      </c>
      <c r="G391" s="6">
        <v>-42</v>
      </c>
      <c r="H391" s="6">
        <v>11439.1</v>
      </c>
      <c r="I391" s="7">
        <v>18.3</v>
      </c>
    </row>
    <row r="392" spans="2:9" x14ac:dyDescent="0.25">
      <c r="B392" s="5">
        <v>390</v>
      </c>
      <c r="C392" s="6">
        <v>-28</v>
      </c>
      <c r="D392" s="6">
        <v>-32.334024896265561</v>
      </c>
      <c r="E392" s="6">
        <f>_xlfn.STDEV.P($C$3:$C$484)</f>
        <v>7.3254546814403687</v>
      </c>
      <c r="F392" s="6">
        <v>-20</v>
      </c>
      <c r="G392" s="6">
        <v>-42</v>
      </c>
      <c r="H392" s="6">
        <v>11442.3</v>
      </c>
      <c r="I392" s="7">
        <v>3.2</v>
      </c>
    </row>
    <row r="393" spans="2:9" x14ac:dyDescent="0.25">
      <c r="B393" s="5">
        <v>391</v>
      </c>
      <c r="C393" s="6">
        <v>-33</v>
      </c>
      <c r="D393" s="6">
        <v>-32.334024896265561</v>
      </c>
      <c r="E393" s="6">
        <f>_xlfn.STDEV.P($C$3:$C$484)</f>
        <v>7.3254546814403687</v>
      </c>
      <c r="F393" s="6">
        <v>-20</v>
      </c>
      <c r="G393" s="6">
        <v>-42</v>
      </c>
      <c r="H393" s="6">
        <v>11453.8</v>
      </c>
      <c r="I393" s="7">
        <v>11.5</v>
      </c>
    </row>
    <row r="394" spans="2:9" x14ac:dyDescent="0.25">
      <c r="B394" s="5">
        <v>392</v>
      </c>
      <c r="C394" s="6">
        <v>-40</v>
      </c>
      <c r="D394" s="6">
        <v>-32.334024896265561</v>
      </c>
      <c r="E394" s="6">
        <f>_xlfn.STDEV.P($C$3:$C$484)</f>
        <v>7.3254546814403687</v>
      </c>
      <c r="F394" s="6">
        <v>-20</v>
      </c>
      <c r="G394" s="6">
        <v>-42</v>
      </c>
      <c r="H394" s="6">
        <v>11462.9</v>
      </c>
      <c r="I394" s="7">
        <v>9.1</v>
      </c>
    </row>
    <row r="395" spans="2:9" x14ac:dyDescent="0.25">
      <c r="B395" s="5">
        <v>393</v>
      </c>
      <c r="C395" s="6">
        <v>-32</v>
      </c>
      <c r="D395" s="6">
        <v>-32.334024896265561</v>
      </c>
      <c r="E395" s="6">
        <f>_xlfn.STDEV.P($C$3:$C$484)</f>
        <v>7.3254546814403687</v>
      </c>
      <c r="F395" s="6">
        <v>-20</v>
      </c>
      <c r="G395" s="6">
        <v>-42</v>
      </c>
      <c r="H395" s="6">
        <v>11475.5</v>
      </c>
      <c r="I395" s="7">
        <v>12.6</v>
      </c>
    </row>
    <row r="396" spans="2:9" x14ac:dyDescent="0.25">
      <c r="B396" s="5">
        <v>394</v>
      </c>
      <c r="C396" s="6">
        <v>-25</v>
      </c>
      <c r="D396" s="6">
        <v>-32.334024896265561</v>
      </c>
      <c r="E396" s="6">
        <f>_xlfn.STDEV.P($C$3:$C$484)</f>
        <v>7.3254546814403687</v>
      </c>
      <c r="F396" s="6">
        <v>-20</v>
      </c>
      <c r="G396" s="6">
        <v>-42</v>
      </c>
      <c r="H396" s="6">
        <v>11487.3</v>
      </c>
      <c r="I396" s="7">
        <v>11.8</v>
      </c>
    </row>
    <row r="397" spans="2:9" x14ac:dyDescent="0.25">
      <c r="B397" s="5">
        <v>395</v>
      </c>
      <c r="C397" s="6">
        <v>-33</v>
      </c>
      <c r="D397" s="6">
        <v>-32.334024896265561</v>
      </c>
      <c r="E397" s="6">
        <f>_xlfn.STDEV.P($C$3:$C$484)</f>
        <v>7.3254546814403687</v>
      </c>
      <c r="F397" s="6">
        <v>-20</v>
      </c>
      <c r="G397" s="6">
        <v>-42</v>
      </c>
      <c r="H397" s="6">
        <v>11613.5</v>
      </c>
      <c r="I397" s="7">
        <v>126.2</v>
      </c>
    </row>
    <row r="398" spans="2:9" x14ac:dyDescent="0.25">
      <c r="B398" s="5">
        <v>396</v>
      </c>
      <c r="C398" s="6">
        <v>-30</v>
      </c>
      <c r="D398" s="6">
        <v>-32.334024896265561</v>
      </c>
      <c r="E398" s="6">
        <f>_xlfn.STDEV.P($C$3:$C$484)</f>
        <v>7.3254546814403687</v>
      </c>
      <c r="F398" s="6">
        <v>-20</v>
      </c>
      <c r="G398" s="6">
        <v>-42</v>
      </c>
      <c r="H398" s="6">
        <v>11615</v>
      </c>
      <c r="I398" s="7">
        <v>1.5</v>
      </c>
    </row>
    <row r="399" spans="2:9" x14ac:dyDescent="0.25">
      <c r="B399" s="5">
        <v>397</v>
      </c>
      <c r="C399" s="6">
        <v>-26</v>
      </c>
      <c r="D399" s="6">
        <v>-32.334024896265561</v>
      </c>
      <c r="E399" s="6">
        <f>_xlfn.STDEV.P($C$3:$C$484)</f>
        <v>7.3254546814403687</v>
      </c>
      <c r="F399" s="6">
        <v>-20</v>
      </c>
      <c r="G399" s="6">
        <v>-42</v>
      </c>
      <c r="H399" s="6">
        <v>11643.2</v>
      </c>
      <c r="I399" s="7">
        <v>28.2</v>
      </c>
    </row>
    <row r="400" spans="2:9" x14ac:dyDescent="0.25">
      <c r="B400" s="5">
        <v>398</v>
      </c>
      <c r="C400" s="6">
        <v>-35</v>
      </c>
      <c r="D400" s="6">
        <v>-32.334024896265561</v>
      </c>
      <c r="E400" s="6">
        <f>_xlfn.STDEV.P($C$3:$C$484)</f>
        <v>7.3254546814403687</v>
      </c>
      <c r="F400" s="6">
        <v>-20</v>
      </c>
      <c r="G400" s="6">
        <v>-42</v>
      </c>
      <c r="H400" s="6">
        <v>11659.9</v>
      </c>
      <c r="I400" s="7">
        <v>16.7</v>
      </c>
    </row>
    <row r="401" spans="2:9" x14ac:dyDescent="0.25">
      <c r="B401" s="5">
        <v>399</v>
      </c>
      <c r="C401" s="6">
        <v>-25</v>
      </c>
      <c r="D401" s="6">
        <v>-32.334024896265561</v>
      </c>
      <c r="E401" s="6">
        <f>_xlfn.STDEV.P($C$3:$C$484)</f>
        <v>7.3254546814403687</v>
      </c>
      <c r="F401" s="6">
        <v>-20</v>
      </c>
      <c r="G401" s="6">
        <v>-42</v>
      </c>
      <c r="H401" s="6">
        <v>11674.6</v>
      </c>
      <c r="I401" s="7">
        <v>14.7</v>
      </c>
    </row>
    <row r="402" spans="2:9" x14ac:dyDescent="0.25">
      <c r="B402" s="5">
        <v>400</v>
      </c>
      <c r="C402" s="6">
        <v>-27</v>
      </c>
      <c r="D402" s="6">
        <v>-32.334024896265561</v>
      </c>
      <c r="E402" s="6">
        <f>_xlfn.STDEV.P($C$3:$C$484)</f>
        <v>7.3254546814403687</v>
      </c>
      <c r="F402" s="6">
        <v>-20</v>
      </c>
      <c r="G402" s="6">
        <v>-42</v>
      </c>
      <c r="H402" s="6">
        <v>11700.3</v>
      </c>
      <c r="I402" s="7">
        <v>25.7</v>
      </c>
    </row>
    <row r="403" spans="2:9" x14ac:dyDescent="0.25">
      <c r="B403" s="5">
        <v>401</v>
      </c>
      <c r="C403" s="6">
        <v>-33</v>
      </c>
      <c r="D403" s="6">
        <v>-32.334024896265561</v>
      </c>
      <c r="E403" s="6">
        <f>_xlfn.STDEV.P($C$3:$C$484)</f>
        <v>7.3254546814403687</v>
      </c>
      <c r="F403" s="6">
        <v>-20</v>
      </c>
      <c r="G403" s="6">
        <v>-42</v>
      </c>
      <c r="H403" s="6">
        <v>11718.2</v>
      </c>
      <c r="I403" s="7">
        <v>17.899999999999999</v>
      </c>
    </row>
    <row r="404" spans="2:9" x14ac:dyDescent="0.25">
      <c r="B404" s="5">
        <v>402</v>
      </c>
      <c r="C404" s="6">
        <v>-35</v>
      </c>
      <c r="D404" s="6">
        <v>-32.334024896265561</v>
      </c>
      <c r="E404" s="6">
        <f>_xlfn.STDEV.P($C$3:$C$484)</f>
        <v>7.3254546814403687</v>
      </c>
      <c r="F404" s="6">
        <v>-20</v>
      </c>
      <c r="G404" s="6">
        <v>-42</v>
      </c>
      <c r="H404" s="6">
        <v>11725.4</v>
      </c>
      <c r="I404" s="7">
        <v>7.2</v>
      </c>
    </row>
    <row r="405" spans="2:9" x14ac:dyDescent="0.25">
      <c r="B405" s="5">
        <v>403</v>
      </c>
      <c r="C405" s="6">
        <v>-38</v>
      </c>
      <c r="D405" s="6">
        <v>-32.334024896265561</v>
      </c>
      <c r="E405" s="6">
        <f>_xlfn.STDEV.P($C$3:$C$484)</f>
        <v>7.3254546814403687</v>
      </c>
      <c r="F405" s="6">
        <v>-20</v>
      </c>
      <c r="G405" s="6">
        <v>-42</v>
      </c>
      <c r="H405" s="6">
        <v>11756.5</v>
      </c>
      <c r="I405" s="7">
        <v>31.1</v>
      </c>
    </row>
    <row r="406" spans="2:9" x14ac:dyDescent="0.25">
      <c r="B406" s="5">
        <v>404</v>
      </c>
      <c r="C406" s="6">
        <v>-40</v>
      </c>
      <c r="D406" s="6">
        <v>-32.334024896265561</v>
      </c>
      <c r="E406" s="6">
        <f>_xlfn.STDEV.P($C$3:$C$484)</f>
        <v>7.3254546814403687</v>
      </c>
      <c r="F406" s="6">
        <v>-20</v>
      </c>
      <c r="G406" s="6">
        <v>-42</v>
      </c>
      <c r="H406" s="6">
        <v>11823.6</v>
      </c>
      <c r="I406" s="7">
        <v>67.099999999999994</v>
      </c>
    </row>
    <row r="407" spans="2:9" x14ac:dyDescent="0.25">
      <c r="B407" s="5">
        <v>405</v>
      </c>
      <c r="C407" s="6">
        <v>-30</v>
      </c>
      <c r="D407" s="6">
        <v>-32.334024896265561</v>
      </c>
      <c r="E407" s="6">
        <f>_xlfn.STDEV.P($C$3:$C$484)</f>
        <v>7.3254546814403687</v>
      </c>
      <c r="F407" s="6">
        <v>-20</v>
      </c>
      <c r="G407" s="6">
        <v>-42</v>
      </c>
      <c r="H407" s="6">
        <v>11838.3</v>
      </c>
      <c r="I407" s="7">
        <v>14.7</v>
      </c>
    </row>
    <row r="408" spans="2:9" x14ac:dyDescent="0.25">
      <c r="B408" s="5">
        <v>406</v>
      </c>
      <c r="C408" s="6">
        <v>-30</v>
      </c>
      <c r="D408" s="6">
        <v>-32.334024896265561</v>
      </c>
      <c r="E408" s="6">
        <f>_xlfn.STDEV.P($C$3:$C$484)</f>
        <v>7.3254546814403687</v>
      </c>
      <c r="F408" s="6">
        <v>-20</v>
      </c>
      <c r="G408" s="6">
        <v>-42</v>
      </c>
      <c r="H408" s="6">
        <v>11838.9</v>
      </c>
      <c r="I408" s="7">
        <v>0.6</v>
      </c>
    </row>
    <row r="409" spans="2:9" x14ac:dyDescent="0.25">
      <c r="B409" s="5">
        <v>407</v>
      </c>
      <c r="C409" s="6">
        <v>-33</v>
      </c>
      <c r="D409" s="6">
        <v>-32.334024896265561</v>
      </c>
      <c r="E409" s="6">
        <f>_xlfn.STDEV.P($C$3:$C$484)</f>
        <v>7.3254546814403687</v>
      </c>
      <c r="F409" s="6">
        <v>-20</v>
      </c>
      <c r="G409" s="6">
        <v>-42</v>
      </c>
      <c r="H409" s="6">
        <v>11861.7</v>
      </c>
      <c r="I409" s="7">
        <v>22.8</v>
      </c>
    </row>
    <row r="410" spans="2:9" x14ac:dyDescent="0.25">
      <c r="B410" s="5">
        <v>408</v>
      </c>
      <c r="C410" s="6">
        <v>-35</v>
      </c>
      <c r="D410" s="6">
        <v>-32.334024896265561</v>
      </c>
      <c r="E410" s="6">
        <f>_xlfn.STDEV.P($C$3:$C$484)</f>
        <v>7.3254546814403687</v>
      </c>
      <c r="F410" s="6">
        <v>-20</v>
      </c>
      <c r="G410" s="6">
        <v>-42</v>
      </c>
      <c r="H410" s="6">
        <v>11868.5</v>
      </c>
      <c r="I410" s="7">
        <v>6.8</v>
      </c>
    </row>
    <row r="411" spans="2:9" x14ac:dyDescent="0.25">
      <c r="B411" s="5">
        <v>409</v>
      </c>
      <c r="C411" s="6">
        <v>-32</v>
      </c>
      <c r="D411" s="6">
        <v>-32.334024896265561</v>
      </c>
      <c r="E411" s="6">
        <f>_xlfn.STDEV.P($C$3:$C$484)</f>
        <v>7.3254546814403687</v>
      </c>
      <c r="F411" s="6">
        <v>-20</v>
      </c>
      <c r="G411" s="6">
        <v>-42</v>
      </c>
      <c r="H411" s="6">
        <v>12029.4</v>
      </c>
      <c r="I411" s="7">
        <v>160.9</v>
      </c>
    </row>
    <row r="412" spans="2:9" x14ac:dyDescent="0.25">
      <c r="B412" s="5">
        <v>410</v>
      </c>
      <c r="C412" s="6">
        <v>-30</v>
      </c>
      <c r="D412" s="6">
        <v>-32.334024896265561</v>
      </c>
      <c r="E412" s="6">
        <f>_xlfn.STDEV.P($C$3:$C$484)</f>
        <v>7.3254546814403687</v>
      </c>
      <c r="F412" s="6">
        <v>-20</v>
      </c>
      <c r="G412" s="6">
        <v>-42</v>
      </c>
      <c r="H412" s="6">
        <v>12050.9</v>
      </c>
      <c r="I412" s="7">
        <v>21.5</v>
      </c>
    </row>
    <row r="413" spans="2:9" x14ac:dyDescent="0.25">
      <c r="B413" s="5">
        <v>411</v>
      </c>
      <c r="C413" s="6">
        <v>-25</v>
      </c>
      <c r="D413" s="6">
        <v>-32.334024896265561</v>
      </c>
      <c r="E413" s="6">
        <f>_xlfn.STDEV.P($C$3:$C$484)</f>
        <v>7.3254546814403687</v>
      </c>
      <c r="F413" s="6">
        <v>-20</v>
      </c>
      <c r="G413" s="6">
        <v>-42</v>
      </c>
      <c r="H413" s="6">
        <v>12069.6</v>
      </c>
      <c r="I413" s="7">
        <v>18.7</v>
      </c>
    </row>
    <row r="414" spans="2:9" x14ac:dyDescent="0.25">
      <c r="B414" s="5">
        <v>412</v>
      </c>
      <c r="C414" s="6">
        <v>-25</v>
      </c>
      <c r="D414" s="6">
        <v>-32.334024896265561</v>
      </c>
      <c r="E414" s="6">
        <f>_xlfn.STDEV.P($C$3:$C$484)</f>
        <v>7.3254546814403687</v>
      </c>
      <c r="F414" s="6">
        <v>-20</v>
      </c>
      <c r="G414" s="6">
        <v>-42</v>
      </c>
      <c r="H414" s="6">
        <v>12074.2</v>
      </c>
      <c r="I414" s="7">
        <v>4.5999999999999996</v>
      </c>
    </row>
    <row r="415" spans="2:9" x14ac:dyDescent="0.25">
      <c r="B415" s="5">
        <v>413</v>
      </c>
      <c r="C415" s="6">
        <v>-30</v>
      </c>
      <c r="D415" s="6">
        <v>-32.334024896265561</v>
      </c>
      <c r="E415" s="6">
        <f>_xlfn.STDEV.P($C$3:$C$484)</f>
        <v>7.3254546814403687</v>
      </c>
      <c r="F415" s="6">
        <v>-20</v>
      </c>
      <c r="G415" s="6">
        <v>-42</v>
      </c>
      <c r="H415" s="6">
        <v>12097.9</v>
      </c>
      <c r="I415" s="7">
        <v>23.7</v>
      </c>
    </row>
    <row r="416" spans="2:9" x14ac:dyDescent="0.25">
      <c r="B416" s="5">
        <v>414</v>
      </c>
      <c r="C416" s="6">
        <v>-30</v>
      </c>
      <c r="D416" s="6">
        <v>-32.334024896265561</v>
      </c>
      <c r="E416" s="6">
        <f>_xlfn.STDEV.P($C$3:$C$484)</f>
        <v>7.3254546814403687</v>
      </c>
      <c r="F416" s="6">
        <v>-20</v>
      </c>
      <c r="G416" s="6">
        <v>-42</v>
      </c>
      <c r="H416" s="6">
        <v>12118.9</v>
      </c>
      <c r="I416" s="7">
        <v>21</v>
      </c>
    </row>
    <row r="417" spans="2:9" x14ac:dyDescent="0.25">
      <c r="B417" s="5">
        <v>415</v>
      </c>
      <c r="C417" s="6">
        <v>-30</v>
      </c>
      <c r="D417" s="6">
        <v>-32.334024896265561</v>
      </c>
      <c r="E417" s="6">
        <f>_xlfn.STDEV.P($C$3:$C$484)</f>
        <v>7.3254546814403687</v>
      </c>
      <c r="F417" s="6">
        <v>-20</v>
      </c>
      <c r="G417" s="6">
        <v>-42</v>
      </c>
      <c r="H417" s="6">
        <v>12204.7</v>
      </c>
      <c r="I417" s="7">
        <v>85.8</v>
      </c>
    </row>
    <row r="418" spans="2:9" x14ac:dyDescent="0.25">
      <c r="B418" s="5">
        <v>416</v>
      </c>
      <c r="C418" s="6">
        <v>-25</v>
      </c>
      <c r="D418" s="6">
        <v>-32.334024896265561</v>
      </c>
      <c r="E418" s="6">
        <f>_xlfn.STDEV.P($C$3:$C$484)</f>
        <v>7.3254546814403687</v>
      </c>
      <c r="F418" s="6">
        <v>-20</v>
      </c>
      <c r="G418" s="6">
        <v>-42</v>
      </c>
      <c r="H418" s="6">
        <v>12258.1</v>
      </c>
      <c r="I418" s="7">
        <v>53.4</v>
      </c>
    </row>
    <row r="419" spans="2:9" x14ac:dyDescent="0.25">
      <c r="B419" s="5">
        <v>417</v>
      </c>
      <c r="C419" s="6">
        <v>-25</v>
      </c>
      <c r="D419" s="6">
        <v>-32.334024896265561</v>
      </c>
      <c r="E419" s="6">
        <f>_xlfn.STDEV.P($C$3:$C$484)</f>
        <v>7.3254546814403687</v>
      </c>
      <c r="F419" s="6">
        <v>-20</v>
      </c>
      <c r="G419" s="6">
        <v>-42</v>
      </c>
      <c r="H419" s="6">
        <v>12329.2</v>
      </c>
      <c r="I419" s="7">
        <v>71.099999999999994</v>
      </c>
    </row>
    <row r="420" spans="2:9" x14ac:dyDescent="0.25">
      <c r="B420" s="5">
        <v>418</v>
      </c>
      <c r="C420" s="6">
        <v>-40</v>
      </c>
      <c r="D420" s="6">
        <v>-32.334024896265561</v>
      </c>
      <c r="E420" s="6">
        <f>_xlfn.STDEV.P($C$3:$C$484)</f>
        <v>7.3254546814403687</v>
      </c>
      <c r="F420" s="6">
        <v>-20</v>
      </c>
      <c r="G420" s="6">
        <v>-42</v>
      </c>
      <c r="H420" s="6">
        <v>12346</v>
      </c>
      <c r="I420" s="7">
        <v>16.8</v>
      </c>
    </row>
    <row r="421" spans="2:9" x14ac:dyDescent="0.25">
      <c r="B421" s="5">
        <v>419</v>
      </c>
      <c r="C421" s="6">
        <v>-35</v>
      </c>
      <c r="D421" s="6">
        <v>-32.334024896265561</v>
      </c>
      <c r="E421" s="6">
        <f>_xlfn.STDEV.P($C$3:$C$484)</f>
        <v>7.3254546814403687</v>
      </c>
      <c r="F421" s="6">
        <v>-20</v>
      </c>
      <c r="G421" s="6">
        <v>-42</v>
      </c>
      <c r="H421" s="6">
        <v>12434.4</v>
      </c>
      <c r="I421" s="7">
        <v>88.4</v>
      </c>
    </row>
    <row r="422" spans="2:9" x14ac:dyDescent="0.25">
      <c r="B422" s="5">
        <v>420</v>
      </c>
      <c r="C422" s="6">
        <v>-30</v>
      </c>
      <c r="D422" s="6">
        <v>-32.334024896265561</v>
      </c>
      <c r="E422" s="6">
        <f>_xlfn.STDEV.P($C$3:$C$484)</f>
        <v>7.3254546814403687</v>
      </c>
      <c r="F422" s="6">
        <v>-20</v>
      </c>
      <c r="G422" s="6">
        <v>-42</v>
      </c>
      <c r="H422" s="6">
        <v>12435</v>
      </c>
      <c r="I422" s="7">
        <v>0.6</v>
      </c>
    </row>
    <row r="423" spans="2:9" x14ac:dyDescent="0.25">
      <c r="B423" s="5">
        <v>421</v>
      </c>
      <c r="C423" s="6">
        <v>-32</v>
      </c>
      <c r="D423" s="6">
        <v>-32.334024896265561</v>
      </c>
      <c r="E423" s="6">
        <f>_xlfn.STDEV.P($C$3:$C$484)</f>
        <v>7.3254546814403687</v>
      </c>
      <c r="F423" s="6">
        <v>-20</v>
      </c>
      <c r="G423" s="6">
        <v>-42</v>
      </c>
      <c r="H423" s="6">
        <v>12436.5</v>
      </c>
      <c r="I423" s="7">
        <v>1.5</v>
      </c>
    </row>
    <row r="424" spans="2:9" x14ac:dyDescent="0.25">
      <c r="B424" s="5">
        <v>422</v>
      </c>
      <c r="C424" s="6">
        <v>-40</v>
      </c>
      <c r="D424" s="6">
        <v>-32.334024896265561</v>
      </c>
      <c r="E424" s="6">
        <f>_xlfn.STDEV.P($C$3:$C$484)</f>
        <v>7.3254546814403687</v>
      </c>
      <c r="F424" s="6">
        <v>-20</v>
      </c>
      <c r="G424" s="6">
        <v>-42</v>
      </c>
      <c r="H424" s="6">
        <v>12467.3</v>
      </c>
      <c r="I424" s="7">
        <v>30.8</v>
      </c>
    </row>
    <row r="425" spans="2:9" x14ac:dyDescent="0.25">
      <c r="B425" s="5">
        <v>423</v>
      </c>
      <c r="C425" s="6">
        <v>-32</v>
      </c>
      <c r="D425" s="6">
        <v>-32.334024896265561</v>
      </c>
      <c r="E425" s="6">
        <f>_xlfn.STDEV.P($C$3:$C$484)</f>
        <v>7.3254546814403687</v>
      </c>
      <c r="F425" s="6">
        <v>-20</v>
      </c>
      <c r="G425" s="6">
        <v>-42</v>
      </c>
      <c r="H425" s="6">
        <v>12508</v>
      </c>
      <c r="I425" s="7">
        <v>40.700000000000003</v>
      </c>
    </row>
    <row r="426" spans="2:9" x14ac:dyDescent="0.25">
      <c r="B426" s="5">
        <v>424</v>
      </c>
      <c r="C426" s="6">
        <v>-35</v>
      </c>
      <c r="D426" s="6">
        <v>-32.334024896265561</v>
      </c>
      <c r="E426" s="6">
        <f>_xlfn.STDEV.P($C$3:$C$484)</f>
        <v>7.3254546814403687</v>
      </c>
      <c r="F426" s="6">
        <v>-20</v>
      </c>
      <c r="G426" s="6">
        <v>-42</v>
      </c>
      <c r="H426" s="6">
        <v>12578</v>
      </c>
      <c r="I426" s="7">
        <v>70</v>
      </c>
    </row>
    <row r="427" spans="2:9" x14ac:dyDescent="0.25">
      <c r="B427" s="5">
        <v>425</v>
      </c>
      <c r="C427" s="6">
        <v>-33</v>
      </c>
      <c r="D427" s="6">
        <v>-32.334024896265561</v>
      </c>
      <c r="E427" s="6">
        <f>_xlfn.STDEV.P($C$3:$C$484)</f>
        <v>7.3254546814403687</v>
      </c>
      <c r="F427" s="6">
        <v>-20</v>
      </c>
      <c r="G427" s="6">
        <v>-42</v>
      </c>
      <c r="H427" s="6">
        <v>12584.3</v>
      </c>
      <c r="I427" s="7">
        <v>6.3</v>
      </c>
    </row>
    <row r="428" spans="2:9" x14ac:dyDescent="0.25">
      <c r="B428" s="5">
        <v>426</v>
      </c>
      <c r="C428" s="6">
        <v>-35</v>
      </c>
      <c r="D428" s="6">
        <v>-32.334024896265561</v>
      </c>
      <c r="E428" s="6">
        <f>_xlfn.STDEV.P($C$3:$C$484)</f>
        <v>7.3254546814403687</v>
      </c>
      <c r="F428" s="6">
        <v>-20</v>
      </c>
      <c r="G428" s="6">
        <v>-42</v>
      </c>
      <c r="H428" s="6">
        <v>12615.7</v>
      </c>
      <c r="I428" s="7">
        <v>31.4</v>
      </c>
    </row>
    <row r="429" spans="2:9" x14ac:dyDescent="0.25">
      <c r="B429" s="5">
        <v>427</v>
      </c>
      <c r="C429" s="6">
        <v>-33</v>
      </c>
      <c r="D429" s="6">
        <v>-32.334024896265561</v>
      </c>
      <c r="E429" s="6">
        <f>_xlfn.STDEV.P($C$3:$C$484)</f>
        <v>7.3254546814403687</v>
      </c>
      <c r="F429" s="6">
        <v>-20</v>
      </c>
      <c r="G429" s="6">
        <v>-42</v>
      </c>
      <c r="H429" s="6">
        <v>12668.3</v>
      </c>
      <c r="I429" s="7">
        <v>52.6</v>
      </c>
    </row>
    <row r="430" spans="2:9" x14ac:dyDescent="0.25">
      <c r="B430" s="5">
        <v>428</v>
      </c>
      <c r="C430" s="6">
        <v>-32</v>
      </c>
      <c r="D430" s="6">
        <v>-32.334024896265561</v>
      </c>
      <c r="E430" s="6">
        <f>_xlfn.STDEV.P($C$3:$C$484)</f>
        <v>7.3254546814403687</v>
      </c>
      <c r="F430" s="6">
        <v>-20</v>
      </c>
      <c r="G430" s="6">
        <v>-42</v>
      </c>
      <c r="H430" s="6">
        <v>12801.8</v>
      </c>
      <c r="I430" s="7">
        <v>133.5</v>
      </c>
    </row>
    <row r="431" spans="2:9" x14ac:dyDescent="0.25">
      <c r="B431" s="5">
        <v>429</v>
      </c>
      <c r="C431" s="6">
        <v>-30</v>
      </c>
      <c r="D431" s="6">
        <v>-32.334024896265561</v>
      </c>
      <c r="E431" s="6">
        <f>_xlfn.STDEV.P($C$3:$C$484)</f>
        <v>7.3254546814403687</v>
      </c>
      <c r="F431" s="6">
        <v>-20</v>
      </c>
      <c r="G431" s="6">
        <v>-42</v>
      </c>
      <c r="H431" s="6">
        <v>12831.1</v>
      </c>
      <c r="I431" s="7">
        <v>29.3</v>
      </c>
    </row>
    <row r="432" spans="2:9" x14ac:dyDescent="0.25">
      <c r="B432" s="5">
        <v>430</v>
      </c>
      <c r="C432" s="6">
        <v>-30</v>
      </c>
      <c r="D432" s="6">
        <v>-32.334024896265561</v>
      </c>
      <c r="E432" s="6">
        <f>_xlfn.STDEV.P($C$3:$C$484)</f>
        <v>7.3254546814403687</v>
      </c>
      <c r="F432" s="6">
        <v>-20</v>
      </c>
      <c r="G432" s="6">
        <v>-42</v>
      </c>
      <c r="H432" s="6">
        <v>12924.8</v>
      </c>
      <c r="I432" s="7">
        <v>93.7</v>
      </c>
    </row>
    <row r="433" spans="2:9" x14ac:dyDescent="0.25">
      <c r="B433" s="5">
        <v>431</v>
      </c>
      <c r="C433" s="6">
        <v>-30</v>
      </c>
      <c r="D433" s="6">
        <v>-32.334024896265561</v>
      </c>
      <c r="E433" s="6">
        <f>_xlfn.STDEV.P($C$3:$C$484)</f>
        <v>7.3254546814403687</v>
      </c>
      <c r="F433" s="6">
        <v>-20</v>
      </c>
      <c r="G433" s="6">
        <v>-42</v>
      </c>
      <c r="H433" s="6">
        <v>12996.7</v>
      </c>
      <c r="I433" s="7">
        <v>71.900000000000006</v>
      </c>
    </row>
    <row r="434" spans="2:9" x14ac:dyDescent="0.25">
      <c r="B434" s="5">
        <v>432</v>
      </c>
      <c r="C434" s="6">
        <v>-35</v>
      </c>
      <c r="D434" s="6">
        <v>-32.334024896265561</v>
      </c>
      <c r="E434" s="6">
        <f>_xlfn.STDEV.P($C$3:$C$484)</f>
        <v>7.3254546814403687</v>
      </c>
      <c r="F434" s="6">
        <v>-20</v>
      </c>
      <c r="G434" s="6">
        <v>-42</v>
      </c>
      <c r="H434" s="6">
        <v>13034.7</v>
      </c>
      <c r="I434" s="7">
        <v>38</v>
      </c>
    </row>
    <row r="435" spans="2:9" x14ac:dyDescent="0.25">
      <c r="B435" s="5">
        <v>433</v>
      </c>
      <c r="C435" s="6">
        <v>-40</v>
      </c>
      <c r="D435" s="6">
        <v>-32.334024896265561</v>
      </c>
      <c r="E435" s="6">
        <f>_xlfn.STDEV.P($C$3:$C$484)</f>
        <v>7.3254546814403687</v>
      </c>
      <c r="F435" s="6">
        <v>-20</v>
      </c>
      <c r="G435" s="6">
        <v>-42</v>
      </c>
      <c r="H435" s="6">
        <v>13246.9</v>
      </c>
      <c r="I435" s="7">
        <v>212.2</v>
      </c>
    </row>
    <row r="436" spans="2:9" x14ac:dyDescent="0.25">
      <c r="B436" s="5">
        <v>434</v>
      </c>
      <c r="C436" s="6">
        <v>-28</v>
      </c>
      <c r="D436" s="6">
        <v>-32.334024896265561</v>
      </c>
      <c r="E436" s="6">
        <f>_xlfn.STDEV.P($C$3:$C$484)</f>
        <v>7.3254546814403687</v>
      </c>
      <c r="F436" s="6">
        <v>-20</v>
      </c>
      <c r="G436" s="6">
        <v>-42</v>
      </c>
      <c r="H436" s="6">
        <v>13252.9</v>
      </c>
      <c r="I436" s="7">
        <v>6</v>
      </c>
    </row>
    <row r="437" spans="2:9" x14ac:dyDescent="0.25">
      <c r="B437" s="5">
        <v>435</v>
      </c>
      <c r="C437" s="6">
        <v>-20</v>
      </c>
      <c r="D437" s="6">
        <v>-32.334024896265561</v>
      </c>
      <c r="E437" s="6">
        <f>_xlfn.STDEV.P($C$3:$C$484)</f>
        <v>7.3254546814403687</v>
      </c>
      <c r="F437" s="6">
        <v>-20</v>
      </c>
      <c r="G437" s="6">
        <v>-42</v>
      </c>
      <c r="H437" s="6">
        <v>13333</v>
      </c>
      <c r="I437" s="7">
        <v>80.099999999999994</v>
      </c>
    </row>
    <row r="438" spans="2:9" x14ac:dyDescent="0.25">
      <c r="B438" s="5">
        <v>436</v>
      </c>
      <c r="C438" s="6">
        <v>-35</v>
      </c>
      <c r="D438" s="6">
        <v>-32.334024896265561</v>
      </c>
      <c r="E438" s="6">
        <f>_xlfn.STDEV.P($C$3:$C$484)</f>
        <v>7.3254546814403687</v>
      </c>
      <c r="F438" s="6">
        <v>-20</v>
      </c>
      <c r="G438" s="6">
        <v>-42</v>
      </c>
      <c r="H438" s="6">
        <v>13473.1</v>
      </c>
      <c r="I438" s="7">
        <v>140.1</v>
      </c>
    </row>
    <row r="439" spans="2:9" x14ac:dyDescent="0.25">
      <c r="B439" s="5">
        <v>437</v>
      </c>
      <c r="C439" s="6">
        <v>-32</v>
      </c>
      <c r="D439" s="6">
        <v>-32.334024896265561</v>
      </c>
      <c r="E439" s="6">
        <f>_xlfn.STDEV.P($C$3:$C$484)</f>
        <v>7.3254546814403687</v>
      </c>
      <c r="F439" s="6">
        <v>-20</v>
      </c>
      <c r="G439" s="6">
        <v>-42</v>
      </c>
      <c r="H439" s="6">
        <v>13659.5</v>
      </c>
      <c r="I439" s="7">
        <v>186.4</v>
      </c>
    </row>
    <row r="440" spans="2:9" x14ac:dyDescent="0.25">
      <c r="B440" s="5">
        <v>438</v>
      </c>
      <c r="C440" s="6">
        <v>-40</v>
      </c>
      <c r="D440" s="6">
        <v>-32.334024896265561</v>
      </c>
      <c r="E440" s="6">
        <f>_xlfn.STDEV.P($C$3:$C$484)</f>
        <v>7.3254546814403687</v>
      </c>
      <c r="F440" s="6">
        <v>-20</v>
      </c>
      <c r="G440" s="6">
        <v>-42</v>
      </c>
      <c r="H440" s="6">
        <v>13666.4</v>
      </c>
      <c r="I440" s="7">
        <v>6.9</v>
      </c>
    </row>
    <row r="441" spans="2:9" x14ac:dyDescent="0.25">
      <c r="B441" s="5">
        <v>439</v>
      </c>
      <c r="C441" s="6">
        <v>-36</v>
      </c>
      <c r="D441" s="6">
        <v>-32.334024896265561</v>
      </c>
      <c r="E441" s="6">
        <f>_xlfn.STDEV.P($C$3:$C$484)</f>
        <v>7.3254546814403687</v>
      </c>
      <c r="F441" s="6">
        <v>-20</v>
      </c>
      <c r="G441" s="6">
        <v>-42</v>
      </c>
      <c r="H441" s="6">
        <v>13669.1</v>
      </c>
      <c r="I441" s="7">
        <v>2.7</v>
      </c>
    </row>
    <row r="442" spans="2:9" x14ac:dyDescent="0.25">
      <c r="B442" s="5">
        <v>440</v>
      </c>
      <c r="C442" s="6">
        <v>-32</v>
      </c>
      <c r="D442" s="6">
        <v>-32.334024896265561</v>
      </c>
      <c r="E442" s="6">
        <f>_xlfn.STDEV.P($C$3:$C$484)</f>
        <v>7.3254546814403687</v>
      </c>
      <c r="F442" s="6">
        <v>-20</v>
      </c>
      <c r="G442" s="6">
        <v>-42</v>
      </c>
      <c r="H442" s="6">
        <v>13721.4</v>
      </c>
      <c r="I442" s="7">
        <v>52.3</v>
      </c>
    </row>
    <row r="443" spans="2:9" x14ac:dyDescent="0.25">
      <c r="B443" s="5">
        <v>441</v>
      </c>
      <c r="C443" s="6">
        <v>-30</v>
      </c>
      <c r="D443" s="6">
        <v>-32.334024896265561</v>
      </c>
      <c r="E443" s="6">
        <f>_xlfn.STDEV.P($C$3:$C$484)</f>
        <v>7.3254546814403687</v>
      </c>
      <c r="F443" s="6">
        <v>-20</v>
      </c>
      <c r="G443" s="6">
        <v>-42</v>
      </c>
      <c r="H443" s="6">
        <v>13731.2</v>
      </c>
      <c r="I443" s="7">
        <v>9.8000000000000007</v>
      </c>
    </row>
    <row r="444" spans="2:9" x14ac:dyDescent="0.25">
      <c r="B444" s="5">
        <v>442</v>
      </c>
      <c r="C444" s="6">
        <v>-34</v>
      </c>
      <c r="D444" s="6">
        <v>-32.334024896265561</v>
      </c>
      <c r="E444" s="6">
        <f>_xlfn.STDEV.P($C$3:$C$484)</f>
        <v>7.3254546814403687</v>
      </c>
      <c r="F444" s="6">
        <v>-20</v>
      </c>
      <c r="G444" s="6">
        <v>-42</v>
      </c>
      <c r="H444" s="6">
        <v>13838.5</v>
      </c>
      <c r="I444" s="7">
        <v>107.3</v>
      </c>
    </row>
    <row r="445" spans="2:9" x14ac:dyDescent="0.25">
      <c r="B445" s="5">
        <v>443</v>
      </c>
      <c r="C445" s="6">
        <v>-30</v>
      </c>
      <c r="D445" s="6">
        <v>-32.334024896265561</v>
      </c>
      <c r="E445" s="6">
        <f>_xlfn.STDEV.P($C$3:$C$484)</f>
        <v>7.3254546814403687</v>
      </c>
      <c r="F445" s="6">
        <v>-20</v>
      </c>
      <c r="G445" s="6">
        <v>-42</v>
      </c>
      <c r="H445" s="6">
        <v>13845.5</v>
      </c>
      <c r="I445" s="7">
        <v>7</v>
      </c>
    </row>
    <row r="446" spans="2:9" x14ac:dyDescent="0.25">
      <c r="B446" s="5">
        <v>444</v>
      </c>
      <c r="C446" s="6">
        <v>-30</v>
      </c>
      <c r="D446" s="6">
        <v>-32.334024896265561</v>
      </c>
      <c r="E446" s="6">
        <f>_xlfn.STDEV.P($C$3:$C$484)</f>
        <v>7.3254546814403687</v>
      </c>
      <c r="F446" s="6">
        <v>-20</v>
      </c>
      <c r="G446" s="6">
        <v>-42</v>
      </c>
      <c r="H446" s="6">
        <v>13965.1</v>
      </c>
      <c r="I446" s="7">
        <v>119.6</v>
      </c>
    </row>
    <row r="447" spans="2:9" x14ac:dyDescent="0.25">
      <c r="B447" s="5">
        <v>445</v>
      </c>
      <c r="C447" s="6">
        <v>-35</v>
      </c>
      <c r="D447" s="6">
        <v>-32.334024896265561</v>
      </c>
      <c r="E447" s="6">
        <f>_xlfn.STDEV.P($C$3:$C$484)</f>
        <v>7.3254546814403687</v>
      </c>
      <c r="F447" s="6">
        <v>-20</v>
      </c>
      <c r="G447" s="6">
        <v>-42</v>
      </c>
      <c r="H447" s="6">
        <v>14002.9</v>
      </c>
      <c r="I447" s="7">
        <v>37.799999999999997</v>
      </c>
    </row>
    <row r="448" spans="2:9" x14ac:dyDescent="0.25">
      <c r="B448" s="5">
        <v>446</v>
      </c>
      <c r="C448" s="6">
        <v>-30</v>
      </c>
      <c r="D448" s="6">
        <v>-32.334024896265561</v>
      </c>
      <c r="E448" s="6">
        <f>_xlfn.STDEV.P($C$3:$C$484)</f>
        <v>7.3254546814403687</v>
      </c>
      <c r="F448" s="6">
        <v>-20</v>
      </c>
      <c r="G448" s="6">
        <v>-42</v>
      </c>
      <c r="H448" s="6">
        <v>14026.9</v>
      </c>
      <c r="I448" s="7">
        <v>24</v>
      </c>
    </row>
    <row r="449" spans="2:9" x14ac:dyDescent="0.25">
      <c r="B449" s="5">
        <v>447</v>
      </c>
      <c r="C449" s="6">
        <v>-32</v>
      </c>
      <c r="D449" s="6">
        <v>-32.334024896265561</v>
      </c>
      <c r="E449" s="6">
        <f>_xlfn.STDEV.P($C$3:$C$484)</f>
        <v>7.3254546814403687</v>
      </c>
      <c r="F449" s="6">
        <v>-20</v>
      </c>
      <c r="G449" s="6">
        <v>-42</v>
      </c>
      <c r="H449" s="6">
        <v>14033.6</v>
      </c>
      <c r="I449" s="7">
        <v>6.7</v>
      </c>
    </row>
    <row r="450" spans="2:9" x14ac:dyDescent="0.25">
      <c r="B450" s="5">
        <v>448</v>
      </c>
      <c r="C450" s="6">
        <v>-30</v>
      </c>
      <c r="D450" s="6">
        <v>-32.334024896265561</v>
      </c>
      <c r="E450" s="6">
        <f>_xlfn.STDEV.P($C$3:$C$484)</f>
        <v>7.3254546814403687</v>
      </c>
      <c r="F450" s="6">
        <v>-20</v>
      </c>
      <c r="G450" s="6">
        <v>-42</v>
      </c>
      <c r="H450" s="6">
        <v>14275.2</v>
      </c>
      <c r="I450" s="7">
        <v>241.6</v>
      </c>
    </row>
    <row r="451" spans="2:9" x14ac:dyDescent="0.25">
      <c r="B451" s="5">
        <v>449</v>
      </c>
      <c r="C451" s="6">
        <v>-30</v>
      </c>
      <c r="D451" s="6">
        <v>-32.334024896265561</v>
      </c>
      <c r="E451" s="6">
        <f>_xlfn.STDEV.P($C$3:$C$484)</f>
        <v>7.3254546814403687</v>
      </c>
      <c r="F451" s="6">
        <v>-20</v>
      </c>
      <c r="G451" s="6">
        <v>-42</v>
      </c>
      <c r="H451" s="6">
        <v>14289.3</v>
      </c>
      <c r="I451" s="7">
        <v>14.1</v>
      </c>
    </row>
    <row r="452" spans="2:9" x14ac:dyDescent="0.25">
      <c r="B452" s="5">
        <v>450</v>
      </c>
      <c r="C452" s="6">
        <v>-35</v>
      </c>
      <c r="D452" s="6">
        <v>-32.334024896265561</v>
      </c>
      <c r="E452" s="6">
        <f>_xlfn.STDEV.P($C$3:$C$484)</f>
        <v>7.3254546814403687</v>
      </c>
      <c r="F452" s="6">
        <v>-20</v>
      </c>
      <c r="G452" s="6">
        <v>-42</v>
      </c>
      <c r="H452" s="6">
        <v>14312.1</v>
      </c>
      <c r="I452" s="7">
        <v>22.8</v>
      </c>
    </row>
    <row r="453" spans="2:9" x14ac:dyDescent="0.25">
      <c r="B453" s="5">
        <v>451</v>
      </c>
      <c r="C453" s="6">
        <v>-32</v>
      </c>
      <c r="D453" s="6">
        <v>-32.334024896265561</v>
      </c>
      <c r="E453" s="6">
        <f>_xlfn.STDEV.P($C$3:$C$484)</f>
        <v>7.3254546814403687</v>
      </c>
      <c r="F453" s="6">
        <v>-20</v>
      </c>
      <c r="G453" s="6">
        <v>-42</v>
      </c>
      <c r="H453" s="6">
        <v>14339.5</v>
      </c>
      <c r="I453" s="7">
        <v>27.4</v>
      </c>
    </row>
    <row r="454" spans="2:9" x14ac:dyDescent="0.25">
      <c r="B454" s="5">
        <v>452</v>
      </c>
      <c r="C454" s="6">
        <v>-35</v>
      </c>
      <c r="D454" s="6">
        <v>-32.334024896265561</v>
      </c>
      <c r="E454" s="6">
        <f>_xlfn.STDEV.P($C$3:$C$484)</f>
        <v>7.3254546814403687</v>
      </c>
      <c r="F454" s="6">
        <v>-20</v>
      </c>
      <c r="G454" s="6">
        <v>-42</v>
      </c>
      <c r="H454" s="6">
        <v>14379.9</v>
      </c>
      <c r="I454" s="7">
        <v>40.4</v>
      </c>
    </row>
    <row r="455" spans="2:9" x14ac:dyDescent="0.25">
      <c r="B455" s="5">
        <v>453</v>
      </c>
      <c r="C455" s="6">
        <v>-35</v>
      </c>
      <c r="D455" s="6">
        <v>-32.334024896265561</v>
      </c>
      <c r="E455" s="6">
        <f>_xlfn.STDEV.P($C$3:$C$484)</f>
        <v>7.3254546814403687</v>
      </c>
      <c r="F455" s="6">
        <v>-20</v>
      </c>
      <c r="G455" s="6">
        <v>-42</v>
      </c>
      <c r="H455" s="6">
        <v>14414.5</v>
      </c>
      <c r="I455" s="7">
        <v>34.6</v>
      </c>
    </row>
    <row r="456" spans="2:9" x14ac:dyDescent="0.25">
      <c r="B456" s="5">
        <v>454</v>
      </c>
      <c r="C456" s="6">
        <v>-30</v>
      </c>
      <c r="D456" s="6">
        <v>-32.334024896265561</v>
      </c>
      <c r="E456" s="6">
        <f>_xlfn.STDEV.P($C$3:$C$484)</f>
        <v>7.3254546814403687</v>
      </c>
      <c r="F456" s="6">
        <v>-20</v>
      </c>
      <c r="G456" s="6">
        <v>-42</v>
      </c>
      <c r="H456" s="6">
        <v>14416.3</v>
      </c>
      <c r="I456" s="7">
        <v>1.8</v>
      </c>
    </row>
    <row r="457" spans="2:9" x14ac:dyDescent="0.25">
      <c r="B457" s="5">
        <v>455</v>
      </c>
      <c r="C457" s="6">
        <v>-27</v>
      </c>
      <c r="D457" s="6">
        <v>-32.334024896265561</v>
      </c>
      <c r="E457" s="6">
        <f>_xlfn.STDEV.P($C$3:$C$484)</f>
        <v>7.3254546814403687</v>
      </c>
      <c r="F457" s="6">
        <v>-20</v>
      </c>
      <c r="G457" s="6">
        <v>-42</v>
      </c>
      <c r="H457" s="6">
        <v>14473.5</v>
      </c>
      <c r="I457" s="7">
        <v>57.2</v>
      </c>
    </row>
    <row r="458" spans="2:9" x14ac:dyDescent="0.25">
      <c r="B458" s="5">
        <v>456</v>
      </c>
      <c r="C458" s="6">
        <v>-25</v>
      </c>
      <c r="D458" s="6">
        <v>-32.334024896265561</v>
      </c>
      <c r="E458" s="6">
        <f>_xlfn.STDEV.P($C$3:$C$484)</f>
        <v>7.3254546814403687</v>
      </c>
      <c r="F458" s="6">
        <v>-20</v>
      </c>
      <c r="G458" s="6">
        <v>-42</v>
      </c>
      <c r="H458" s="6">
        <v>14479.6</v>
      </c>
      <c r="I458" s="7">
        <v>6.1</v>
      </c>
    </row>
    <row r="459" spans="2:9" x14ac:dyDescent="0.25">
      <c r="B459" s="5">
        <v>457</v>
      </c>
      <c r="C459" s="6">
        <v>-37</v>
      </c>
      <c r="D459" s="6">
        <v>-32.334024896265561</v>
      </c>
      <c r="E459" s="6">
        <f>_xlfn.STDEV.P($C$3:$C$484)</f>
        <v>7.3254546814403687</v>
      </c>
      <c r="F459" s="6">
        <v>-20</v>
      </c>
      <c r="G459" s="6">
        <v>-42</v>
      </c>
      <c r="H459" s="6">
        <v>14522.5</v>
      </c>
      <c r="I459" s="7">
        <v>42.9</v>
      </c>
    </row>
    <row r="460" spans="2:9" x14ac:dyDescent="0.25">
      <c r="B460" s="5">
        <v>458</v>
      </c>
      <c r="C460" s="6">
        <v>-30</v>
      </c>
      <c r="D460" s="6">
        <v>-32.334024896265561</v>
      </c>
      <c r="E460" s="6">
        <f>_xlfn.STDEV.P($C$3:$C$484)</f>
        <v>7.3254546814403687</v>
      </c>
      <c r="F460" s="6">
        <v>-20</v>
      </c>
      <c r="G460" s="6">
        <v>-42</v>
      </c>
      <c r="H460" s="6">
        <v>14549.4</v>
      </c>
      <c r="I460" s="7">
        <v>26.9</v>
      </c>
    </row>
    <row r="461" spans="2:9" x14ac:dyDescent="0.25">
      <c r="B461" s="5">
        <v>459</v>
      </c>
      <c r="C461" s="6">
        <v>-20</v>
      </c>
      <c r="D461" s="6">
        <v>-32.334024896265561</v>
      </c>
      <c r="E461" s="6">
        <f>_xlfn.STDEV.P($C$3:$C$484)</f>
        <v>7.3254546814403687</v>
      </c>
      <c r="F461" s="6">
        <v>-20</v>
      </c>
      <c r="G461" s="6">
        <v>-42</v>
      </c>
      <c r="H461" s="6">
        <v>14563.4</v>
      </c>
      <c r="I461" s="7">
        <v>14</v>
      </c>
    </row>
    <row r="462" spans="2:9" x14ac:dyDescent="0.25">
      <c r="B462" s="5">
        <v>460</v>
      </c>
      <c r="C462" s="6">
        <v>-38</v>
      </c>
      <c r="D462" s="6">
        <v>-32.334024896265561</v>
      </c>
      <c r="E462" s="6">
        <f>_xlfn.STDEV.P($C$3:$C$484)</f>
        <v>7.3254546814403687</v>
      </c>
      <c r="F462" s="6">
        <v>-20</v>
      </c>
      <c r="G462" s="6">
        <v>-42</v>
      </c>
      <c r="H462" s="6">
        <v>14578.2</v>
      </c>
      <c r="I462" s="7">
        <v>14.8</v>
      </c>
    </row>
    <row r="463" spans="2:9" x14ac:dyDescent="0.25">
      <c r="B463" s="5">
        <v>461</v>
      </c>
      <c r="C463" s="6">
        <v>-40</v>
      </c>
      <c r="D463" s="6">
        <v>-32.334024896265561</v>
      </c>
      <c r="E463" s="6">
        <f>_xlfn.STDEV.P($C$3:$C$484)</f>
        <v>7.3254546814403687</v>
      </c>
      <c r="F463" s="6">
        <v>-20</v>
      </c>
      <c r="G463" s="6">
        <v>-42</v>
      </c>
      <c r="H463" s="6">
        <v>14635.3</v>
      </c>
      <c r="I463" s="7">
        <v>57.1</v>
      </c>
    </row>
    <row r="464" spans="2:9" x14ac:dyDescent="0.25">
      <c r="B464" s="5">
        <v>462</v>
      </c>
      <c r="C464" s="6">
        <v>-38</v>
      </c>
      <c r="D464" s="6">
        <v>-32.334024896265561</v>
      </c>
      <c r="E464" s="6">
        <f>_xlfn.STDEV.P($C$3:$C$484)</f>
        <v>7.3254546814403687</v>
      </c>
      <c r="F464" s="6">
        <v>-20</v>
      </c>
      <c r="G464" s="6">
        <v>-42</v>
      </c>
      <c r="H464" s="6">
        <v>14755.8</v>
      </c>
      <c r="I464" s="7">
        <v>120.5</v>
      </c>
    </row>
    <row r="465" spans="2:9" x14ac:dyDescent="0.25">
      <c r="B465" s="5">
        <v>463</v>
      </c>
      <c r="C465" s="6">
        <v>-40</v>
      </c>
      <c r="D465" s="6">
        <v>-32.334024896265561</v>
      </c>
      <c r="E465" s="6">
        <f>_xlfn.STDEV.P($C$3:$C$484)</f>
        <v>7.3254546814403687</v>
      </c>
      <c r="F465" s="6">
        <v>-20</v>
      </c>
      <c r="G465" s="6">
        <v>-42</v>
      </c>
      <c r="H465" s="6">
        <v>14758.2</v>
      </c>
      <c r="I465" s="7">
        <v>2.4</v>
      </c>
    </row>
    <row r="466" spans="2:9" x14ac:dyDescent="0.25">
      <c r="B466" s="5">
        <v>464</v>
      </c>
      <c r="C466" s="6">
        <v>-38</v>
      </c>
      <c r="D466" s="6">
        <v>-32.334024896265561</v>
      </c>
      <c r="E466" s="6">
        <f>_xlfn.STDEV.P($C$3:$C$484)</f>
        <v>7.3254546814403687</v>
      </c>
      <c r="F466" s="6">
        <v>-20</v>
      </c>
      <c r="G466" s="6">
        <v>-42</v>
      </c>
      <c r="H466" s="6">
        <v>14763.1</v>
      </c>
      <c r="I466" s="7">
        <v>4.9000000000000004</v>
      </c>
    </row>
    <row r="467" spans="2:9" x14ac:dyDescent="0.25">
      <c r="B467" s="5">
        <v>465</v>
      </c>
      <c r="C467" s="6">
        <v>-18</v>
      </c>
      <c r="D467" s="6">
        <v>-32.334024896265561</v>
      </c>
      <c r="E467" s="6">
        <f>_xlfn.STDEV.P($C$3:$C$484)</f>
        <v>7.3254546814403687</v>
      </c>
      <c r="F467" s="6">
        <v>-20</v>
      </c>
      <c r="G467" s="6">
        <v>-42</v>
      </c>
      <c r="H467" s="6">
        <v>14769.9</v>
      </c>
      <c r="I467" s="7">
        <v>6.8</v>
      </c>
    </row>
    <row r="468" spans="2:9" x14ac:dyDescent="0.25">
      <c r="B468" s="5">
        <v>466</v>
      </c>
      <c r="C468" s="6">
        <v>-35</v>
      </c>
      <c r="D468" s="6">
        <v>-32.334024896265561</v>
      </c>
      <c r="E468" s="6">
        <f>_xlfn.STDEV.P($C$3:$C$484)</f>
        <v>7.3254546814403687</v>
      </c>
      <c r="F468" s="6">
        <v>-20</v>
      </c>
      <c r="G468" s="6">
        <v>-42</v>
      </c>
      <c r="H468" s="6">
        <v>14781.3</v>
      </c>
      <c r="I468" s="7">
        <v>11.4</v>
      </c>
    </row>
    <row r="469" spans="2:9" x14ac:dyDescent="0.25">
      <c r="B469" s="5">
        <v>467</v>
      </c>
      <c r="C469" s="6">
        <v>-40</v>
      </c>
      <c r="D469" s="6">
        <v>-32.334024896265561</v>
      </c>
      <c r="E469" s="6">
        <f>_xlfn.STDEV.P($C$3:$C$484)</f>
        <v>7.3254546814403687</v>
      </c>
      <c r="F469" s="6">
        <v>-20</v>
      </c>
      <c r="G469" s="6">
        <v>-42</v>
      </c>
      <c r="H469" s="6">
        <v>14782.4</v>
      </c>
      <c r="I469" s="7">
        <v>1.1000000000000001</v>
      </c>
    </row>
    <row r="470" spans="2:9" x14ac:dyDescent="0.25">
      <c r="B470" s="5">
        <v>468</v>
      </c>
      <c r="C470" s="6">
        <v>-40</v>
      </c>
      <c r="D470" s="6">
        <v>-32.334024896265561</v>
      </c>
      <c r="E470" s="6">
        <f>_xlfn.STDEV.P($C$3:$C$484)</f>
        <v>7.3254546814403687</v>
      </c>
      <c r="F470" s="6">
        <v>-20</v>
      </c>
      <c r="G470" s="6">
        <v>-42</v>
      </c>
      <c r="H470" s="6">
        <v>14800</v>
      </c>
      <c r="I470" s="7">
        <v>17.600000000000001</v>
      </c>
    </row>
    <row r="471" spans="2:9" x14ac:dyDescent="0.25">
      <c r="B471" s="5">
        <v>469</v>
      </c>
      <c r="C471" s="6">
        <v>-20</v>
      </c>
      <c r="D471" s="6">
        <v>-32.334024896265561</v>
      </c>
      <c r="E471" s="6">
        <f>_xlfn.STDEV.P($C$3:$C$484)</f>
        <v>7.3254546814403687</v>
      </c>
      <c r="F471" s="6">
        <v>-20</v>
      </c>
      <c r="G471" s="6">
        <v>-42</v>
      </c>
      <c r="H471" s="6">
        <v>14822.1</v>
      </c>
      <c r="I471" s="7">
        <v>22.1</v>
      </c>
    </row>
    <row r="472" spans="2:9" x14ac:dyDescent="0.25">
      <c r="B472" s="5">
        <v>470</v>
      </c>
      <c r="C472" s="6">
        <v>-30</v>
      </c>
      <c r="D472" s="6">
        <v>-32.334024896265561</v>
      </c>
      <c r="E472" s="6">
        <f>_xlfn.STDEV.P($C$3:$C$484)</f>
        <v>7.3254546814403687</v>
      </c>
      <c r="F472" s="6">
        <v>-20</v>
      </c>
      <c r="G472" s="6">
        <v>-42</v>
      </c>
      <c r="H472" s="6">
        <v>14871</v>
      </c>
      <c r="I472" s="7">
        <v>48.9</v>
      </c>
    </row>
    <row r="473" spans="2:9" x14ac:dyDescent="0.25">
      <c r="B473" s="5">
        <v>471</v>
      </c>
      <c r="C473" s="6">
        <v>-30</v>
      </c>
      <c r="D473" s="6">
        <v>-32.334024896265561</v>
      </c>
      <c r="E473" s="6">
        <f>_xlfn.STDEV.P($C$3:$C$484)</f>
        <v>7.3254546814403687</v>
      </c>
      <c r="F473" s="6">
        <v>-20</v>
      </c>
      <c r="G473" s="6">
        <v>-42</v>
      </c>
      <c r="H473" s="6">
        <v>14936.2</v>
      </c>
      <c r="I473" s="7">
        <v>65.2</v>
      </c>
    </row>
    <row r="474" spans="2:9" x14ac:dyDescent="0.25">
      <c r="B474" s="5">
        <v>472</v>
      </c>
      <c r="C474" s="6">
        <v>-35</v>
      </c>
      <c r="D474" s="6">
        <v>-32.334024896265561</v>
      </c>
      <c r="E474" s="6">
        <f>_xlfn.STDEV.P($C$3:$C$484)</f>
        <v>7.3254546814403687</v>
      </c>
      <c r="F474" s="6">
        <v>-20</v>
      </c>
      <c r="G474" s="6">
        <v>-42</v>
      </c>
      <c r="H474" s="6">
        <v>14949.4</v>
      </c>
      <c r="I474" s="7">
        <v>13.2</v>
      </c>
    </row>
    <row r="475" spans="2:9" x14ac:dyDescent="0.25">
      <c r="B475" s="5">
        <v>473</v>
      </c>
      <c r="C475" s="6">
        <v>-40</v>
      </c>
      <c r="D475" s="6">
        <v>-32.334024896265561</v>
      </c>
      <c r="E475" s="6">
        <f>_xlfn.STDEV.P($C$3:$C$484)</f>
        <v>7.3254546814403687</v>
      </c>
      <c r="F475" s="6">
        <v>-20</v>
      </c>
      <c r="G475" s="6">
        <v>-42</v>
      </c>
      <c r="H475" s="6">
        <v>15003.2</v>
      </c>
      <c r="I475" s="7">
        <v>53.8</v>
      </c>
    </row>
    <row r="476" spans="2:9" x14ac:dyDescent="0.25">
      <c r="B476" s="5">
        <v>474</v>
      </c>
      <c r="C476" s="6">
        <v>-18</v>
      </c>
      <c r="D476" s="6">
        <v>-32.334024896265561</v>
      </c>
      <c r="E476" s="6">
        <f>_xlfn.STDEV.P($C$3:$C$484)</f>
        <v>7.3254546814403687</v>
      </c>
      <c r="F476" s="6">
        <v>-20</v>
      </c>
      <c r="G476" s="6">
        <v>-42</v>
      </c>
      <c r="H476" s="6">
        <v>15016.2</v>
      </c>
      <c r="I476" s="7">
        <v>13</v>
      </c>
    </row>
    <row r="477" spans="2:9" x14ac:dyDescent="0.25">
      <c r="B477" s="5">
        <v>475</v>
      </c>
      <c r="C477" s="6">
        <v>-28</v>
      </c>
      <c r="D477" s="6">
        <v>-32.334024896265561</v>
      </c>
      <c r="E477" s="6">
        <f>_xlfn.STDEV.P($C$3:$C$484)</f>
        <v>7.3254546814403687</v>
      </c>
      <c r="F477" s="6">
        <v>-20</v>
      </c>
      <c r="G477" s="6">
        <v>-42</v>
      </c>
      <c r="H477" s="6">
        <v>15033.4</v>
      </c>
      <c r="I477" s="7">
        <v>17.2</v>
      </c>
    </row>
    <row r="478" spans="2:9" x14ac:dyDescent="0.25">
      <c r="B478" s="5">
        <v>476</v>
      </c>
      <c r="C478" s="6">
        <v>-55</v>
      </c>
      <c r="D478" s="6">
        <v>-32.334024896265561</v>
      </c>
      <c r="E478" s="6">
        <f>_xlfn.STDEV.P($C$3:$C$484)</f>
        <v>7.3254546814403687</v>
      </c>
      <c r="F478" s="6">
        <v>-20</v>
      </c>
      <c r="G478" s="6">
        <v>-42</v>
      </c>
      <c r="H478" s="6">
        <v>15040.4</v>
      </c>
      <c r="I478" s="7">
        <v>7</v>
      </c>
    </row>
    <row r="479" spans="2:9" x14ac:dyDescent="0.25">
      <c r="B479" s="5">
        <v>477</v>
      </c>
      <c r="C479" s="6">
        <v>-35</v>
      </c>
      <c r="D479" s="6">
        <v>-32.334024896265561</v>
      </c>
      <c r="E479" s="6">
        <f>_xlfn.STDEV.P($C$3:$C$484)</f>
        <v>7.3254546814403687</v>
      </c>
      <c r="F479" s="6">
        <v>-20</v>
      </c>
      <c r="G479" s="6">
        <v>-42</v>
      </c>
      <c r="H479" s="6">
        <v>15050.9</v>
      </c>
      <c r="I479" s="7">
        <v>10.5</v>
      </c>
    </row>
    <row r="480" spans="2:9" x14ac:dyDescent="0.25">
      <c r="B480" s="5">
        <v>478</v>
      </c>
      <c r="C480" s="6">
        <v>-30</v>
      </c>
      <c r="D480" s="6">
        <v>-32.334024896265561</v>
      </c>
      <c r="E480" s="6">
        <f>_xlfn.STDEV.P($C$3:$C$484)</f>
        <v>7.3254546814403687</v>
      </c>
      <c r="F480" s="6">
        <v>-20</v>
      </c>
      <c r="G480" s="6">
        <v>-42</v>
      </c>
      <c r="H480" s="6">
        <v>15131</v>
      </c>
      <c r="I480" s="7">
        <v>80.099999999999994</v>
      </c>
    </row>
    <row r="481" spans="2:9" x14ac:dyDescent="0.25">
      <c r="B481" s="5">
        <v>479</v>
      </c>
      <c r="C481" s="6">
        <v>-28</v>
      </c>
      <c r="D481" s="6">
        <v>-32.334024896265561</v>
      </c>
      <c r="E481" s="6">
        <f>_xlfn.STDEV.P($C$3:$C$484)</f>
        <v>7.3254546814403687</v>
      </c>
      <c r="F481" s="6">
        <v>-20</v>
      </c>
      <c r="G481" s="6">
        <v>-42</v>
      </c>
      <c r="H481" s="6">
        <v>15137.6</v>
      </c>
      <c r="I481" s="7">
        <v>6.6</v>
      </c>
    </row>
    <row r="482" spans="2:9" x14ac:dyDescent="0.25">
      <c r="B482" s="5">
        <v>480</v>
      </c>
      <c r="C482" s="6">
        <v>-35</v>
      </c>
      <c r="D482" s="6">
        <v>-32.334024896265561</v>
      </c>
      <c r="E482" s="6">
        <f>_xlfn.STDEV.P($C$3:$C$484)</f>
        <v>7.3254546814403687</v>
      </c>
      <c r="F482" s="6">
        <v>-20</v>
      </c>
      <c r="G482" s="6">
        <v>-42</v>
      </c>
      <c r="H482" s="6">
        <v>15154.9</v>
      </c>
      <c r="I482" s="7">
        <v>17.3</v>
      </c>
    </row>
    <row r="483" spans="2:9" x14ac:dyDescent="0.25">
      <c r="B483" s="5">
        <v>481</v>
      </c>
      <c r="C483" s="6">
        <v>-40</v>
      </c>
      <c r="D483" s="6">
        <v>-32.334024896265561</v>
      </c>
      <c r="E483" s="6">
        <f>_xlfn.STDEV.P($C$3:$C$484)</f>
        <v>7.3254546814403687</v>
      </c>
      <c r="F483" s="6">
        <v>-20</v>
      </c>
      <c r="G483" s="6">
        <v>-42</v>
      </c>
      <c r="H483" s="6">
        <v>15161</v>
      </c>
      <c r="I483" s="7">
        <v>6.1</v>
      </c>
    </row>
    <row r="484" spans="2:9" x14ac:dyDescent="0.25">
      <c r="B484" s="8">
        <v>482</v>
      </c>
      <c r="C484" s="9">
        <v>-40</v>
      </c>
      <c r="D484" s="9">
        <v>-32.334024896265561</v>
      </c>
      <c r="E484" s="9">
        <f>_xlfn.STDEV.P($C$3:$C$484)</f>
        <v>7.3254546814403687</v>
      </c>
      <c r="F484" s="9">
        <v>-20</v>
      </c>
      <c r="G484" s="9">
        <v>-42</v>
      </c>
      <c r="H484" s="9">
        <v>15166</v>
      </c>
      <c r="I484" s="10">
        <v>5</v>
      </c>
    </row>
  </sheetData>
  <mergeCells count="1">
    <mergeCell ref="B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Buddenberg Malte</dc:creator>
  <cp:lastModifiedBy>Buddenberg Malte</cp:lastModifiedBy>
  <dcterms:created xsi:type="dcterms:W3CDTF">2023-02-23T15:14:35Z</dcterms:created>
  <dcterms:modified xsi:type="dcterms:W3CDTF">2023-02-23T15:57:17Z</dcterms:modified>
</cp:coreProperties>
</file>