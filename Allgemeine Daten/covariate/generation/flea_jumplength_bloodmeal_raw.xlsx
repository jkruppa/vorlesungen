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vorlesungen/Allgemeine Daten/covariate/generation/"/>
    </mc:Choice>
  </mc:AlternateContent>
  <xr:revisionPtr revIDLastSave="0" documentId="13_ncr:1_{2F590EEB-06C0-784B-AF57-66B80E0A9665}" xr6:coauthVersionLast="47" xr6:coauthVersionMax="47" xr10:uidLastSave="{00000000-0000-0000-0000-000000000000}"/>
  <bookViews>
    <workbookView xWindow="2400" yWindow="600" windowWidth="36000" windowHeight="19960" xr2:uid="{A5B12C49-1460-7B46-AA19-811389EE84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G6" i="1"/>
  <c r="G2" i="1"/>
  <c r="G3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J4" i="1"/>
  <c r="J3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I4" i="1"/>
  <c r="I3" i="1"/>
  <c r="I2" i="1"/>
</calcChain>
</file>

<file path=xl/sharedStrings.xml><?xml version="1.0" encoding="utf-8"?>
<sst xmlns="http://schemas.openxmlformats.org/spreadsheetml/2006/main" count="51" uniqueCount="13">
  <si>
    <t>fid</t>
  </si>
  <si>
    <t>bloodmeal</t>
  </si>
  <si>
    <t>jumplength</t>
  </si>
  <si>
    <t>sd</t>
  </si>
  <si>
    <t>hungry</t>
  </si>
  <si>
    <t>full</t>
  </si>
  <si>
    <t>overeat</t>
  </si>
  <si>
    <t>bodyweight</t>
  </si>
  <si>
    <t>mean</t>
  </si>
  <si>
    <t>craving</t>
  </si>
  <si>
    <t>jumplength2</t>
  </si>
  <si>
    <t>host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</si>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</sst>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Tabelle1!$F$1</c:f>
              <c:strCache>
                <c:ptCount val="1"/>
                <c:pt idx="0">
                  <c:v>jumplength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7.9614391951006128E-2"/>
                  <c:y val="-2.84510266183709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Tabelle1!$C$2:$C$22</c:f>
              <c:numCache>
                <c:formatCode>General</c:formatCode>
                <c:ptCount val="21"/>
                <c:pt idx="0">
                  <c:v>1.2</c:v>
                </c:pt>
                <c:pt idx="1">
                  <c:v>2.4</c:v>
                </c:pt>
                <c:pt idx="2">
                  <c:v>3.5</c:v>
                </c:pt>
                <c:pt idx="3">
                  <c:v>3.9</c:v>
                </c:pt>
                <c:pt idx="4">
                  <c:v>2.8</c:v>
                </c:pt>
                <c:pt idx="5">
                  <c:v>1.8</c:v>
                </c:pt>
                <c:pt idx="6">
                  <c:v>3.1</c:v>
                </c:pt>
                <c:pt idx="7">
                  <c:v>5.0999999999999996</c:v>
                </c:pt>
                <c:pt idx="8">
                  <c:v>4.5999999999999996</c:v>
                </c:pt>
                <c:pt idx="9">
                  <c:v>5.5</c:v>
                </c:pt>
                <c:pt idx="10">
                  <c:v>6.2</c:v>
                </c:pt>
                <c:pt idx="11">
                  <c:v>7.1</c:v>
                </c:pt>
                <c:pt idx="12">
                  <c:v>6.5</c:v>
                </c:pt>
                <c:pt idx="13">
                  <c:v>7.6</c:v>
                </c:pt>
                <c:pt idx="14">
                  <c:v>8.6</c:v>
                </c:pt>
                <c:pt idx="15">
                  <c:v>9.3000000000000007</c:v>
                </c:pt>
                <c:pt idx="16">
                  <c:v>10.5</c:v>
                </c:pt>
                <c:pt idx="17">
                  <c:v>9.8000000000000007</c:v>
                </c:pt>
                <c:pt idx="18">
                  <c:v>11.8</c:v>
                </c:pt>
                <c:pt idx="19">
                  <c:v>11.1</c:v>
                </c:pt>
                <c:pt idx="20">
                  <c:v>10.199999999999999</c:v>
                </c:pt>
              </c:numCache>
            </c:numRef>
          </c:xVal>
          <c:yVal>
            <c:numRef>
              <c:f>Tabelle1!$F$2:$F$22</c:f>
              <c:numCache>
                <c:formatCode>General</c:formatCode>
                <c:ptCount val="21"/>
                <c:pt idx="0">
                  <c:v>24.1</c:v>
                </c:pt>
                <c:pt idx="1">
                  <c:v>28.200000000000003</c:v>
                </c:pt>
                <c:pt idx="2">
                  <c:v>24.6</c:v>
                </c:pt>
                <c:pt idx="3">
                  <c:v>21.4</c:v>
                </c:pt>
                <c:pt idx="4">
                  <c:v>26.200000000000003</c:v>
                </c:pt>
                <c:pt idx="5">
                  <c:v>29.200000000000003</c:v>
                </c:pt>
                <c:pt idx="6">
                  <c:v>21.6</c:v>
                </c:pt>
                <c:pt idx="7">
                  <c:v>14.2</c:v>
                </c:pt>
                <c:pt idx="8">
                  <c:v>15.2</c:v>
                </c:pt>
                <c:pt idx="9">
                  <c:v>13.100000000000001</c:v>
                </c:pt>
                <c:pt idx="10">
                  <c:v>14.100000000000001</c:v>
                </c:pt>
                <c:pt idx="11">
                  <c:v>14.3</c:v>
                </c:pt>
                <c:pt idx="12">
                  <c:v>15.2</c:v>
                </c:pt>
                <c:pt idx="13">
                  <c:v>19.100000000000001</c:v>
                </c:pt>
                <c:pt idx="14">
                  <c:v>27.6</c:v>
                </c:pt>
                <c:pt idx="15">
                  <c:v>22.2</c:v>
                </c:pt>
                <c:pt idx="16">
                  <c:v>35.1</c:v>
                </c:pt>
                <c:pt idx="17">
                  <c:v>32.4</c:v>
                </c:pt>
                <c:pt idx="18">
                  <c:v>35.1</c:v>
                </c:pt>
                <c:pt idx="19">
                  <c:v>33.299999999999997</c:v>
                </c:pt>
                <c:pt idx="20">
                  <c:v>29.8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A-8245-B04C-2423C878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182399"/>
        <c:axId val="1194181503"/>
      </c:scatterChart>
      <c:valAx>
        <c:axId val="119418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Bloodmeal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94181503"/>
        <c:crosses val="autoZero"/>
        <c:crossBetween val="midCat"/>
      </c:valAx>
      <c:valAx>
        <c:axId val="11941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Jumplength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9418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Tabelle1!$E$1</c:f>
              <c:strCache>
                <c:ptCount val="1"/>
                <c:pt idx="0">
                  <c:v>bodyweight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Tabelle1!$C$2:$D$22</c:f>
              <c:multiLvlStrCache>
                <c:ptCount val="21"/>
                <c:lvl>
                  <c:pt idx="0">
                    <c:v>hungry</c:v>
                  </c:pt>
                  <c:pt idx="1">
                    <c:v>hungry</c:v>
                  </c:pt>
                  <c:pt idx="2">
                    <c:v>hungry</c:v>
                  </c:pt>
                  <c:pt idx="3">
                    <c:v>hungry</c:v>
                  </c:pt>
                  <c:pt idx="4">
                    <c:v>hungry</c:v>
                  </c:pt>
                  <c:pt idx="5">
                    <c:v>hungry</c:v>
                  </c:pt>
                  <c:pt idx="6">
                    <c:v>hungry</c:v>
                  </c:pt>
                  <c:pt idx="7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overeat</c:v>
                  </c:pt>
                  <c:pt idx="15">
                    <c:v>overeat</c:v>
                  </c:pt>
                  <c:pt idx="16">
                    <c:v>overeat</c:v>
                  </c:pt>
                  <c:pt idx="17">
                    <c:v>overeat</c:v>
                  </c:pt>
                  <c:pt idx="18">
                    <c:v>overeat</c:v>
                  </c:pt>
                  <c:pt idx="19">
                    <c:v>overeat</c:v>
                  </c:pt>
                  <c:pt idx="20">
                    <c:v>overeat</c:v>
                  </c:pt>
                </c:lvl>
                <c:lvl>
                  <c:pt idx="0">
                    <c:v>1,2</c:v>
                  </c:pt>
                  <c:pt idx="1">
                    <c:v>2,4</c:v>
                  </c:pt>
                  <c:pt idx="2">
                    <c:v>3,5</c:v>
                  </c:pt>
                  <c:pt idx="3">
                    <c:v>3,9</c:v>
                  </c:pt>
                  <c:pt idx="4">
                    <c:v>2,8</c:v>
                  </c:pt>
                  <c:pt idx="5">
                    <c:v>1,8</c:v>
                  </c:pt>
                  <c:pt idx="6">
                    <c:v>3,1</c:v>
                  </c:pt>
                  <c:pt idx="7">
                    <c:v>5,1</c:v>
                  </c:pt>
                  <c:pt idx="8">
                    <c:v>4,6</c:v>
                  </c:pt>
                  <c:pt idx="9">
                    <c:v>5,5</c:v>
                  </c:pt>
                  <c:pt idx="10">
                    <c:v>6,2</c:v>
                  </c:pt>
                  <c:pt idx="11">
                    <c:v>7,1</c:v>
                  </c:pt>
                  <c:pt idx="12">
                    <c:v>6,5</c:v>
                  </c:pt>
                  <c:pt idx="13">
                    <c:v>7,6</c:v>
                  </c:pt>
                  <c:pt idx="14">
                    <c:v>8,6</c:v>
                  </c:pt>
                  <c:pt idx="15">
                    <c:v>9,3</c:v>
                  </c:pt>
                  <c:pt idx="16">
                    <c:v>10,5</c:v>
                  </c:pt>
                  <c:pt idx="17">
                    <c:v>9,8</c:v>
                  </c:pt>
                  <c:pt idx="18">
                    <c:v>11,8</c:v>
                  </c:pt>
                  <c:pt idx="19">
                    <c:v>11,1</c:v>
                  </c:pt>
                  <c:pt idx="20">
                    <c:v>10,2</c:v>
                  </c:pt>
                </c:lvl>
              </c:multiLvlStrCache>
            </c:multiLvlStrRef>
          </c:xVal>
          <c:yVal>
            <c:numRef>
              <c:f>Tabelle1!$E$2:$E$22</c:f>
              <c:numCache>
                <c:formatCode>0.0</c:formatCode>
                <c:ptCount val="21"/>
                <c:pt idx="0">
                  <c:v>4.0442008195291219</c:v>
                </c:pt>
                <c:pt idx="1">
                  <c:v>5.931447569656827</c:v>
                </c:pt>
                <c:pt idx="2">
                  <c:v>6.2596616517336532</c:v>
                </c:pt>
                <c:pt idx="3">
                  <c:v>6.4404753752599726</c:v>
                </c:pt>
                <c:pt idx="4">
                  <c:v>7.5086403082086886</c:v>
                </c:pt>
                <c:pt idx="5">
                  <c:v>6.3590183344275015</c:v>
                </c:pt>
                <c:pt idx="6">
                  <c:v>6.4569941214014213</c:v>
                </c:pt>
                <c:pt idx="7">
                  <c:v>8.7693978067474561</c:v>
                </c:pt>
                <c:pt idx="8">
                  <c:v>6.6169119740059363</c:v>
                </c:pt>
                <c:pt idx="9">
                  <c:v>10.832336387909089</c:v>
                </c:pt>
                <c:pt idx="10">
                  <c:v>7.267266148878222</c:v>
                </c:pt>
                <c:pt idx="11">
                  <c:v>12.093664388230273</c:v>
                </c:pt>
                <c:pt idx="12">
                  <c:v>10.141420762699394</c:v>
                </c:pt>
                <c:pt idx="13">
                  <c:v>9.9408642581211542</c:v>
                </c:pt>
                <c:pt idx="14">
                  <c:v>13.697677443059881</c:v>
                </c:pt>
                <c:pt idx="15">
                  <c:v>13.882069918410261</c:v>
                </c:pt>
                <c:pt idx="16">
                  <c:v>12.147801196787892</c:v>
                </c:pt>
                <c:pt idx="17">
                  <c:v>16.038821104735497</c:v>
                </c:pt>
                <c:pt idx="18">
                  <c:v>18.584065966099672</c:v>
                </c:pt>
                <c:pt idx="19">
                  <c:v>15.709875418792961</c:v>
                </c:pt>
                <c:pt idx="20">
                  <c:v>13.789475025637124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5-3F44-B353-3FD818A3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282111"/>
        <c:axId val="1204285247"/>
      </c:scatterChart>
      <c:valAx>
        <c:axId val="120428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Bodyweight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4285247"/>
        <c:crosses val="autoZero"/>
        <c:crossBetween val="midCat"/>
      </c:valAx>
      <c:valAx>
        <c:axId val="12042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Jumplength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428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Tabelle1!$C$2:$C$15</c:f>
              <c:numCache>
                <c:formatCode>General</c:formatCode>
                <c:ptCount val="14"/>
                <c:pt idx="0">
                  <c:v>1.2</c:v>
                </c:pt>
                <c:pt idx="1">
                  <c:v>2.4</c:v>
                </c:pt>
                <c:pt idx="2">
                  <c:v>3.5</c:v>
                </c:pt>
                <c:pt idx="3">
                  <c:v>3.9</c:v>
                </c:pt>
                <c:pt idx="4">
                  <c:v>2.8</c:v>
                </c:pt>
                <c:pt idx="5">
                  <c:v>1.8</c:v>
                </c:pt>
                <c:pt idx="6">
                  <c:v>3.1</c:v>
                </c:pt>
                <c:pt idx="7">
                  <c:v>5.0999999999999996</c:v>
                </c:pt>
                <c:pt idx="8">
                  <c:v>4.5999999999999996</c:v>
                </c:pt>
                <c:pt idx="9">
                  <c:v>5.5</c:v>
                </c:pt>
                <c:pt idx="10">
                  <c:v>6.2</c:v>
                </c:pt>
                <c:pt idx="11">
                  <c:v>7.1</c:v>
                </c:pt>
                <c:pt idx="12">
                  <c:v>6.5</c:v>
                </c:pt>
                <c:pt idx="13">
                  <c:v>7.6</c:v>
                </c:pt>
              </c:numCache>
            </c:numRef>
          </c:xVal>
          <c:yVal>
            <c:numRef>
              <c:f>Tabelle1!$F$2:$F$15</c:f>
              <c:numCache>
                <c:formatCode>General</c:formatCode>
                <c:ptCount val="14"/>
                <c:pt idx="0">
                  <c:v>24.1</c:v>
                </c:pt>
                <c:pt idx="1">
                  <c:v>28.200000000000003</c:v>
                </c:pt>
                <c:pt idx="2">
                  <c:v>24.6</c:v>
                </c:pt>
                <c:pt idx="3">
                  <c:v>21.4</c:v>
                </c:pt>
                <c:pt idx="4">
                  <c:v>26.200000000000003</c:v>
                </c:pt>
                <c:pt idx="5">
                  <c:v>29.200000000000003</c:v>
                </c:pt>
                <c:pt idx="6">
                  <c:v>21.6</c:v>
                </c:pt>
                <c:pt idx="7">
                  <c:v>14.2</c:v>
                </c:pt>
                <c:pt idx="8">
                  <c:v>15.2</c:v>
                </c:pt>
                <c:pt idx="9">
                  <c:v>13.100000000000001</c:v>
                </c:pt>
                <c:pt idx="10">
                  <c:v>14.100000000000001</c:v>
                </c:pt>
                <c:pt idx="11">
                  <c:v>14.3</c:v>
                </c:pt>
                <c:pt idx="12">
                  <c:v>15.2</c:v>
                </c:pt>
                <c:pt idx="13">
                  <c:v>19.100000000000001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68-4F44-924A-26AC9013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644671"/>
        <c:axId val="610647359"/>
      </c:scatterChart>
      <c:valAx>
        <c:axId val="61064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Bloodmeal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0647359"/>
        <c:crosses val="autoZero"/>
        <c:crossBetween val="midCat"/>
      </c:valAx>
      <c:valAx>
        <c:axId val="61064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Jumplength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064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444499</xdr:colOff>
      <xdr:row>13</xdr:row>
      <xdr:rowOff>97118</xdr:rowOff>
    </xdr:from>
    <xdr:to>
      <xdr:col>16</xdr:col>
      <xdr:colOff>41088</xdr:colOff>
      <xdr:row>26</xdr:row>
      <xdr:rowOff>71719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F1A4092-4DA7-0304-6643-CFA5D3CF9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414619</xdr:colOff>
      <xdr:row>0</xdr:row>
      <xdr:rowOff>100107</xdr:rowOff>
    </xdr:from>
    <xdr:to>
      <xdr:col>16</xdr:col>
      <xdr:colOff>11208</xdr:colOff>
      <xdr:row>13</xdr:row>
      <xdr:rowOff>37353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CB36A2D-5AC6-91E5-4770-BB4B5AC43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309034</xdr:colOff>
      <xdr:row>26</xdr:row>
      <xdr:rowOff>16934</xdr:rowOff>
    </xdr:from>
    <xdr:to>
      <xdr:col>15</xdr:col>
      <xdr:colOff>732367</xdr:colOff>
      <xdr:row>39</xdr:row>
      <xdr:rowOff>118534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1CE1B845-E176-074A-AF8F-FF35A68B7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9B87-C84A-2142-A99F-5E2EBBD232E0}">
  <dimension ref="A1:J22"/>
  <sheetViews>
    <sheetView tabSelected="1" zoomScale="150" zoomScaleNormal="150" workbookViewId="0">
      <selection activeCell="E2" sqref="E2"/>
    </sheetView>
  </sheetViews>
  <sheetFormatPr baseColWidth="10" defaultRowHeight="16" x14ac:dyDescent="0.2"/>
  <cols>
    <col min="2" max="2" width="6.6640625" bestFit="1" customWidth="1"/>
  </cols>
  <sheetData>
    <row r="1" spans="1:10" x14ac:dyDescent="0.2">
      <c r="A1" t="s">
        <v>0</v>
      </c>
      <c r="B1" t="s">
        <v>11</v>
      </c>
      <c r="C1" t="s">
        <v>1</v>
      </c>
      <c r="D1" t="s">
        <v>9</v>
      </c>
      <c r="E1" t="s">
        <v>7</v>
      </c>
      <c r="F1" t="s">
        <v>2</v>
      </c>
      <c r="G1" t="s">
        <v>10</v>
      </c>
      <c r="I1" t="s">
        <v>3</v>
      </c>
      <c r="J1" t="s">
        <v>8</v>
      </c>
    </row>
    <row r="2" spans="1:10" x14ac:dyDescent="0.2">
      <c r="A2">
        <v>1</v>
      </c>
      <c r="B2" t="s">
        <v>12</v>
      </c>
      <c r="C2">
        <v>1.2</v>
      </c>
      <c r="D2" t="s">
        <v>4</v>
      </c>
      <c r="E2" s="1">
        <f ca="1">2+1.2*C2+_xlfn.NORM.INV(RAND(),0,2)</f>
        <v>4.0442008195291219</v>
      </c>
      <c r="F2">
        <v>24.1</v>
      </c>
      <c r="G2">
        <f xml:space="preserve"> -0.0365*C2^4 + 0.9348*C2^3 - 7.396*C2^2 + 18.876*C2 + 12.353</f>
        <v>25.893608</v>
      </c>
      <c r="I2">
        <f>_xlfn.STDEV.S(F2:F8)</f>
        <v>3.0220617371021921</v>
      </c>
      <c r="J2">
        <f>AVERAGE(F2:F8)</f>
        <v>25.042857142857144</v>
      </c>
    </row>
    <row r="3" spans="1:10" x14ac:dyDescent="0.2">
      <c r="A3">
        <v>2</v>
      </c>
      <c r="B3" t="s">
        <v>12</v>
      </c>
      <c r="C3">
        <v>2.4</v>
      </c>
      <c r="D3" t="s">
        <v>4</v>
      </c>
      <c r="E3" s="1">
        <f t="shared" ref="E3:E22" ca="1" si="0">2+1.2*C3+_xlfn.NORM.INV(RAND(),0,2)</f>
        <v>5.931447569656827</v>
      </c>
      <c r="F3">
        <v>28.200000000000003</v>
      </c>
      <c r="G3">
        <f t="shared" ref="G3:G22" si="1" xml:space="preserve"> -0.0365*C3^4 + 0.9348*C3^3 - 7.396*C3^2 + 18.876*C3 + 12.353</f>
        <v>26.766132799999994</v>
      </c>
      <c r="I3">
        <f>_xlfn.STDEV.S(F9:F15)</f>
        <v>1.9336617126704347</v>
      </c>
      <c r="J3">
        <f>AVERAGE(F9:F15)</f>
        <v>15.02857142857143</v>
      </c>
    </row>
    <row r="4" spans="1:10" x14ac:dyDescent="0.2">
      <c r="A4">
        <v>3</v>
      </c>
      <c r="B4" t="s">
        <v>12</v>
      </c>
      <c r="C4">
        <v>3.5</v>
      </c>
      <c r="D4" t="s">
        <v>4</v>
      </c>
      <c r="E4" s="1">
        <f t="shared" ca="1" si="0"/>
        <v>6.2596616517336532</v>
      </c>
      <c r="F4">
        <v>24.6</v>
      </c>
      <c r="G4">
        <f t="shared" si="1"/>
        <v>22.420268750000005</v>
      </c>
      <c r="I4">
        <f>_xlfn.STDEV.S(F16:F22)</f>
        <v>4.6724114300250426</v>
      </c>
      <c r="J4">
        <f>AVERAGE(F16:F22)</f>
        <v>30.785714285714285</v>
      </c>
    </row>
    <row r="5" spans="1:10" x14ac:dyDescent="0.2">
      <c r="A5">
        <v>4</v>
      </c>
      <c r="B5" t="s">
        <v>12</v>
      </c>
      <c r="C5">
        <v>3.9</v>
      </c>
      <c r="D5" t="s">
        <v>4</v>
      </c>
      <c r="E5" s="1">
        <f t="shared" ca="1" si="0"/>
        <v>6.4404753752599726</v>
      </c>
      <c r="F5">
        <v>21.4</v>
      </c>
      <c r="G5">
        <f t="shared" si="1"/>
        <v>20.483581550000004</v>
      </c>
    </row>
    <row r="6" spans="1:10" x14ac:dyDescent="0.2">
      <c r="A6">
        <v>5</v>
      </c>
      <c r="B6" t="s">
        <v>12</v>
      </c>
      <c r="C6">
        <v>2.8</v>
      </c>
      <c r="D6" t="s">
        <v>4</v>
      </c>
      <c r="E6" s="1">
        <f t="shared" ca="1" si="0"/>
        <v>7.5086403082086886</v>
      </c>
      <c r="F6">
        <v>26.200000000000003</v>
      </c>
      <c r="G6">
        <f t="shared" si="1"/>
        <v>25.498395200000012</v>
      </c>
    </row>
    <row r="7" spans="1:10" x14ac:dyDescent="0.2">
      <c r="A7">
        <v>6</v>
      </c>
      <c r="B7" t="s">
        <v>12</v>
      </c>
      <c r="C7">
        <v>1.8</v>
      </c>
      <c r="D7" t="s">
        <v>4</v>
      </c>
      <c r="E7" s="1">
        <f t="shared" ca="1" si="0"/>
        <v>6.3590183344275015</v>
      </c>
      <c r="F7">
        <v>29.200000000000003</v>
      </c>
      <c r="G7">
        <f t="shared" si="1"/>
        <v>27.435351199999999</v>
      </c>
    </row>
    <row r="8" spans="1:10" x14ac:dyDescent="0.2">
      <c r="A8">
        <v>7</v>
      </c>
      <c r="B8" t="s">
        <v>12</v>
      </c>
      <c r="C8">
        <v>3.1</v>
      </c>
      <c r="D8" t="s">
        <v>4</v>
      </c>
      <c r="E8" s="1">
        <f t="shared" ca="1" si="0"/>
        <v>6.4569941214014213</v>
      </c>
      <c r="F8">
        <v>21.6</v>
      </c>
      <c r="G8">
        <f t="shared" si="1"/>
        <v>24.270815149999997</v>
      </c>
    </row>
    <row r="9" spans="1:10" x14ac:dyDescent="0.2">
      <c r="A9">
        <v>8</v>
      </c>
      <c r="B9" t="s">
        <v>12</v>
      </c>
      <c r="C9">
        <v>5.0999999999999996</v>
      </c>
      <c r="D9" t="s">
        <v>5</v>
      </c>
      <c r="E9" s="1">
        <f t="shared" ca="1" si="0"/>
        <v>8.7693978067474561</v>
      </c>
      <c r="F9">
        <v>14.2</v>
      </c>
      <c r="G9">
        <f t="shared" si="1"/>
        <v>15.559811150000007</v>
      </c>
    </row>
    <row r="10" spans="1:10" x14ac:dyDescent="0.2">
      <c r="A10">
        <v>9</v>
      </c>
      <c r="B10" t="s">
        <v>12</v>
      </c>
      <c r="C10">
        <v>4.5999999999999996</v>
      </c>
      <c r="D10" t="s">
        <v>5</v>
      </c>
      <c r="E10" s="1">
        <f t="shared" ca="1" si="0"/>
        <v>6.6169119740059363</v>
      </c>
      <c r="F10">
        <v>15.2</v>
      </c>
      <c r="G10">
        <f t="shared" si="1"/>
        <v>17.330218400000014</v>
      </c>
    </row>
    <row r="11" spans="1:10" x14ac:dyDescent="0.2">
      <c r="A11">
        <v>10</v>
      </c>
      <c r="B11" t="s">
        <v>12</v>
      </c>
      <c r="C11">
        <v>5.5</v>
      </c>
      <c r="D11" t="s">
        <v>5</v>
      </c>
      <c r="E11" s="1">
        <f t="shared" ca="1" si="0"/>
        <v>10.832336387909089</v>
      </c>
      <c r="F11">
        <v>13.100000000000001</v>
      </c>
      <c r="G11">
        <f t="shared" si="1"/>
        <v>14.569568750000021</v>
      </c>
    </row>
    <row r="12" spans="1:10" x14ac:dyDescent="0.2">
      <c r="A12">
        <v>11</v>
      </c>
      <c r="B12" t="s">
        <v>12</v>
      </c>
      <c r="C12">
        <v>6.2</v>
      </c>
      <c r="D12" t="s">
        <v>5</v>
      </c>
      <c r="E12" s="1">
        <f t="shared" ca="1" si="0"/>
        <v>7.267266148878222</v>
      </c>
      <c r="F12">
        <v>14.100000000000001</v>
      </c>
      <c r="G12">
        <f t="shared" si="1"/>
        <v>13.937347999999977</v>
      </c>
    </row>
    <row r="13" spans="1:10" x14ac:dyDescent="0.2">
      <c r="A13">
        <v>12</v>
      </c>
      <c r="B13" t="s">
        <v>12</v>
      </c>
      <c r="C13">
        <v>7.1</v>
      </c>
      <c r="D13" t="s">
        <v>5</v>
      </c>
      <c r="E13" s="1">
        <f t="shared" ca="1" si="0"/>
        <v>12.093664388230273</v>
      </c>
      <c r="F13">
        <v>14.3</v>
      </c>
      <c r="G13">
        <f t="shared" si="1"/>
        <v>15.362807149999943</v>
      </c>
    </row>
    <row r="14" spans="1:10" x14ac:dyDescent="0.2">
      <c r="A14">
        <v>13</v>
      </c>
      <c r="B14" t="s">
        <v>12</v>
      </c>
      <c r="C14">
        <v>6.5</v>
      </c>
      <c r="D14" t="s">
        <v>5</v>
      </c>
      <c r="E14" s="1">
        <f t="shared" ca="1" si="0"/>
        <v>10.141420762699394</v>
      </c>
      <c r="F14">
        <v>15.2</v>
      </c>
      <c r="G14">
        <f t="shared" si="1"/>
        <v>14.130668750000018</v>
      </c>
    </row>
    <row r="15" spans="1:10" x14ac:dyDescent="0.2">
      <c r="A15">
        <v>14</v>
      </c>
      <c r="B15" t="s">
        <v>12</v>
      </c>
      <c r="C15">
        <v>7.6</v>
      </c>
      <c r="D15" t="s">
        <v>5</v>
      </c>
      <c r="E15" s="1">
        <f t="shared" ca="1" si="0"/>
        <v>9.9408642581211542</v>
      </c>
      <c r="F15">
        <v>19.100000000000001</v>
      </c>
      <c r="G15">
        <f t="shared" si="1"/>
        <v>17.200462399999985</v>
      </c>
    </row>
    <row r="16" spans="1:10" x14ac:dyDescent="0.2">
      <c r="A16">
        <v>15</v>
      </c>
      <c r="B16" t="s">
        <v>12</v>
      </c>
      <c r="C16">
        <v>8.6</v>
      </c>
      <c r="D16" t="s">
        <v>6</v>
      </c>
      <c r="E16" s="1">
        <f t="shared" ca="1" si="0"/>
        <v>13.697677443059881</v>
      </c>
      <c r="F16">
        <v>27.6</v>
      </c>
      <c r="G16">
        <f t="shared" si="1"/>
        <v>22.605610400000039</v>
      </c>
    </row>
    <row r="17" spans="1:7" x14ac:dyDescent="0.2">
      <c r="A17">
        <v>16</v>
      </c>
      <c r="B17" t="s">
        <v>12</v>
      </c>
      <c r="C17">
        <v>9.3000000000000007</v>
      </c>
      <c r="D17" t="s">
        <v>6</v>
      </c>
      <c r="E17" s="1">
        <f t="shared" ca="1" si="0"/>
        <v>13.882069918410261</v>
      </c>
      <c r="F17">
        <v>22.2</v>
      </c>
      <c r="G17">
        <f t="shared" si="1"/>
        <v>27.093699950000023</v>
      </c>
    </row>
    <row r="18" spans="1:7" x14ac:dyDescent="0.2">
      <c r="A18">
        <v>17</v>
      </c>
      <c r="B18" t="s">
        <v>12</v>
      </c>
      <c r="C18">
        <v>10.5</v>
      </c>
      <c r="D18" t="s">
        <v>6</v>
      </c>
      <c r="E18" s="1">
        <f t="shared" ca="1" si="0"/>
        <v>12.147801196787892</v>
      </c>
      <c r="F18">
        <v>35.1</v>
      </c>
      <c r="G18">
        <f t="shared" si="1"/>
        <v>33.630068750000156</v>
      </c>
    </row>
    <row r="19" spans="1:7" x14ac:dyDescent="0.2">
      <c r="A19">
        <v>18</v>
      </c>
      <c r="B19" t="s">
        <v>12</v>
      </c>
      <c r="C19">
        <v>9.8000000000000007</v>
      </c>
      <c r="D19" t="s">
        <v>6</v>
      </c>
      <c r="E19" s="1">
        <f t="shared" ca="1" si="0"/>
        <v>16.038821104735497</v>
      </c>
      <c r="F19">
        <v>32.4</v>
      </c>
      <c r="G19">
        <f t="shared" si="1"/>
        <v>30.187863199999946</v>
      </c>
    </row>
    <row r="20" spans="1:7" x14ac:dyDescent="0.2">
      <c r="A20">
        <v>19</v>
      </c>
      <c r="B20" t="s">
        <v>12</v>
      </c>
      <c r="C20">
        <v>11.8</v>
      </c>
      <c r="D20" t="s">
        <v>6</v>
      </c>
      <c r="E20" s="1">
        <f t="shared" ca="1" si="0"/>
        <v>18.584065966099672</v>
      </c>
      <c r="F20">
        <v>35.1</v>
      </c>
      <c r="G20">
        <f t="shared" si="1"/>
        <v>33.523191199999864</v>
      </c>
    </row>
    <row r="21" spans="1:7" x14ac:dyDescent="0.2">
      <c r="A21">
        <v>20</v>
      </c>
      <c r="B21" t="s">
        <v>12</v>
      </c>
      <c r="C21">
        <v>11.1</v>
      </c>
      <c r="D21" t="s">
        <v>6</v>
      </c>
      <c r="E21" s="1">
        <f t="shared" ca="1" si="0"/>
        <v>15.709875418792961</v>
      </c>
      <c r="F21">
        <v>33.299999999999997</v>
      </c>
      <c r="G21">
        <f t="shared" si="1"/>
        <v>34.981199149999917</v>
      </c>
    </row>
    <row r="22" spans="1:7" x14ac:dyDescent="0.2">
      <c r="A22">
        <v>21</v>
      </c>
      <c r="B22" t="s">
        <v>12</v>
      </c>
      <c r="C22">
        <v>10.199999999999999</v>
      </c>
      <c r="D22" t="s">
        <v>6</v>
      </c>
      <c r="E22" s="1">
        <f t="shared" ca="1" si="0"/>
        <v>13.789475025637124</v>
      </c>
      <c r="F22">
        <v>29.8</v>
      </c>
      <c r="G22">
        <f t="shared" si="1"/>
        <v>32.337859999999999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2026-06-04T06:30:53Z</dcterms:created>
  <dcterms:modified xsi:type="dcterms:W3CDTF">2026-09-03T17:47:52Z</dcterms:modified>
</cp:coreProperties>
</file>