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uppajo/work/GitHub/vorlesungen/Allgemeine Daten/covariate/"/>
    </mc:Choice>
  </mc:AlternateContent>
  <xr:revisionPtr revIDLastSave="0" documentId="13_ncr:1_{74E5B0A6-F656-C547-B9C3-9EA8CAD51EC3}" xr6:coauthVersionLast="47" xr6:coauthVersionMax="47" xr10:uidLastSave="{00000000-0000-0000-0000-000000000000}"/>
  <bookViews>
    <workbookView xWindow="4900" yWindow="3020" windowWidth="36000" windowHeight="20620" xr2:uid="{A5B12C49-1460-7B46-AA19-811389EE84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3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H4" i="1"/>
  <c r="H3" i="1"/>
  <c r="H2" i="1"/>
</calcChain>
</file>

<file path=xl/sharedStrings.xml><?xml version="1.0" encoding="utf-8"?>
<sst xmlns="http://schemas.openxmlformats.org/spreadsheetml/2006/main" count="28" uniqueCount="10">
  <si>
    <t>fid</t>
  </si>
  <si>
    <t>bloodmeal</t>
  </si>
  <si>
    <t>jumplength</t>
  </si>
  <si>
    <t>sd</t>
  </si>
  <si>
    <t>satisfaction</t>
  </si>
  <si>
    <t>hungry</t>
  </si>
  <si>
    <t>full</t>
  </si>
  <si>
    <t>overeat</t>
  </si>
  <si>
    <t>bodyweight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</si>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</sst>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Tabelle1!$E$1</c:f>
              <c:strCache>
                <c:ptCount val="1"/>
                <c:pt idx="0">
                  <c:v>jumplength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Tabelle1!$B$2:$B$22</c:f>
              <c:numCache>
                <c:formatCode>General</c:formatCode>
                <c:ptCount val="21"/>
                <c:pt idx="0">
                  <c:v>1.2</c:v>
                </c:pt>
                <c:pt idx="1">
                  <c:v>2.4</c:v>
                </c:pt>
                <c:pt idx="2">
                  <c:v>3.5</c:v>
                </c:pt>
                <c:pt idx="3">
                  <c:v>3.9</c:v>
                </c:pt>
                <c:pt idx="4">
                  <c:v>2.8</c:v>
                </c:pt>
                <c:pt idx="5">
                  <c:v>1.8</c:v>
                </c:pt>
                <c:pt idx="6">
                  <c:v>3.1</c:v>
                </c:pt>
                <c:pt idx="7">
                  <c:v>5.0999999999999996</c:v>
                </c:pt>
                <c:pt idx="8">
                  <c:v>4.5999999999999996</c:v>
                </c:pt>
                <c:pt idx="9">
                  <c:v>5.5</c:v>
                </c:pt>
                <c:pt idx="10">
                  <c:v>6.2</c:v>
                </c:pt>
                <c:pt idx="11">
                  <c:v>7.1</c:v>
                </c:pt>
                <c:pt idx="12">
                  <c:v>6.5</c:v>
                </c:pt>
                <c:pt idx="13">
                  <c:v>7.6</c:v>
                </c:pt>
                <c:pt idx="14">
                  <c:v>8.6</c:v>
                </c:pt>
                <c:pt idx="15">
                  <c:v>9.3000000000000007</c:v>
                </c:pt>
                <c:pt idx="16">
                  <c:v>10.5</c:v>
                </c:pt>
                <c:pt idx="17">
                  <c:v>9.8000000000000007</c:v>
                </c:pt>
                <c:pt idx="18">
                  <c:v>11.8</c:v>
                </c:pt>
                <c:pt idx="19">
                  <c:v>11.1</c:v>
                </c:pt>
                <c:pt idx="20">
                  <c:v>10.199999999999999</c:v>
                </c:pt>
              </c:numCache>
            </c:numRef>
          </c:xVal>
          <c:yVal>
            <c:numRef>
              <c:f>Tabelle1!$E$2:$E$22</c:f>
              <c:numCache>
                <c:formatCode>General</c:formatCode>
                <c:ptCount val="21"/>
                <c:pt idx="0">
                  <c:v>26.4</c:v>
                </c:pt>
                <c:pt idx="1">
                  <c:v>28.1</c:v>
                </c:pt>
                <c:pt idx="2">
                  <c:v>27.6</c:v>
                </c:pt>
                <c:pt idx="3">
                  <c:v>21.2</c:v>
                </c:pt>
                <c:pt idx="4">
                  <c:v>22.1</c:v>
                </c:pt>
                <c:pt idx="5">
                  <c:v>29.3</c:v>
                </c:pt>
                <c:pt idx="6">
                  <c:v>24.6</c:v>
                </c:pt>
                <c:pt idx="7">
                  <c:v>14.2</c:v>
                </c:pt>
                <c:pt idx="8">
                  <c:v>17.3</c:v>
                </c:pt>
                <c:pt idx="9">
                  <c:v>13.100000000000001</c:v>
                </c:pt>
                <c:pt idx="10">
                  <c:v>14.100000000000001</c:v>
                </c:pt>
                <c:pt idx="11">
                  <c:v>14.3</c:v>
                </c:pt>
                <c:pt idx="12">
                  <c:v>15.2</c:v>
                </c:pt>
                <c:pt idx="13">
                  <c:v>19.100000000000001</c:v>
                </c:pt>
                <c:pt idx="14">
                  <c:v>27.6</c:v>
                </c:pt>
                <c:pt idx="15">
                  <c:v>22.2</c:v>
                </c:pt>
                <c:pt idx="16">
                  <c:v>35.1</c:v>
                </c:pt>
                <c:pt idx="17">
                  <c:v>35</c:v>
                </c:pt>
                <c:pt idx="18">
                  <c:v>37.1</c:v>
                </c:pt>
                <c:pt idx="19">
                  <c:v>33.299999999999997</c:v>
                </c:pt>
                <c:pt idx="20">
                  <c:v>30.1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A-8245-B04C-2423C878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2399"/>
        <c:axId val="1194181503"/>
      </c:scatterChart>
      <c:valAx>
        <c:axId val="119418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Bloodmeal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94181503"/>
        <c:crosses val="autoZero"/>
        <c:crossBetween val="midCat"/>
      </c:valAx>
      <c:valAx>
        <c:axId val="11941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Jumplength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9418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bodyweight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Tabelle1!$B$2:$C$22</c:f>
              <c:multiLvlStrCache>
                <c:ptCount val="21"/>
                <c:lvl>
                  <c:pt idx="0">
                    <c:v>hungry</c:v>
                  </c:pt>
                  <c:pt idx="1">
                    <c:v>hungry</c:v>
                  </c:pt>
                  <c:pt idx="2">
                    <c:v>hungry</c:v>
                  </c:pt>
                  <c:pt idx="3">
                    <c:v>hungry</c:v>
                  </c:pt>
                  <c:pt idx="4">
                    <c:v>hungry</c:v>
                  </c:pt>
                  <c:pt idx="5">
                    <c:v>hungry</c:v>
                  </c:pt>
                  <c:pt idx="6">
                    <c:v>hungry</c:v>
                  </c:pt>
                  <c:pt idx="7">
                    <c:v>full</c:v>
                  </c:pt>
                  <c:pt idx="8">
                    <c:v>full</c:v>
                  </c:pt>
                  <c:pt idx="9">
                    <c:v>full</c:v>
                  </c:pt>
                  <c:pt idx="10">
                    <c:v>full</c:v>
                  </c:pt>
                  <c:pt idx="11">
                    <c:v>full</c:v>
                  </c:pt>
                  <c:pt idx="12">
                    <c:v>full</c:v>
                  </c:pt>
                  <c:pt idx="13">
                    <c:v>full</c:v>
                  </c:pt>
                  <c:pt idx="14">
                    <c:v>overeat</c:v>
                  </c:pt>
                  <c:pt idx="15">
                    <c:v>overeat</c:v>
                  </c:pt>
                  <c:pt idx="16">
                    <c:v>overeat</c:v>
                  </c:pt>
                  <c:pt idx="17">
                    <c:v>overeat</c:v>
                  </c:pt>
                  <c:pt idx="18">
                    <c:v>overeat</c:v>
                  </c:pt>
                  <c:pt idx="19">
                    <c:v>overeat</c:v>
                  </c:pt>
                  <c:pt idx="20">
                    <c:v>overeat</c:v>
                  </c:pt>
                </c:lvl>
                <c:lvl>
                  <c:pt idx="0">
                    <c:v>1,2</c:v>
                  </c:pt>
                  <c:pt idx="1">
                    <c:v>2,4</c:v>
                  </c:pt>
                  <c:pt idx="2">
                    <c:v>3,5</c:v>
                  </c:pt>
                  <c:pt idx="3">
                    <c:v>3,9</c:v>
                  </c:pt>
                  <c:pt idx="4">
                    <c:v>2,8</c:v>
                  </c:pt>
                  <c:pt idx="5">
                    <c:v>1,8</c:v>
                  </c:pt>
                  <c:pt idx="6">
                    <c:v>3,1</c:v>
                  </c:pt>
                  <c:pt idx="7">
                    <c:v>5,1</c:v>
                  </c:pt>
                  <c:pt idx="8">
                    <c:v>4,6</c:v>
                  </c:pt>
                  <c:pt idx="9">
                    <c:v>5,5</c:v>
                  </c:pt>
                  <c:pt idx="10">
                    <c:v>6,2</c:v>
                  </c:pt>
                  <c:pt idx="11">
                    <c:v>7,1</c:v>
                  </c:pt>
                  <c:pt idx="12">
                    <c:v>6,5</c:v>
                  </c:pt>
                  <c:pt idx="13">
                    <c:v>7,6</c:v>
                  </c:pt>
                  <c:pt idx="14">
                    <c:v>8,6</c:v>
                  </c:pt>
                  <c:pt idx="15">
                    <c:v>9,3</c:v>
                  </c:pt>
                  <c:pt idx="16">
                    <c:v>10,5</c:v>
                  </c:pt>
                  <c:pt idx="17">
                    <c:v>9,8</c:v>
                  </c:pt>
                  <c:pt idx="18">
                    <c:v>11,8</c:v>
                  </c:pt>
                  <c:pt idx="19">
                    <c:v>11,1</c:v>
                  </c:pt>
                  <c:pt idx="20">
                    <c:v>10,2</c:v>
                  </c:pt>
                </c:lvl>
              </c:multiLvlStrCache>
            </c:multiLvlStrRef>
          </c:xVal>
          <c:yVal>
            <c:numRef>
              <c:f>Tabelle1!$D$2:$D$22</c:f>
              <c:numCache>
                <c:formatCode>0.0</c:formatCode>
                <c:ptCount val="21"/>
                <c:pt idx="0">
                  <c:v>8.5913968960289822</c:v>
                </c:pt>
                <c:pt idx="1">
                  <c:v>8.8163872986800307</c:v>
                </c:pt>
                <c:pt idx="2">
                  <c:v>4.0986279129456946</c:v>
                </c:pt>
                <c:pt idx="3">
                  <c:v>6.3121984072961492</c:v>
                </c:pt>
                <c:pt idx="4">
                  <c:v>4.6553029875884855</c:v>
                </c:pt>
                <c:pt idx="5">
                  <c:v>3.8978603936994363</c:v>
                </c:pt>
                <c:pt idx="6">
                  <c:v>1.7644101439598745</c:v>
                </c:pt>
                <c:pt idx="7">
                  <c:v>8.540499169321178</c:v>
                </c:pt>
                <c:pt idx="8">
                  <c:v>5.1848323299896935</c:v>
                </c:pt>
                <c:pt idx="9">
                  <c:v>9.160407229991014</c:v>
                </c:pt>
                <c:pt idx="10">
                  <c:v>9.8355690549857471</c:v>
                </c:pt>
                <c:pt idx="11">
                  <c:v>9.8680058184757993</c:v>
                </c:pt>
                <c:pt idx="12">
                  <c:v>11.927912348853017</c:v>
                </c:pt>
                <c:pt idx="13">
                  <c:v>7.6725475000825263</c:v>
                </c:pt>
                <c:pt idx="14">
                  <c:v>14.656159059412463</c:v>
                </c:pt>
                <c:pt idx="15">
                  <c:v>10.551558005405006</c:v>
                </c:pt>
                <c:pt idx="16">
                  <c:v>11.548986677155275</c:v>
                </c:pt>
                <c:pt idx="17">
                  <c:v>14.25617181434581</c:v>
                </c:pt>
                <c:pt idx="18">
                  <c:v>15.65322685223035</c:v>
                </c:pt>
                <c:pt idx="19">
                  <c:v>14.801295568464589</c:v>
                </c:pt>
                <c:pt idx="20">
                  <c:v>13.592116001964307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5-3F44-B353-3FD818A3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282111"/>
        <c:axId val="1204285247"/>
      </c:scatterChart>
      <c:valAx>
        <c:axId val="120428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Bodyweight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4285247"/>
        <c:crosses val="autoZero"/>
        <c:crossBetween val="midCat"/>
      </c:valAx>
      <c:valAx>
        <c:axId val="12042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Jumplength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428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339911</xdr:colOff>
      <xdr:row>14</xdr:row>
      <xdr:rowOff>115048</xdr:rowOff>
    </xdr:from>
    <xdr:to>
      <xdr:col>14</xdr:col>
      <xdr:colOff>765735</xdr:colOff>
      <xdr:row>28</xdr:row>
      <xdr:rowOff>34365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F1A4092-4DA7-0304-6643-CFA5D3CF9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324972</xdr:colOff>
      <xdr:row>0</xdr:row>
      <xdr:rowOff>129989</xdr:rowOff>
    </xdr:from>
    <xdr:to>
      <xdr:col>14</xdr:col>
      <xdr:colOff>750796</xdr:colOff>
      <xdr:row>14</xdr:row>
      <xdr:rowOff>49307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CB36A2D-5AC6-91E5-4770-BB4B5AC43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9B87-C84A-2142-A99F-5E2EBBD232E0}">
  <dimension ref="A1:I22"/>
  <sheetViews>
    <sheetView tabSelected="1" zoomScale="170" zoomScaleNormal="170" workbookViewId="0">
      <selection activeCell="F14" sqref="F1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4</v>
      </c>
      <c r="D1" t="s">
        <v>8</v>
      </c>
      <c r="E1" t="s">
        <v>2</v>
      </c>
      <c r="H1" t="s">
        <v>3</v>
      </c>
      <c r="I1" t="s">
        <v>9</v>
      </c>
    </row>
    <row r="2" spans="1:9" x14ac:dyDescent="0.2">
      <c r="A2">
        <v>1</v>
      </c>
      <c r="B2">
        <v>1.2</v>
      </c>
      <c r="C2" t="s">
        <v>5</v>
      </c>
      <c r="D2" s="1">
        <f ca="1">2+1.2*B2+_xlfn.NORM.INV(RAND(),0,2)</f>
        <v>8.5913968960289822</v>
      </c>
      <c r="E2">
        <v>26.4</v>
      </c>
      <c r="H2">
        <f>_xlfn.STDEV.S(E2:E8)</f>
        <v>3.0873011792548648</v>
      </c>
      <c r="I2">
        <f>AVERAGE(E2:E8)</f>
        <v>25.614285714285717</v>
      </c>
    </row>
    <row r="3" spans="1:9" x14ac:dyDescent="0.2">
      <c r="A3">
        <v>2</v>
      </c>
      <c r="B3">
        <v>2.4</v>
      </c>
      <c r="C3" t="s">
        <v>5</v>
      </c>
      <c r="D3" s="1">
        <f t="shared" ref="D3:D22" ca="1" si="0">2+1.2*B3+_xlfn.NORM.INV(RAND(),0,2)</f>
        <v>8.8163872986800307</v>
      </c>
      <c r="E3">
        <v>28.1</v>
      </c>
      <c r="H3">
        <f>_xlfn.STDEV.S(E9:E15)</f>
        <v>2.1187372699434817</v>
      </c>
      <c r="I3">
        <f>AVERAGE(E9:E15)</f>
        <v>15.328571428571431</v>
      </c>
    </row>
    <row r="4" spans="1:9" x14ac:dyDescent="0.2">
      <c r="A4">
        <v>3</v>
      </c>
      <c r="B4">
        <v>3.5</v>
      </c>
      <c r="C4" t="s">
        <v>5</v>
      </c>
      <c r="D4" s="1">
        <f t="shared" ca="1" si="0"/>
        <v>4.0986279129456946</v>
      </c>
      <c r="E4">
        <v>27.6</v>
      </c>
      <c r="H4">
        <f>_xlfn.STDEV.S(E16:E22)</f>
        <v>5.219651511812045</v>
      </c>
      <c r="I4">
        <f>AVERAGE(E16:E22)</f>
        <v>31.485714285714288</v>
      </c>
    </row>
    <row r="5" spans="1:9" x14ac:dyDescent="0.2">
      <c r="A5">
        <v>4</v>
      </c>
      <c r="B5">
        <v>3.9</v>
      </c>
      <c r="C5" t="s">
        <v>5</v>
      </c>
      <c r="D5" s="1">
        <f t="shared" ca="1" si="0"/>
        <v>6.3121984072961492</v>
      </c>
      <c r="E5">
        <v>21.2</v>
      </c>
    </row>
    <row r="6" spans="1:9" x14ac:dyDescent="0.2">
      <c r="A6">
        <v>5</v>
      </c>
      <c r="B6">
        <v>2.8</v>
      </c>
      <c r="C6" t="s">
        <v>5</v>
      </c>
      <c r="D6" s="1">
        <f t="shared" ca="1" si="0"/>
        <v>4.6553029875884855</v>
      </c>
      <c r="E6">
        <v>22.1</v>
      </c>
    </row>
    <row r="7" spans="1:9" x14ac:dyDescent="0.2">
      <c r="A7">
        <v>6</v>
      </c>
      <c r="B7">
        <v>1.8</v>
      </c>
      <c r="C7" t="s">
        <v>5</v>
      </c>
      <c r="D7" s="1">
        <f t="shared" ca="1" si="0"/>
        <v>3.8978603936994363</v>
      </c>
      <c r="E7">
        <v>29.3</v>
      </c>
    </row>
    <row r="8" spans="1:9" x14ac:dyDescent="0.2">
      <c r="A8">
        <v>7</v>
      </c>
      <c r="B8">
        <v>3.1</v>
      </c>
      <c r="C8" t="s">
        <v>5</v>
      </c>
      <c r="D8" s="1">
        <f t="shared" ca="1" si="0"/>
        <v>1.7644101439598745</v>
      </c>
      <c r="E8">
        <v>24.6</v>
      </c>
    </row>
    <row r="9" spans="1:9" x14ac:dyDescent="0.2">
      <c r="A9">
        <v>8</v>
      </c>
      <c r="B9">
        <v>5.0999999999999996</v>
      </c>
      <c r="C9" t="s">
        <v>6</v>
      </c>
      <c r="D9" s="1">
        <f t="shared" ca="1" si="0"/>
        <v>8.540499169321178</v>
      </c>
      <c r="E9">
        <v>14.2</v>
      </c>
    </row>
    <row r="10" spans="1:9" x14ac:dyDescent="0.2">
      <c r="A10">
        <v>9</v>
      </c>
      <c r="B10">
        <v>4.5999999999999996</v>
      </c>
      <c r="C10" t="s">
        <v>6</v>
      </c>
      <c r="D10" s="1">
        <f t="shared" ca="1" si="0"/>
        <v>5.1848323299896935</v>
      </c>
      <c r="E10">
        <v>17.3</v>
      </c>
    </row>
    <row r="11" spans="1:9" x14ac:dyDescent="0.2">
      <c r="A11">
        <v>10</v>
      </c>
      <c r="B11">
        <v>5.5</v>
      </c>
      <c r="C11" t="s">
        <v>6</v>
      </c>
      <c r="D11" s="1">
        <f t="shared" ca="1" si="0"/>
        <v>9.160407229991014</v>
      </c>
      <c r="E11">
        <v>13.100000000000001</v>
      </c>
    </row>
    <row r="12" spans="1:9" x14ac:dyDescent="0.2">
      <c r="A12">
        <v>11</v>
      </c>
      <c r="B12">
        <v>6.2</v>
      </c>
      <c r="C12" t="s">
        <v>6</v>
      </c>
      <c r="D12" s="1">
        <f t="shared" ca="1" si="0"/>
        <v>9.8355690549857471</v>
      </c>
      <c r="E12">
        <v>14.100000000000001</v>
      </c>
    </row>
    <row r="13" spans="1:9" x14ac:dyDescent="0.2">
      <c r="A13">
        <v>12</v>
      </c>
      <c r="B13">
        <v>7.1</v>
      </c>
      <c r="C13" t="s">
        <v>6</v>
      </c>
      <c r="D13" s="1">
        <f t="shared" ca="1" si="0"/>
        <v>9.8680058184757993</v>
      </c>
      <c r="E13">
        <v>14.3</v>
      </c>
    </row>
    <row r="14" spans="1:9" x14ac:dyDescent="0.2">
      <c r="A14">
        <v>13</v>
      </c>
      <c r="B14">
        <v>6.5</v>
      </c>
      <c r="C14" t="s">
        <v>6</v>
      </c>
      <c r="D14" s="1">
        <f t="shared" ca="1" si="0"/>
        <v>11.927912348853017</v>
      </c>
      <c r="E14">
        <v>15.2</v>
      </c>
    </row>
    <row r="15" spans="1:9" x14ac:dyDescent="0.2">
      <c r="A15">
        <v>14</v>
      </c>
      <c r="B15">
        <v>7.6</v>
      </c>
      <c r="C15" t="s">
        <v>6</v>
      </c>
      <c r="D15" s="1">
        <f t="shared" ca="1" si="0"/>
        <v>7.6725475000825263</v>
      </c>
      <c r="E15">
        <v>19.100000000000001</v>
      </c>
    </row>
    <row r="16" spans="1:9" x14ac:dyDescent="0.2">
      <c r="A16">
        <v>15</v>
      </c>
      <c r="B16">
        <v>8.6</v>
      </c>
      <c r="C16" t="s">
        <v>7</v>
      </c>
      <c r="D16" s="1">
        <f t="shared" ca="1" si="0"/>
        <v>14.656159059412463</v>
      </c>
      <c r="E16">
        <v>27.6</v>
      </c>
    </row>
    <row r="17" spans="1:5" x14ac:dyDescent="0.2">
      <c r="A17">
        <v>16</v>
      </c>
      <c r="B17">
        <v>9.3000000000000007</v>
      </c>
      <c r="C17" t="s">
        <v>7</v>
      </c>
      <c r="D17" s="1">
        <f t="shared" ca="1" si="0"/>
        <v>10.551558005405006</v>
      </c>
      <c r="E17">
        <v>22.2</v>
      </c>
    </row>
    <row r="18" spans="1:5" x14ac:dyDescent="0.2">
      <c r="A18">
        <v>17</v>
      </c>
      <c r="B18">
        <v>10.5</v>
      </c>
      <c r="C18" t="s">
        <v>7</v>
      </c>
      <c r="D18" s="1">
        <f t="shared" ca="1" si="0"/>
        <v>11.548986677155275</v>
      </c>
      <c r="E18">
        <v>35.1</v>
      </c>
    </row>
    <row r="19" spans="1:5" x14ac:dyDescent="0.2">
      <c r="A19">
        <v>18</v>
      </c>
      <c r="B19">
        <v>9.8000000000000007</v>
      </c>
      <c r="C19" t="s">
        <v>7</v>
      </c>
      <c r="D19" s="1">
        <f t="shared" ca="1" si="0"/>
        <v>14.25617181434581</v>
      </c>
      <c r="E19">
        <v>35</v>
      </c>
    </row>
    <row r="20" spans="1:5" x14ac:dyDescent="0.2">
      <c r="A20">
        <v>19</v>
      </c>
      <c r="B20">
        <v>11.8</v>
      </c>
      <c r="C20" t="s">
        <v>7</v>
      </c>
      <c r="D20" s="1">
        <f t="shared" ca="1" si="0"/>
        <v>15.65322685223035</v>
      </c>
      <c r="E20">
        <v>37.1</v>
      </c>
    </row>
    <row r="21" spans="1:5" x14ac:dyDescent="0.2">
      <c r="A21">
        <v>20</v>
      </c>
      <c r="B21">
        <v>11.1</v>
      </c>
      <c r="C21" t="s">
        <v>7</v>
      </c>
      <c r="D21" s="1">
        <f t="shared" ca="1" si="0"/>
        <v>14.801295568464589</v>
      </c>
      <c r="E21">
        <v>33.299999999999997</v>
      </c>
    </row>
    <row r="22" spans="1:5" x14ac:dyDescent="0.2">
      <c r="A22">
        <v>21</v>
      </c>
      <c r="B22">
        <v>10.199999999999999</v>
      </c>
      <c r="C22" t="s">
        <v>7</v>
      </c>
      <c r="D22" s="1">
        <f t="shared" ca="1" si="0"/>
        <v>13.592116001964307</v>
      </c>
      <c r="E22">
        <v>30.1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2026-06-04T06:30:53Z</dcterms:created>
  <dcterms:modified xsi:type="dcterms:W3CDTF">2026-06-04T09:49:49Z</dcterms:modified>
</cp:coreProperties>
</file>