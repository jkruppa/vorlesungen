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vorlesungen/Allgemeine Daten/factorial/generation/"/>
    </mc:Choice>
  </mc:AlternateContent>
  <xr:revisionPtr revIDLastSave="0" documentId="13_ncr:1_{0E094E4E-F15C-B947-A7A7-24BABECA84AC}" xr6:coauthVersionLast="47" xr6:coauthVersionMax="47" xr10:uidLastSave="{00000000-0000-0000-0000-000000000000}"/>
  <bookViews>
    <workbookView xWindow="5080" yWindow="1840" windowWidth="28240" windowHeight="17240" xr2:uid="{6978665F-AE58-9942-96F9-D6070AA249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E39" i="1"/>
  <c r="E40" i="1"/>
  <c r="E41" i="1"/>
  <c r="E42" i="1"/>
  <c r="E43" i="1"/>
  <c r="E37" i="1"/>
  <c r="E31" i="1"/>
  <c r="E32" i="1"/>
  <c r="E33" i="1"/>
  <c r="E34" i="1"/>
  <c r="E35" i="1"/>
  <c r="E36" i="1"/>
  <c r="E30" i="1"/>
  <c r="E24" i="1"/>
  <c r="E25" i="1"/>
  <c r="E26" i="1"/>
  <c r="E27" i="1"/>
  <c r="E28" i="1"/>
  <c r="E29" i="1"/>
  <c r="E23" i="1"/>
  <c r="E17" i="1"/>
  <c r="E18" i="1"/>
  <c r="E19" i="1"/>
  <c r="E20" i="1"/>
  <c r="E21" i="1"/>
  <c r="E22" i="1"/>
  <c r="E16" i="1"/>
  <c r="E10" i="1"/>
  <c r="E11" i="1"/>
  <c r="E12" i="1"/>
  <c r="E13" i="1"/>
  <c r="E14" i="1"/>
  <c r="E15" i="1"/>
  <c r="E9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<sst xmlns="http://schemas.openxmlformats.org/spreadsheetml/2006/main" count="131" uniqueCount="11">
  <si>
    <t>fid</t>
  </si>
  <si>
    <t>host</t>
  </si>
  <si>
    <t>jumplength</t>
  </si>
  <si>
    <t>human</t>
  </si>
  <si>
    <t>feeding</t>
  </si>
  <si>
    <t>sugar</t>
  </si>
  <si>
    <t>ketchup</t>
  </si>
  <si>
    <t>blood</t>
  </si>
  <si>
    <t>stage</t>
  </si>
  <si>
    <t>juvenile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</si>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</sst>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F5E8-7A34-1340-8A3A-063A3EAC75A8}">
  <dimension ref="A1:E43"/>
  <sheetViews>
    <sheetView tabSelected="1" topLeftCell="A22" zoomScale="130" zoomScaleNormal="130" workbookViewId="0">
      <selection activeCell="J28" sqref="J28"/>
    </sheetView>
  </sheetViews>
  <sheetFormatPr baseColWidth="10" defaultRowHeight="16" x14ac:dyDescent="0.2"/>
  <cols>
    <col min="1" max="1" width="3.1640625" bestFit="1" customWidth="1"/>
    <col min="2" max="2" width="6.6640625" bestFit="1" customWidth="1"/>
    <col min="3" max="3" width="7.6640625" bestFit="1" customWidth="1"/>
    <col min="4" max="4" width="7.6640625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8</v>
      </c>
      <c r="E1" t="s">
        <v>2</v>
      </c>
    </row>
    <row r="2" spans="1:5" x14ac:dyDescent="0.2">
      <c r="A2">
        <v>1</v>
      </c>
      <c r="B2" t="s">
        <v>3</v>
      </c>
      <c r="C2" t="s">
        <v>5</v>
      </c>
      <c r="D2" t="s">
        <v>9</v>
      </c>
      <c r="E2" s="1">
        <f ca="1">_xlfn.NORM.INV(RAND(), 20, 3)</f>
        <v>22.994272663342645</v>
      </c>
    </row>
    <row r="3" spans="1:5" x14ac:dyDescent="0.2">
      <c r="A3">
        <v>2</v>
      </c>
      <c r="B3" t="s">
        <v>3</v>
      </c>
      <c r="C3" t="s">
        <v>5</v>
      </c>
      <c r="D3" t="s">
        <v>9</v>
      </c>
      <c r="E3" s="1">
        <f t="shared" ref="E3:E8" ca="1" si="0">_xlfn.NORM.INV(RAND(), 20, 3)</f>
        <v>21.744099314230013</v>
      </c>
    </row>
    <row r="4" spans="1:5" x14ac:dyDescent="0.2">
      <c r="A4">
        <v>3</v>
      </c>
      <c r="B4" t="s">
        <v>3</v>
      </c>
      <c r="C4" t="s">
        <v>5</v>
      </c>
      <c r="D4" t="s">
        <v>9</v>
      </c>
      <c r="E4" s="1">
        <f t="shared" ca="1" si="0"/>
        <v>12.855607210121693</v>
      </c>
    </row>
    <row r="5" spans="1:5" x14ac:dyDescent="0.2">
      <c r="A5">
        <v>4</v>
      </c>
      <c r="B5" t="s">
        <v>3</v>
      </c>
      <c r="C5" t="s">
        <v>5</v>
      </c>
      <c r="D5" t="s">
        <v>9</v>
      </c>
      <c r="E5" s="1">
        <f t="shared" ca="1" si="0"/>
        <v>22.024972314322394</v>
      </c>
    </row>
    <row r="6" spans="1:5" x14ac:dyDescent="0.2">
      <c r="A6">
        <v>5</v>
      </c>
      <c r="B6" t="s">
        <v>3</v>
      </c>
      <c r="C6" t="s">
        <v>5</v>
      </c>
      <c r="D6" t="s">
        <v>9</v>
      </c>
      <c r="E6" s="1">
        <f t="shared" ca="1" si="0"/>
        <v>22.194581413765967</v>
      </c>
    </row>
    <row r="7" spans="1:5" x14ac:dyDescent="0.2">
      <c r="A7">
        <v>6</v>
      </c>
      <c r="B7" t="s">
        <v>3</v>
      </c>
      <c r="C7" t="s">
        <v>5</v>
      </c>
      <c r="D7" t="s">
        <v>9</v>
      </c>
      <c r="E7" s="1">
        <f t="shared" ca="1" si="0"/>
        <v>19.937760161172498</v>
      </c>
    </row>
    <row r="8" spans="1:5" x14ac:dyDescent="0.2">
      <c r="A8">
        <v>7</v>
      </c>
      <c r="B8" t="s">
        <v>3</v>
      </c>
      <c r="C8" t="s">
        <v>5</v>
      </c>
      <c r="D8" t="s">
        <v>9</v>
      </c>
      <c r="E8" s="1">
        <f t="shared" ca="1" si="0"/>
        <v>19.557427406999452</v>
      </c>
    </row>
    <row r="9" spans="1:5" x14ac:dyDescent="0.2">
      <c r="A9">
        <v>8</v>
      </c>
      <c r="B9" t="s">
        <v>3</v>
      </c>
      <c r="C9" t="s">
        <v>6</v>
      </c>
      <c r="D9" t="s">
        <v>9</v>
      </c>
      <c r="E9" s="1">
        <f ca="1">_xlfn.NORM.INV(RAND(), 15, 3)</f>
        <v>11.061835755880232</v>
      </c>
    </row>
    <row r="10" spans="1:5" x14ac:dyDescent="0.2">
      <c r="A10">
        <v>9</v>
      </c>
      <c r="B10" t="s">
        <v>3</v>
      </c>
      <c r="C10" t="s">
        <v>6</v>
      </c>
      <c r="D10" t="s">
        <v>9</v>
      </c>
      <c r="E10" s="1">
        <f t="shared" ref="E10:E15" ca="1" si="1">_xlfn.NORM.INV(RAND(), 15, 3)</f>
        <v>18.690064677002123</v>
      </c>
    </row>
    <row r="11" spans="1:5" x14ac:dyDescent="0.2">
      <c r="A11">
        <v>10</v>
      </c>
      <c r="B11" t="s">
        <v>3</v>
      </c>
      <c r="C11" t="s">
        <v>6</v>
      </c>
      <c r="D11" t="s">
        <v>9</v>
      </c>
      <c r="E11" s="1">
        <f t="shared" ca="1" si="1"/>
        <v>15.310341710304886</v>
      </c>
    </row>
    <row r="12" spans="1:5" x14ac:dyDescent="0.2">
      <c r="A12">
        <v>11</v>
      </c>
      <c r="B12" t="s">
        <v>3</v>
      </c>
      <c r="C12" t="s">
        <v>6</v>
      </c>
      <c r="D12" t="s">
        <v>9</v>
      </c>
      <c r="E12" s="1">
        <f t="shared" ca="1" si="1"/>
        <v>15.031080797449265</v>
      </c>
    </row>
    <row r="13" spans="1:5" x14ac:dyDescent="0.2">
      <c r="A13">
        <v>12</v>
      </c>
      <c r="B13" t="s">
        <v>3</v>
      </c>
      <c r="C13" t="s">
        <v>6</v>
      </c>
      <c r="D13" t="s">
        <v>9</v>
      </c>
      <c r="E13" s="1">
        <f t="shared" ca="1" si="1"/>
        <v>15.042977066143285</v>
      </c>
    </row>
    <row r="14" spans="1:5" x14ac:dyDescent="0.2">
      <c r="A14">
        <v>13</v>
      </c>
      <c r="B14" t="s">
        <v>3</v>
      </c>
      <c r="C14" t="s">
        <v>6</v>
      </c>
      <c r="D14" t="s">
        <v>9</v>
      </c>
      <c r="E14" s="1">
        <f t="shared" ca="1" si="1"/>
        <v>20.813659731512981</v>
      </c>
    </row>
    <row r="15" spans="1:5" x14ac:dyDescent="0.2">
      <c r="A15">
        <v>14</v>
      </c>
      <c r="B15" t="s">
        <v>3</v>
      </c>
      <c r="C15" t="s">
        <v>6</v>
      </c>
      <c r="D15" t="s">
        <v>9</v>
      </c>
      <c r="E15" s="1">
        <f t="shared" ca="1" si="1"/>
        <v>19.330174178720771</v>
      </c>
    </row>
    <row r="16" spans="1:5" x14ac:dyDescent="0.2">
      <c r="A16">
        <v>15</v>
      </c>
      <c r="B16" t="s">
        <v>3</v>
      </c>
      <c r="C16" t="s">
        <v>7</v>
      </c>
      <c r="D16" t="s">
        <v>9</v>
      </c>
      <c r="E16" s="1">
        <f ca="1">_xlfn.NORM.INV(RAND(), 25, 3)</f>
        <v>25.904012023423036</v>
      </c>
    </row>
    <row r="17" spans="1:5" x14ac:dyDescent="0.2">
      <c r="A17">
        <v>16</v>
      </c>
      <c r="B17" t="s">
        <v>3</v>
      </c>
      <c r="C17" t="s">
        <v>7</v>
      </c>
      <c r="D17" t="s">
        <v>9</v>
      </c>
      <c r="E17" s="1">
        <f t="shared" ref="E17:E43" ca="1" si="2">_xlfn.NORM.INV(RAND(), 25, 3)</f>
        <v>29.25096043714306</v>
      </c>
    </row>
    <row r="18" spans="1:5" x14ac:dyDescent="0.2">
      <c r="A18">
        <v>17</v>
      </c>
      <c r="B18" t="s">
        <v>3</v>
      </c>
      <c r="C18" t="s">
        <v>7</v>
      </c>
      <c r="D18" t="s">
        <v>9</v>
      </c>
      <c r="E18" s="1">
        <f t="shared" ca="1" si="2"/>
        <v>23.404720831984456</v>
      </c>
    </row>
    <row r="19" spans="1:5" x14ac:dyDescent="0.2">
      <c r="A19">
        <v>18</v>
      </c>
      <c r="B19" t="s">
        <v>3</v>
      </c>
      <c r="C19" t="s">
        <v>7</v>
      </c>
      <c r="D19" t="s">
        <v>9</v>
      </c>
      <c r="E19" s="1">
        <f t="shared" ca="1" si="2"/>
        <v>21.234960749597661</v>
      </c>
    </row>
    <row r="20" spans="1:5" x14ac:dyDescent="0.2">
      <c r="A20">
        <v>19</v>
      </c>
      <c r="B20" t="s">
        <v>3</v>
      </c>
      <c r="C20" t="s">
        <v>7</v>
      </c>
      <c r="D20" t="s">
        <v>9</v>
      </c>
      <c r="E20" s="1">
        <f t="shared" ca="1" si="2"/>
        <v>30.094390457040184</v>
      </c>
    </row>
    <row r="21" spans="1:5" x14ac:dyDescent="0.2">
      <c r="A21">
        <v>20</v>
      </c>
      <c r="B21" t="s">
        <v>3</v>
      </c>
      <c r="C21" t="s">
        <v>7</v>
      </c>
      <c r="D21" t="s">
        <v>9</v>
      </c>
      <c r="E21" s="1">
        <f t="shared" ca="1" si="2"/>
        <v>29.220657307399097</v>
      </c>
    </row>
    <row r="22" spans="1:5" x14ac:dyDescent="0.2">
      <c r="A22">
        <v>21</v>
      </c>
      <c r="B22" t="s">
        <v>3</v>
      </c>
      <c r="C22" t="s">
        <v>7</v>
      </c>
      <c r="D22" t="s">
        <v>9</v>
      </c>
      <c r="E22" s="1">
        <f t="shared" ca="1" si="2"/>
        <v>19.52828238801742</v>
      </c>
    </row>
    <row r="23" spans="1:5" x14ac:dyDescent="0.2">
      <c r="A23">
        <v>22</v>
      </c>
      <c r="B23" t="s">
        <v>3</v>
      </c>
      <c r="C23" t="s">
        <v>5</v>
      </c>
      <c r="D23" t="s">
        <v>10</v>
      </c>
      <c r="E23" s="1">
        <f ca="1">_xlfn.NORM.INV(RAND(), 17, 3)</f>
        <v>19.060155551989762</v>
      </c>
    </row>
    <row r="24" spans="1:5" x14ac:dyDescent="0.2">
      <c r="A24">
        <v>23</v>
      </c>
      <c r="B24" t="s">
        <v>3</v>
      </c>
      <c r="C24" t="s">
        <v>5</v>
      </c>
      <c r="D24" t="s">
        <v>10</v>
      </c>
      <c r="E24" s="1">
        <f t="shared" ref="E24:E29" ca="1" si="3">_xlfn.NORM.INV(RAND(), 17, 3)</f>
        <v>17.232245277599635</v>
      </c>
    </row>
    <row r="25" spans="1:5" x14ac:dyDescent="0.2">
      <c r="A25">
        <v>24</v>
      </c>
      <c r="B25" t="s">
        <v>3</v>
      </c>
      <c r="C25" t="s">
        <v>5</v>
      </c>
      <c r="D25" t="s">
        <v>10</v>
      </c>
      <c r="E25" s="1">
        <f t="shared" ca="1" si="3"/>
        <v>13.858479847802922</v>
      </c>
    </row>
    <row r="26" spans="1:5" x14ac:dyDescent="0.2">
      <c r="A26">
        <v>25</v>
      </c>
      <c r="B26" t="s">
        <v>3</v>
      </c>
      <c r="C26" t="s">
        <v>5</v>
      </c>
      <c r="D26" t="s">
        <v>10</v>
      </c>
      <c r="E26" s="1">
        <f t="shared" ca="1" si="3"/>
        <v>21.326595859382063</v>
      </c>
    </row>
    <row r="27" spans="1:5" x14ac:dyDescent="0.2">
      <c r="A27">
        <v>26</v>
      </c>
      <c r="B27" t="s">
        <v>3</v>
      </c>
      <c r="C27" t="s">
        <v>5</v>
      </c>
      <c r="D27" t="s">
        <v>10</v>
      </c>
      <c r="E27" s="1">
        <f t="shared" ca="1" si="3"/>
        <v>16.758830320109418</v>
      </c>
    </row>
    <row r="28" spans="1:5" x14ac:dyDescent="0.2">
      <c r="A28">
        <v>27</v>
      </c>
      <c r="B28" t="s">
        <v>3</v>
      </c>
      <c r="C28" t="s">
        <v>5</v>
      </c>
      <c r="D28" t="s">
        <v>10</v>
      </c>
      <c r="E28" s="1">
        <f t="shared" ca="1" si="3"/>
        <v>20.581960380792413</v>
      </c>
    </row>
    <row r="29" spans="1:5" x14ac:dyDescent="0.2">
      <c r="A29">
        <v>28</v>
      </c>
      <c r="B29" t="s">
        <v>3</v>
      </c>
      <c r="C29" t="s">
        <v>5</v>
      </c>
      <c r="D29" t="s">
        <v>10</v>
      </c>
      <c r="E29" s="1">
        <f t="shared" ca="1" si="3"/>
        <v>18.318110669826758</v>
      </c>
    </row>
    <row r="30" spans="1:5" x14ac:dyDescent="0.2">
      <c r="A30">
        <v>29</v>
      </c>
      <c r="B30" t="s">
        <v>3</v>
      </c>
      <c r="C30" t="s">
        <v>6</v>
      </c>
      <c r="D30" t="s">
        <v>10</v>
      </c>
      <c r="E30" s="1">
        <f ca="1">_xlfn.NORM.INV(RAND(), 18, 3)</f>
        <v>20.081936623228998</v>
      </c>
    </row>
    <row r="31" spans="1:5" x14ac:dyDescent="0.2">
      <c r="A31">
        <v>30</v>
      </c>
      <c r="B31" t="s">
        <v>3</v>
      </c>
      <c r="C31" t="s">
        <v>6</v>
      </c>
      <c r="D31" t="s">
        <v>10</v>
      </c>
      <c r="E31" s="1">
        <f t="shared" ref="E31:E36" ca="1" si="4">_xlfn.NORM.INV(RAND(), 18, 3)</f>
        <v>19.496008169796756</v>
      </c>
    </row>
    <row r="32" spans="1:5" x14ac:dyDescent="0.2">
      <c r="A32">
        <v>31</v>
      </c>
      <c r="B32" t="s">
        <v>3</v>
      </c>
      <c r="C32" t="s">
        <v>6</v>
      </c>
      <c r="D32" t="s">
        <v>10</v>
      </c>
      <c r="E32" s="1">
        <f t="shared" ca="1" si="4"/>
        <v>15.490616169529758</v>
      </c>
    </row>
    <row r="33" spans="1:5" x14ac:dyDescent="0.2">
      <c r="A33">
        <v>32</v>
      </c>
      <c r="B33" t="s">
        <v>3</v>
      </c>
      <c r="C33" t="s">
        <v>6</v>
      </c>
      <c r="D33" t="s">
        <v>10</v>
      </c>
      <c r="E33" s="1">
        <f t="shared" ca="1" si="4"/>
        <v>18.136377459196886</v>
      </c>
    </row>
    <row r="34" spans="1:5" x14ac:dyDescent="0.2">
      <c r="A34">
        <v>33</v>
      </c>
      <c r="B34" t="s">
        <v>3</v>
      </c>
      <c r="C34" t="s">
        <v>6</v>
      </c>
      <c r="D34" t="s">
        <v>10</v>
      </c>
      <c r="E34" s="1">
        <f t="shared" ca="1" si="4"/>
        <v>13.045193969546663</v>
      </c>
    </row>
    <row r="35" spans="1:5" x14ac:dyDescent="0.2">
      <c r="A35">
        <v>34</v>
      </c>
      <c r="B35" t="s">
        <v>3</v>
      </c>
      <c r="C35" t="s">
        <v>6</v>
      </c>
      <c r="D35" t="s">
        <v>10</v>
      </c>
      <c r="E35" s="1">
        <f t="shared" ca="1" si="4"/>
        <v>22.852975090919625</v>
      </c>
    </row>
    <row r="36" spans="1:5" x14ac:dyDescent="0.2">
      <c r="A36">
        <v>35</v>
      </c>
      <c r="B36" t="s">
        <v>3</v>
      </c>
      <c r="C36" t="s">
        <v>6</v>
      </c>
      <c r="D36" t="s">
        <v>10</v>
      </c>
      <c r="E36" s="1">
        <f t="shared" ca="1" si="4"/>
        <v>22.591666289922429</v>
      </c>
    </row>
    <row r="37" spans="1:5" x14ac:dyDescent="0.2">
      <c r="A37">
        <v>36</v>
      </c>
      <c r="B37" t="s">
        <v>3</v>
      </c>
      <c r="C37" t="s">
        <v>7</v>
      </c>
      <c r="D37" t="s">
        <v>10</v>
      </c>
      <c r="E37" s="1">
        <f ca="1">_xlfn.NORM.INV(RAND(), 22, 3)</f>
        <v>26.596075496334713</v>
      </c>
    </row>
    <row r="38" spans="1:5" x14ac:dyDescent="0.2">
      <c r="A38">
        <v>37</v>
      </c>
      <c r="B38" t="s">
        <v>3</v>
      </c>
      <c r="C38" t="s">
        <v>7</v>
      </c>
      <c r="D38" t="s">
        <v>10</v>
      </c>
      <c r="E38" s="1">
        <f t="shared" ref="E38:E43" ca="1" si="5">_xlfn.NORM.INV(RAND(), 22, 3)</f>
        <v>24.004186351166823</v>
      </c>
    </row>
    <row r="39" spans="1:5" x14ac:dyDescent="0.2">
      <c r="A39">
        <v>38</v>
      </c>
      <c r="B39" t="s">
        <v>3</v>
      </c>
      <c r="C39" t="s">
        <v>7</v>
      </c>
      <c r="D39" t="s">
        <v>10</v>
      </c>
      <c r="E39" s="1">
        <f t="shared" ca="1" si="5"/>
        <v>19.509013833663946</v>
      </c>
    </row>
    <row r="40" spans="1:5" x14ac:dyDescent="0.2">
      <c r="A40">
        <v>39</v>
      </c>
      <c r="B40" t="s">
        <v>3</v>
      </c>
      <c r="C40" t="s">
        <v>7</v>
      </c>
      <c r="D40" t="s">
        <v>10</v>
      </c>
      <c r="E40" s="1">
        <f t="shared" ca="1" si="5"/>
        <v>21.641662287618608</v>
      </c>
    </row>
    <row r="41" spans="1:5" x14ac:dyDescent="0.2">
      <c r="A41">
        <v>40</v>
      </c>
      <c r="B41" t="s">
        <v>3</v>
      </c>
      <c r="C41" t="s">
        <v>7</v>
      </c>
      <c r="D41" t="s">
        <v>10</v>
      </c>
      <c r="E41" s="1">
        <f t="shared" ca="1" si="5"/>
        <v>20.553212478210966</v>
      </c>
    </row>
    <row r="42" spans="1:5" x14ac:dyDescent="0.2">
      <c r="A42">
        <v>41</v>
      </c>
      <c r="B42" t="s">
        <v>3</v>
      </c>
      <c r="C42" t="s">
        <v>7</v>
      </c>
      <c r="D42" t="s">
        <v>10</v>
      </c>
      <c r="E42" s="1">
        <f t="shared" ca="1" si="5"/>
        <v>23.608405446567268</v>
      </c>
    </row>
    <row r="43" spans="1:5" x14ac:dyDescent="0.2">
      <c r="A43">
        <v>42</v>
      </c>
      <c r="B43" t="s">
        <v>3</v>
      </c>
      <c r="C43" t="s">
        <v>7</v>
      </c>
      <c r="D43" t="s">
        <v>10</v>
      </c>
      <c r="E43" s="1">
        <f t="shared" ca="1" si="5"/>
        <v>22.616621998627519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2026-06-05T17:56:40Z</dcterms:created>
  <dcterms:modified xsi:type="dcterms:W3CDTF">2026-06-05T18:08:22Z</dcterms:modified>
</cp:coreProperties>
</file>