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vorlesungen/Allgemeine Daten/questionaire/"/>
    </mc:Choice>
  </mc:AlternateContent>
  <xr:revisionPtr revIDLastSave="0" documentId="13_ncr:1_{68C4EC34-A419-344C-83A0-5CAD588140BD}" xr6:coauthVersionLast="47" xr6:coauthVersionMax="47" xr10:uidLastSave="{00000000-0000-0000-0000-000000000000}"/>
  <bookViews>
    <workbookView xWindow="5080" yWindow="1860" windowWidth="28240" windowHeight="17240" xr2:uid="{4B0CAF44-59F9-924D-AB82-433A2D608263}"/>
  </bookViews>
  <sheets>
    <sheet name="answer" sheetId="1" r:id="rId1"/>
    <sheet name="short_lo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J2" i="1" s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2" i="1"/>
  <c r="I3" i="1" l="1"/>
  <c r="J3" i="1"/>
  <c r="I2" i="1"/>
</calcChain>
</file>

<file path=xl/sharedStrings.xml><?xml version="1.0" encoding="utf-8"?>
<sst xmlns="http://schemas.openxmlformats.org/spreadsheetml/2006/main" count="222" uniqueCount="25">
  <si>
    <t>Von welcher Tierart stammt Ihr Floh im Ohr?</t>
  </si>
  <si>
    <t>short</t>
  </si>
  <si>
    <t>long</t>
  </si>
  <si>
    <t>Wie zufrieden sind Sie mit dem Befall und den einhergehenden sozialen Einschränkungen?</t>
  </si>
  <si>
    <t>Hatte Ihr Floh in der letzten Woche (7 Tage) einen Flohschnupfen an mindestens 1 Tag?</t>
  </si>
  <si>
    <t>Wirt des Flohs</t>
  </si>
  <si>
    <t>Zufriedenheit des Infizierten</t>
  </si>
  <si>
    <t>Flohschnupfen vom Floh</t>
  </si>
  <si>
    <t>Ernährungszustand des Flohs</t>
  </si>
  <si>
    <t>Wie ist der allgemeine Ernährungszustand Ihres Flohs?</t>
  </si>
  <si>
    <t>Lfd. Nr.</t>
  </si>
  <si>
    <t>hund</t>
  </si>
  <si>
    <t>katze</t>
  </si>
  <si>
    <t>Sehr zufrieden</t>
  </si>
  <si>
    <t>Eher zufrieden</t>
  </si>
  <si>
    <t>Weder noch</t>
  </si>
  <si>
    <t>Eher unzufrieden</t>
  </si>
  <si>
    <t>Sehr unzufrieden</t>
  </si>
  <si>
    <t>ja</t>
  </si>
  <si>
    <t>nein</t>
  </si>
  <si>
    <t>gut</t>
  </si>
  <si>
    <t>mittel</t>
  </si>
  <si>
    <t>schlecht</t>
  </si>
  <si>
    <t>Wie weit springt Ihr Floh aus Ihrem Ohr?</t>
  </si>
  <si>
    <t>Sprungweite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</si>
</sst>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8866-8147-2644-8659-C5E920B7E74F}">
  <dimension ref="A1:J53"/>
  <sheetViews>
    <sheetView tabSelected="1" zoomScaleNormal="100" workbookViewId="0">
      <selection activeCell="I9" sqref="I9"/>
    </sheetView>
  </sheetViews>
  <sheetFormatPr baseColWidth="10" defaultRowHeight="16" x14ac:dyDescent="0.2"/>
  <cols>
    <col min="2" max="2" width="12.5" bestFit="1" customWidth="1"/>
    <col min="3" max="3" width="24" bestFit="1" customWidth="1"/>
    <col min="4" max="4" width="11.1640625" bestFit="1" customWidth="1"/>
    <col min="5" max="5" width="20.6640625" bestFit="1" customWidth="1"/>
    <col min="6" max="6" width="24.83203125" bestFit="1" customWidth="1"/>
  </cols>
  <sheetData>
    <row r="1" spans="1:10" x14ac:dyDescent="0.2">
      <c r="A1" t="s">
        <v>10</v>
      </c>
      <c r="B1" t="s">
        <v>5</v>
      </c>
      <c r="C1" t="s">
        <v>6</v>
      </c>
      <c r="D1" t="s">
        <v>24</v>
      </c>
      <c r="E1" t="s">
        <v>7</v>
      </c>
      <c r="F1" t="s">
        <v>8</v>
      </c>
    </row>
    <row r="2" spans="1:10" x14ac:dyDescent="0.2">
      <c r="A2">
        <v>1</v>
      </c>
      <c r="B2" t="s">
        <v>11</v>
      </c>
      <c r="C2" t="s">
        <v>13</v>
      </c>
      <c r="D2" s="1">
        <f ca="1">_xlfn.NORM.INV(RAND(), 30.4, 9.1)</f>
        <v>18.745600934905596</v>
      </c>
      <c r="E2" t="s">
        <v>18</v>
      </c>
      <c r="F2" t="s">
        <v>20</v>
      </c>
      <c r="I2" s="1">
        <f ca="1">AVERAGE(D2:D31)</f>
        <v>28.710730952972998</v>
      </c>
      <c r="J2">
        <f ca="1">_xlfn.STDEV.S(D2:D31)</f>
        <v>9.337972848739005</v>
      </c>
    </row>
    <row r="3" spans="1:10" x14ac:dyDescent="0.2">
      <c r="A3">
        <v>2</v>
      </c>
      <c r="B3" t="s">
        <v>11</v>
      </c>
      <c r="C3" t="s">
        <v>14</v>
      </c>
      <c r="D3" s="1">
        <f t="shared" ref="D3:D31" ca="1" si="0">_xlfn.NORM.INV(RAND(), 30.4, 9.1)</f>
        <v>22.024545823374698</v>
      </c>
      <c r="E3" t="s">
        <v>19</v>
      </c>
      <c r="F3" t="s">
        <v>21</v>
      </c>
      <c r="I3" s="1">
        <f ca="1">AVERAGE(D32:D52)</f>
        <v>24.409175962273718</v>
      </c>
      <c r="J3">
        <f ca="1">_xlfn.STDEV.S(D32:D52)</f>
        <v>9.8183586399941607</v>
      </c>
    </row>
    <row r="4" spans="1:10" x14ac:dyDescent="0.2">
      <c r="A4">
        <v>3</v>
      </c>
      <c r="B4" t="s">
        <v>11</v>
      </c>
      <c r="C4" t="s">
        <v>13</v>
      </c>
      <c r="D4" s="1">
        <f t="shared" ca="1" si="0"/>
        <v>22.967961888416333</v>
      </c>
      <c r="E4" t="s">
        <v>18</v>
      </c>
      <c r="F4" t="s">
        <v>22</v>
      </c>
    </row>
    <row r="5" spans="1:10" x14ac:dyDescent="0.2">
      <c r="A5">
        <v>4</v>
      </c>
      <c r="B5" t="s">
        <v>11</v>
      </c>
      <c r="C5" t="s">
        <v>14</v>
      </c>
      <c r="D5" s="1">
        <f t="shared" ca="1" si="0"/>
        <v>29.825577443126335</v>
      </c>
      <c r="E5" t="s">
        <v>19</v>
      </c>
      <c r="F5" t="s">
        <v>20</v>
      </c>
    </row>
    <row r="6" spans="1:10" x14ac:dyDescent="0.2">
      <c r="A6">
        <v>5</v>
      </c>
      <c r="B6" t="s">
        <v>11</v>
      </c>
      <c r="C6" t="s">
        <v>14</v>
      </c>
      <c r="D6" s="1">
        <f t="shared" ca="1" si="0"/>
        <v>25.735088352832626</v>
      </c>
      <c r="E6" t="s">
        <v>18</v>
      </c>
      <c r="F6" t="s">
        <v>20</v>
      </c>
    </row>
    <row r="7" spans="1:10" x14ac:dyDescent="0.2">
      <c r="A7">
        <v>6</v>
      </c>
      <c r="B7" t="s">
        <v>11</v>
      </c>
      <c r="C7" t="s">
        <v>15</v>
      </c>
      <c r="D7" s="1">
        <f t="shared" ca="1" si="0"/>
        <v>22.664008386020996</v>
      </c>
      <c r="E7" t="s">
        <v>18</v>
      </c>
      <c r="F7" t="s">
        <v>21</v>
      </c>
    </row>
    <row r="8" spans="1:10" x14ac:dyDescent="0.2">
      <c r="A8">
        <v>7</v>
      </c>
      <c r="B8" t="s">
        <v>11</v>
      </c>
      <c r="C8" t="s">
        <v>13</v>
      </c>
      <c r="D8" s="1">
        <f t="shared" ca="1" si="0"/>
        <v>32.927151529979113</v>
      </c>
      <c r="E8" t="s">
        <v>18</v>
      </c>
      <c r="F8" t="s">
        <v>22</v>
      </c>
    </row>
    <row r="9" spans="1:10" x14ac:dyDescent="0.2">
      <c r="A9">
        <v>8</v>
      </c>
      <c r="B9" t="s">
        <v>11</v>
      </c>
      <c r="C9" t="s">
        <v>13</v>
      </c>
      <c r="D9" s="1">
        <f t="shared" ca="1" si="0"/>
        <v>10.571151502891514</v>
      </c>
      <c r="E9" t="s">
        <v>18</v>
      </c>
      <c r="F9" t="s">
        <v>20</v>
      </c>
    </row>
    <row r="10" spans="1:10" x14ac:dyDescent="0.2">
      <c r="A10">
        <v>9</v>
      </c>
      <c r="B10" t="s">
        <v>11</v>
      </c>
      <c r="C10" t="s">
        <v>16</v>
      </c>
      <c r="D10" s="1">
        <f t="shared" ca="1" si="0"/>
        <v>18.660586406513801</v>
      </c>
      <c r="E10" t="s">
        <v>18</v>
      </c>
      <c r="F10" t="s">
        <v>21</v>
      </c>
    </row>
    <row r="11" spans="1:10" x14ac:dyDescent="0.2">
      <c r="A11">
        <v>10</v>
      </c>
      <c r="B11" t="s">
        <v>11</v>
      </c>
      <c r="C11" t="s">
        <v>14</v>
      </c>
      <c r="D11" s="1">
        <f t="shared" ca="1" si="0"/>
        <v>26.499927036999278</v>
      </c>
      <c r="E11" t="s">
        <v>18</v>
      </c>
      <c r="F11" t="s">
        <v>20</v>
      </c>
    </row>
    <row r="12" spans="1:10" x14ac:dyDescent="0.2">
      <c r="A12">
        <v>11</v>
      </c>
      <c r="B12" t="s">
        <v>11</v>
      </c>
      <c r="C12" t="s">
        <v>17</v>
      </c>
      <c r="D12" s="1">
        <f t="shared" ca="1" si="0"/>
        <v>31.06574933308114</v>
      </c>
      <c r="E12" t="s">
        <v>18</v>
      </c>
      <c r="F12" t="s">
        <v>21</v>
      </c>
    </row>
    <row r="13" spans="1:10" x14ac:dyDescent="0.2">
      <c r="A13">
        <v>12</v>
      </c>
      <c r="B13" t="s">
        <v>11</v>
      </c>
      <c r="C13" t="s">
        <v>15</v>
      </c>
      <c r="D13" s="1">
        <f t="shared" ca="1" si="0"/>
        <v>29.384168728357718</v>
      </c>
      <c r="E13" t="s">
        <v>18</v>
      </c>
      <c r="F13" t="s">
        <v>22</v>
      </c>
    </row>
    <row r="14" spans="1:10" x14ac:dyDescent="0.2">
      <c r="A14">
        <v>13</v>
      </c>
      <c r="B14" t="s">
        <v>11</v>
      </c>
      <c r="C14" t="s">
        <v>17</v>
      </c>
      <c r="D14" s="1">
        <f t="shared" ca="1" si="0"/>
        <v>25.663798261485848</v>
      </c>
      <c r="E14" t="s">
        <v>19</v>
      </c>
      <c r="F14" t="s">
        <v>20</v>
      </c>
    </row>
    <row r="15" spans="1:10" x14ac:dyDescent="0.2">
      <c r="A15">
        <v>14</v>
      </c>
      <c r="B15" t="s">
        <v>11</v>
      </c>
      <c r="C15" t="s">
        <v>14</v>
      </c>
      <c r="D15" s="1">
        <f t="shared" ca="1" si="0"/>
        <v>27.142455859074129</v>
      </c>
      <c r="E15" t="s">
        <v>18</v>
      </c>
      <c r="F15" t="s">
        <v>22</v>
      </c>
    </row>
    <row r="16" spans="1:10" x14ac:dyDescent="0.2">
      <c r="A16">
        <v>15</v>
      </c>
      <c r="B16" t="s">
        <v>11</v>
      </c>
      <c r="C16" t="s">
        <v>15</v>
      </c>
      <c r="D16" s="1">
        <f t="shared" ca="1" si="0"/>
        <v>40.5148445858607</v>
      </c>
      <c r="E16" t="s">
        <v>19</v>
      </c>
      <c r="F16" t="s">
        <v>22</v>
      </c>
    </row>
    <row r="17" spans="1:6" x14ac:dyDescent="0.2">
      <c r="A17">
        <v>16</v>
      </c>
      <c r="B17" t="s">
        <v>11</v>
      </c>
      <c r="C17" t="s">
        <v>14</v>
      </c>
      <c r="D17" s="1">
        <f t="shared" ca="1" si="0"/>
        <v>14.822627916015461</v>
      </c>
      <c r="E17" t="s">
        <v>18</v>
      </c>
      <c r="F17" t="s">
        <v>20</v>
      </c>
    </row>
    <row r="18" spans="1:6" x14ac:dyDescent="0.2">
      <c r="A18">
        <v>17</v>
      </c>
      <c r="B18" t="s">
        <v>11</v>
      </c>
      <c r="C18" t="s">
        <v>14</v>
      </c>
      <c r="D18" s="1">
        <f t="shared" ca="1" si="0"/>
        <v>28.771288031217328</v>
      </c>
      <c r="E18" t="s">
        <v>18</v>
      </c>
      <c r="F18" t="s">
        <v>21</v>
      </c>
    </row>
    <row r="19" spans="1:6" x14ac:dyDescent="0.2">
      <c r="A19">
        <v>18</v>
      </c>
      <c r="B19" t="s">
        <v>11</v>
      </c>
      <c r="C19" t="s">
        <v>13</v>
      </c>
      <c r="D19" s="1">
        <f t="shared" ca="1" si="0"/>
        <v>37.39541985854931</v>
      </c>
      <c r="E19" t="s">
        <v>18</v>
      </c>
      <c r="F19" t="s">
        <v>20</v>
      </c>
    </row>
    <row r="20" spans="1:6" x14ac:dyDescent="0.2">
      <c r="A20">
        <v>19</v>
      </c>
      <c r="B20" t="s">
        <v>11</v>
      </c>
      <c r="C20" t="s">
        <v>15</v>
      </c>
      <c r="D20" s="1">
        <f t="shared" ca="1" si="0"/>
        <v>38.753094838298288</v>
      </c>
      <c r="E20" t="s">
        <v>19</v>
      </c>
      <c r="F20" t="s">
        <v>20</v>
      </c>
    </row>
    <row r="21" spans="1:6" x14ac:dyDescent="0.2">
      <c r="A21">
        <v>20</v>
      </c>
      <c r="B21" t="s">
        <v>11</v>
      </c>
      <c r="C21" t="s">
        <v>14</v>
      </c>
      <c r="D21" s="1">
        <f t="shared" ca="1" si="0"/>
        <v>31.929422806990228</v>
      </c>
      <c r="E21" t="s">
        <v>18</v>
      </c>
      <c r="F21" t="s">
        <v>22</v>
      </c>
    </row>
    <row r="22" spans="1:6" x14ac:dyDescent="0.2">
      <c r="A22">
        <v>21</v>
      </c>
      <c r="B22" t="s">
        <v>11</v>
      </c>
      <c r="C22" t="s">
        <v>17</v>
      </c>
      <c r="D22" s="1">
        <f t="shared" ca="1" si="0"/>
        <v>50.557798697007378</v>
      </c>
      <c r="E22" t="s">
        <v>18</v>
      </c>
      <c r="F22" t="s">
        <v>21</v>
      </c>
    </row>
    <row r="23" spans="1:6" x14ac:dyDescent="0.2">
      <c r="A23">
        <v>22</v>
      </c>
      <c r="B23" t="s">
        <v>11</v>
      </c>
      <c r="C23" t="s">
        <v>13</v>
      </c>
      <c r="D23" s="1">
        <f t="shared" ca="1" si="0"/>
        <v>29.130072763009572</v>
      </c>
      <c r="E23" t="s">
        <v>18</v>
      </c>
      <c r="F23" t="s">
        <v>20</v>
      </c>
    </row>
    <row r="24" spans="1:6" x14ac:dyDescent="0.2">
      <c r="A24">
        <v>23</v>
      </c>
      <c r="B24" t="s">
        <v>11</v>
      </c>
      <c r="C24" t="s">
        <v>15</v>
      </c>
      <c r="D24" s="1">
        <f t="shared" ca="1" si="0"/>
        <v>43.180975351384156</v>
      </c>
      <c r="E24" t="s">
        <v>19</v>
      </c>
      <c r="F24" t="s">
        <v>21</v>
      </c>
    </row>
    <row r="25" spans="1:6" x14ac:dyDescent="0.2">
      <c r="A25">
        <v>24</v>
      </c>
      <c r="B25" t="s">
        <v>11</v>
      </c>
      <c r="C25" t="s">
        <v>14</v>
      </c>
      <c r="D25" s="1">
        <f t="shared" ca="1" si="0"/>
        <v>31.352866732797171</v>
      </c>
      <c r="E25" t="s">
        <v>18</v>
      </c>
      <c r="F25" t="s">
        <v>20</v>
      </c>
    </row>
    <row r="26" spans="1:6" x14ac:dyDescent="0.2">
      <c r="A26">
        <v>25</v>
      </c>
      <c r="B26" t="s">
        <v>11</v>
      </c>
      <c r="C26" t="s">
        <v>13</v>
      </c>
      <c r="D26" s="1">
        <f t="shared" ca="1" si="0"/>
        <v>32.551512897650092</v>
      </c>
      <c r="E26" t="s">
        <v>19</v>
      </c>
      <c r="F26" t="s">
        <v>22</v>
      </c>
    </row>
    <row r="27" spans="1:6" x14ac:dyDescent="0.2">
      <c r="A27">
        <v>26</v>
      </c>
      <c r="B27" t="s">
        <v>11</v>
      </c>
      <c r="C27" t="s">
        <v>14</v>
      </c>
      <c r="D27" s="1">
        <f t="shared" ca="1" si="0"/>
        <v>39.502642682771146</v>
      </c>
      <c r="E27" t="s">
        <v>18</v>
      </c>
      <c r="F27" t="s">
        <v>20</v>
      </c>
    </row>
    <row r="28" spans="1:6" x14ac:dyDescent="0.2">
      <c r="A28">
        <v>27</v>
      </c>
      <c r="B28" t="s">
        <v>11</v>
      </c>
      <c r="C28" t="s">
        <v>16</v>
      </c>
      <c r="D28" s="1">
        <f t="shared" ca="1" si="0"/>
        <v>14.453291067563535</v>
      </c>
      <c r="E28" t="s">
        <v>19</v>
      </c>
      <c r="F28" t="s">
        <v>22</v>
      </c>
    </row>
    <row r="29" spans="1:6" x14ac:dyDescent="0.2">
      <c r="A29">
        <v>28</v>
      </c>
      <c r="B29" t="s">
        <v>11</v>
      </c>
      <c r="C29" t="s">
        <v>14</v>
      </c>
      <c r="D29" s="1">
        <f t="shared" ca="1" si="0"/>
        <v>32.108567534316379</v>
      </c>
      <c r="E29" t="s">
        <v>18</v>
      </c>
      <c r="F29" t="s">
        <v>21</v>
      </c>
    </row>
    <row r="30" spans="1:6" x14ac:dyDescent="0.2">
      <c r="A30">
        <v>29</v>
      </c>
      <c r="B30" t="s">
        <v>11</v>
      </c>
      <c r="C30" t="s">
        <v>17</v>
      </c>
      <c r="D30" s="1">
        <f t="shared" ca="1" si="0"/>
        <v>14.734026646906857</v>
      </c>
      <c r="E30" t="s">
        <v>18</v>
      </c>
      <c r="F30" t="s">
        <v>20</v>
      </c>
    </row>
    <row r="31" spans="1:6" x14ac:dyDescent="0.2">
      <c r="A31">
        <v>30</v>
      </c>
      <c r="B31" t="s">
        <v>11</v>
      </c>
      <c r="C31" t="s">
        <v>17</v>
      </c>
      <c r="D31" s="1">
        <f t="shared" ca="1" si="0"/>
        <v>37.685704691793063</v>
      </c>
      <c r="E31" t="s">
        <v>19</v>
      </c>
      <c r="F31" t="s">
        <v>20</v>
      </c>
    </row>
    <row r="32" spans="1:6" x14ac:dyDescent="0.2">
      <c r="A32">
        <v>31</v>
      </c>
      <c r="B32" t="s">
        <v>12</v>
      </c>
      <c r="C32" t="s">
        <v>17</v>
      </c>
      <c r="D32" s="1">
        <f ca="1">_xlfn.NORM.INV(RAND(), 19.9, 9.1)</f>
        <v>35.511592209472539</v>
      </c>
      <c r="E32" t="s">
        <v>19</v>
      </c>
      <c r="F32" t="s">
        <v>22</v>
      </c>
    </row>
    <row r="33" spans="1:6" x14ac:dyDescent="0.2">
      <c r="A33">
        <v>32</v>
      </c>
      <c r="B33" t="s">
        <v>12</v>
      </c>
      <c r="C33" t="s">
        <v>17</v>
      </c>
      <c r="D33" s="1">
        <f t="shared" ref="D33:D52" ca="1" si="1">_xlfn.NORM.INV(RAND(), 19.9, 9.1)</f>
        <v>15.55963418691789</v>
      </c>
      <c r="E33" t="s">
        <v>18</v>
      </c>
      <c r="F33" t="s">
        <v>21</v>
      </c>
    </row>
    <row r="34" spans="1:6" x14ac:dyDescent="0.2">
      <c r="A34">
        <v>33</v>
      </c>
      <c r="B34" t="s">
        <v>12</v>
      </c>
      <c r="C34" t="s">
        <v>14</v>
      </c>
      <c r="D34" s="1">
        <f t="shared" ca="1" si="1"/>
        <v>24.943791174372834</v>
      </c>
      <c r="E34" t="s">
        <v>19</v>
      </c>
      <c r="F34" t="s">
        <v>20</v>
      </c>
    </row>
    <row r="35" spans="1:6" x14ac:dyDescent="0.2">
      <c r="A35">
        <v>34</v>
      </c>
      <c r="B35" t="s">
        <v>12</v>
      </c>
      <c r="C35" t="s">
        <v>16</v>
      </c>
      <c r="D35" s="1">
        <f t="shared" ca="1" si="1"/>
        <v>23.734634962306458</v>
      </c>
      <c r="E35" t="s">
        <v>18</v>
      </c>
      <c r="F35" t="s">
        <v>22</v>
      </c>
    </row>
    <row r="36" spans="1:6" x14ac:dyDescent="0.2">
      <c r="A36">
        <v>35</v>
      </c>
      <c r="B36" t="s">
        <v>12</v>
      </c>
      <c r="C36" t="s">
        <v>14</v>
      </c>
      <c r="D36" s="1">
        <f t="shared" ca="1" si="1"/>
        <v>29.124857185454427</v>
      </c>
      <c r="E36" t="s">
        <v>19</v>
      </c>
      <c r="F36" t="s">
        <v>20</v>
      </c>
    </row>
    <row r="37" spans="1:6" x14ac:dyDescent="0.2">
      <c r="A37">
        <v>36</v>
      </c>
      <c r="B37" t="s">
        <v>12</v>
      </c>
      <c r="C37" t="s">
        <v>14</v>
      </c>
      <c r="D37" s="1">
        <f t="shared" ca="1" si="1"/>
        <v>30.410850603317225</v>
      </c>
      <c r="E37" t="s">
        <v>18</v>
      </c>
      <c r="F37" t="s">
        <v>21</v>
      </c>
    </row>
    <row r="38" spans="1:6" x14ac:dyDescent="0.2">
      <c r="A38">
        <v>37</v>
      </c>
      <c r="B38" t="s">
        <v>12</v>
      </c>
      <c r="C38" t="s">
        <v>16</v>
      </c>
      <c r="D38" s="1">
        <f t="shared" ca="1" si="1"/>
        <v>16.249560404964647</v>
      </c>
      <c r="E38" t="s">
        <v>19</v>
      </c>
      <c r="F38" s="2" t="s">
        <v>20</v>
      </c>
    </row>
    <row r="39" spans="1:6" x14ac:dyDescent="0.2">
      <c r="A39">
        <v>38</v>
      </c>
      <c r="B39" t="s">
        <v>12</v>
      </c>
      <c r="C39" t="s">
        <v>13</v>
      </c>
      <c r="D39" s="1">
        <f t="shared" ca="1" si="1"/>
        <v>37.463369500364458</v>
      </c>
      <c r="E39" t="s">
        <v>19</v>
      </c>
      <c r="F39" t="s">
        <v>21</v>
      </c>
    </row>
    <row r="40" spans="1:6" x14ac:dyDescent="0.2">
      <c r="A40">
        <v>39</v>
      </c>
      <c r="B40" t="s">
        <v>12</v>
      </c>
      <c r="C40" t="s">
        <v>14</v>
      </c>
      <c r="D40" s="1">
        <f t="shared" ca="1" si="1"/>
        <v>32.162925524282656</v>
      </c>
      <c r="E40" t="s">
        <v>18</v>
      </c>
      <c r="F40" s="2" t="s">
        <v>20</v>
      </c>
    </row>
    <row r="41" spans="1:6" x14ac:dyDescent="0.2">
      <c r="A41">
        <v>40</v>
      </c>
      <c r="B41" t="s">
        <v>12</v>
      </c>
      <c r="C41" t="s">
        <v>13</v>
      </c>
      <c r="D41" s="1">
        <f t="shared" ca="1" si="1"/>
        <v>18.842415176185046</v>
      </c>
      <c r="E41" t="s">
        <v>19</v>
      </c>
      <c r="F41" s="2" t="s">
        <v>20</v>
      </c>
    </row>
    <row r="42" spans="1:6" x14ac:dyDescent="0.2">
      <c r="A42">
        <v>41</v>
      </c>
      <c r="B42" t="s">
        <v>12</v>
      </c>
      <c r="C42" t="s">
        <v>14</v>
      </c>
      <c r="D42" s="1">
        <f t="shared" ca="1" si="1"/>
        <v>13.266475511680731</v>
      </c>
      <c r="E42" t="s">
        <v>19</v>
      </c>
      <c r="F42" t="s">
        <v>21</v>
      </c>
    </row>
    <row r="43" spans="1:6" x14ac:dyDescent="0.2">
      <c r="A43">
        <v>42</v>
      </c>
      <c r="B43" t="s">
        <v>12</v>
      </c>
      <c r="C43" t="s">
        <v>17</v>
      </c>
      <c r="D43" s="1">
        <f t="shared" ca="1" si="1"/>
        <v>19.913515234400226</v>
      </c>
      <c r="E43" t="s">
        <v>18</v>
      </c>
      <c r="F43" s="2" t="s">
        <v>20</v>
      </c>
    </row>
    <row r="44" spans="1:6" x14ac:dyDescent="0.2">
      <c r="A44">
        <v>43</v>
      </c>
      <c r="B44" t="s">
        <v>12</v>
      </c>
      <c r="C44" t="s">
        <v>14</v>
      </c>
      <c r="D44" s="1">
        <f t="shared" ca="1" si="1"/>
        <v>21.83584395541391</v>
      </c>
      <c r="E44" t="s">
        <v>19</v>
      </c>
      <c r="F44" s="2" t="s">
        <v>20</v>
      </c>
    </row>
    <row r="45" spans="1:6" x14ac:dyDescent="0.2">
      <c r="A45">
        <v>44</v>
      </c>
      <c r="B45" t="s">
        <v>12</v>
      </c>
      <c r="C45" t="s">
        <v>14</v>
      </c>
      <c r="D45" s="1">
        <f t="shared" ca="1" si="1"/>
        <v>27.379253740700516</v>
      </c>
      <c r="E45" s="2" t="s">
        <v>19</v>
      </c>
      <c r="F45" t="s">
        <v>22</v>
      </c>
    </row>
    <row r="46" spans="1:6" x14ac:dyDescent="0.2">
      <c r="A46">
        <v>45</v>
      </c>
      <c r="B46" t="s">
        <v>12</v>
      </c>
      <c r="C46" t="s">
        <v>15</v>
      </c>
      <c r="D46" s="1">
        <f t="shared" ca="1" si="1"/>
        <v>32.251827627639017</v>
      </c>
      <c r="E46" t="s">
        <v>19</v>
      </c>
      <c r="F46" t="s">
        <v>22</v>
      </c>
    </row>
    <row r="47" spans="1:6" x14ac:dyDescent="0.2">
      <c r="A47">
        <v>46</v>
      </c>
      <c r="B47" t="s">
        <v>12</v>
      </c>
      <c r="C47" t="s">
        <v>13</v>
      </c>
      <c r="D47" s="1">
        <f t="shared" ca="1" si="1"/>
        <v>20.529119521887797</v>
      </c>
      <c r="E47" t="s">
        <v>19</v>
      </c>
      <c r="F47" s="2" t="s">
        <v>20</v>
      </c>
    </row>
    <row r="48" spans="1:6" x14ac:dyDescent="0.2">
      <c r="A48">
        <v>47</v>
      </c>
      <c r="B48" t="s">
        <v>12</v>
      </c>
      <c r="C48" t="s">
        <v>15</v>
      </c>
      <c r="D48" s="1">
        <f t="shared" ca="1" si="1"/>
        <v>30.922019634294632</v>
      </c>
      <c r="E48" s="2" t="s">
        <v>18</v>
      </c>
      <c r="F48" t="s">
        <v>21</v>
      </c>
    </row>
    <row r="49" spans="1:6" x14ac:dyDescent="0.2">
      <c r="A49">
        <v>48</v>
      </c>
      <c r="B49" t="s">
        <v>12</v>
      </c>
      <c r="C49" t="s">
        <v>14</v>
      </c>
      <c r="D49" s="1">
        <f t="shared" ca="1" si="1"/>
        <v>21.679634982995193</v>
      </c>
      <c r="E49" t="s">
        <v>19</v>
      </c>
      <c r="F49" s="2" t="s">
        <v>20</v>
      </c>
    </row>
    <row r="50" spans="1:6" x14ac:dyDescent="0.2">
      <c r="A50">
        <v>49</v>
      </c>
      <c r="B50" t="s">
        <v>12</v>
      </c>
      <c r="C50" t="s">
        <v>15</v>
      </c>
      <c r="D50" s="1">
        <f t="shared" ca="1" si="1"/>
        <v>2.3066304022024013</v>
      </c>
      <c r="E50" s="2" t="s">
        <v>19</v>
      </c>
      <c r="F50" t="s">
        <v>21</v>
      </c>
    </row>
    <row r="51" spans="1:6" x14ac:dyDescent="0.2">
      <c r="A51">
        <v>50</v>
      </c>
      <c r="B51" t="s">
        <v>12</v>
      </c>
      <c r="C51" t="s">
        <v>14</v>
      </c>
      <c r="D51" s="1">
        <f t="shared" ca="1" si="1"/>
        <v>45.340359136650292</v>
      </c>
      <c r="E51" t="s">
        <v>19</v>
      </c>
      <c r="F51" s="2" t="s">
        <v>20</v>
      </c>
    </row>
    <row r="52" spans="1:6" x14ac:dyDescent="0.2">
      <c r="A52">
        <v>51</v>
      </c>
      <c r="B52" t="s">
        <v>12</v>
      </c>
      <c r="C52" t="s">
        <v>17</v>
      </c>
      <c r="D52" s="1">
        <f t="shared" ca="1" si="1"/>
        <v>13.164384532245235</v>
      </c>
      <c r="E52" t="s">
        <v>19</v>
      </c>
      <c r="F52" s="2" t="s">
        <v>20</v>
      </c>
    </row>
    <row r="53" spans="1:6" x14ac:dyDescent="0.2">
      <c r="F53" s="2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17CF-619A-2C45-8376-97A9E92E686D}">
  <dimension ref="A1:B6"/>
  <sheetViews>
    <sheetView workbookViewId="0">
      <selection activeCell="A13" sqref="A13"/>
    </sheetView>
  </sheetViews>
  <sheetFormatPr baseColWidth="10" defaultRowHeight="16" x14ac:dyDescent="0.2"/>
  <cols>
    <col min="1" max="1" width="24.83203125" bestFit="1" customWidth="1"/>
    <col min="2" max="2" width="74.6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5</v>
      </c>
      <c r="B2" t="s">
        <v>0</v>
      </c>
    </row>
    <row r="3" spans="1:2" x14ac:dyDescent="0.2">
      <c r="A3" t="s">
        <v>6</v>
      </c>
      <c r="B3" t="s">
        <v>3</v>
      </c>
    </row>
    <row r="4" spans="1:2" x14ac:dyDescent="0.2">
      <c r="A4" t="s">
        <v>24</v>
      </c>
      <c r="B4" t="s">
        <v>23</v>
      </c>
    </row>
    <row r="5" spans="1:2" x14ac:dyDescent="0.2">
      <c r="A5" t="s">
        <v>7</v>
      </c>
      <c r="B5" t="s">
        <v>4</v>
      </c>
    </row>
    <row r="6" spans="1:2" x14ac:dyDescent="0.2">
      <c r="A6" t="s">
        <v>8</v>
      </c>
      <c r="B6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answer</vt:lpstr>
      <vt:lpstr>short_long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2026-06-03T15:17:36Z</dcterms:created>
  <dcterms:modified xsi:type="dcterms:W3CDTF">2026-10-06T14:36:12Z</dcterms:modified>
</cp:coreProperties>
</file>